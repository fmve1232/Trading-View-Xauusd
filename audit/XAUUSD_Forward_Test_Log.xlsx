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ive Log" sheetId="2" state="visible" r:id="rId4"/>
    <sheet name="TV Snapshots" sheetId="3" state="visible" r:id="rId5"/>
    <sheet name="Arm Trades" sheetId="4" state="visible" r:id="rId6"/>
    <sheet name="Sta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Example row. Its date is before the freeze date, so Counts? = FALSE and it is excluded from Stats.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<sst xmlns="http://schemas.openxmlformats.org/spreadsheetml/2006/main" count="120" uniqueCount="111">
  <si>
    <t xml:space="preserve">XAUUSD Quantum — Forward Test Log (build v38, amendments A1–A5: 15M registered, start 2026-10-06; H1 + H2 challengers)</t>
  </si>
  <si>
    <t xml:space="preserve">Purpose: measure the system on trades taken AFTER the freeze date only. History does not count.</t>
  </si>
  <si>
    <t xml:space="preserve">SETTINGS (pre-registered — do not change during the test)</t>
  </si>
  <si>
    <t xml:space="preserve">Freeze date / holdout start (UTC)</t>
  </si>
  <si>
    <t xml:space="preserve">audit/PREREGISTRATION.md §2 + amendment A1 (was 2026-09-28). Only trades opened at or after this moment count.</t>
  </si>
  <si>
    <t xml:space="preserve">Minimum trades per arm</t>
  </si>
  <si>
    <t xml:space="preserve">PREREGISTRATION.md §4. No verdict before this many counted trades.</t>
  </si>
  <si>
    <t xml:space="preserve">Profit factor threshold</t>
  </si>
  <si>
    <t xml:space="preserve">PREREGISTRATION.md §4. Gross wins / gross losses must reach this.</t>
  </si>
  <si>
    <t xml:space="preserve">t critical value lookup: alpha (two-sided)</t>
  </si>
  <si>
    <t xml:space="preserve">95% confidence interval on the mean (TINV).</t>
  </si>
  <si>
    <t xml:space="preserve">Wilson z</t>
  </si>
  <si>
    <t xml:space="preserve">z for the 95% Wilson interval on the win rate.</t>
  </si>
  <si>
    <t xml:space="preserve">Ounces per MT5 lot</t>
  </si>
  <si>
    <t xml:space="preserve">XAUUSD standard contract: 1 lot = 100 oz. Check your broker's contract spec.</t>
  </si>
  <si>
    <t xml:space="preserve">Adoption alpha (Bonferroni: 0.05 / 2 challengers)</t>
  </si>
  <si>
    <t xml:space="preserve">PREREGISTRATION A3. Two challengers (H1, H2) are compared with the Treatment, so each adoption uses a 97.5% interval.</t>
  </si>
  <si>
    <t xml:space="preserve">HOW TO USE</t>
  </si>
  <si>
    <t xml:space="preserve">1. Live Log: one row per MT5 trade you take from a CONFIRMED Master BUY/SELL alert. Fill the BLUE columns only; black columns are formulas. An H2 SETUP alert from the Master is NOT a Live-arm trade (amendment A4.2): H2's record is the Strategy_H2 scorecard.</t>
  </si>
  <si>
    <t xml:space="preserve">2. 'Shown TP1 %' = the ~X% next to TP1 on the dashboard plan at entry (type 13% as 13%).</t>
  </si>
  <si>
    <t xml:space="preserve">3. 'TP1 reached?' = Y if price touched TP1 before your exit, else N. This checks the dashboard's probability.</t>
  </si>
  <si>
    <t xml:space="preserve">4. Arm Trades: after each week, export the Strategy Tester 'List of Trades' for Treatment, Control and Challenger (same chart, 15M) and paste arm name, entry time and net P&amp;L per trade. All three trade 1 oz, so $ per trade compares directly.</t>
  </si>
  <si>
    <t xml:space="preserve">5. Stats recalculates by itself. Verdicts stay 'COLLECTING' until the minimum trade count is reached.</t>
  </si>
  <si>
    <t xml:space="preserve">6. Row 2 of each log is an EXAMPLE dated before the freeze, so it never counts. Overwrite it or leave it.</t>
  </si>
  <si>
    <t xml:space="preserve">Colour key: BLUE text on white = you type here; black = formula; yellow = pre-registered setting.</t>
  </si>
  <si>
    <t xml:space="preserve">Never edit the settings or the rules mid-test: that turns the forward test back into a backtest.</t>
  </si>
  <si>
    <t xml:space="preserve">v34: each strategy shows a FORWARD TEST scorecard on the chart (positions, mean $, 95% CI, PF, verdict). TradingView keeps nothing between sessions, so copy each scorecard into 'TV Snapshots' weekly -- that sheet is the permanent record.</t>
  </si>
  <si>
    <t xml:space="preserve">#</t>
  </si>
  <si>
    <t xml:space="preserve">Open time (UTC)</t>
  </si>
  <si>
    <t xml:space="preserve">Direction</t>
  </si>
  <si>
    <t xml:space="preserve">Entry (MT5)</t>
  </si>
  <si>
    <t xml:space="preserve">SL</t>
  </si>
  <si>
    <t xml:space="preserve">TP1</t>
  </si>
  <si>
    <t xml:space="preserve">Shown TP1 %</t>
  </si>
  <si>
    <t xml:space="preserve">Exit price</t>
  </si>
  <si>
    <t xml:space="preserve">Exit reason</t>
  </si>
  <si>
    <t xml:space="preserve">TP1 reached? (Y/N)</t>
  </si>
  <si>
    <t xml:space="preserve">Lots</t>
  </si>
  <si>
    <t xml:space="preserve">Costs $ (comm.+swap)</t>
  </si>
  <si>
    <t xml:space="preserve">Counts?</t>
  </si>
  <si>
    <t xml:space="preserve">Risk (price)</t>
  </si>
  <si>
    <t xml:space="preserve">Result R</t>
  </si>
  <si>
    <t xml:space="preserve">P&amp;L $</t>
  </si>
  <si>
    <t xml:space="preserve">Win?</t>
  </si>
  <si>
    <t xml:space="preserve">R if counted</t>
  </si>
  <si>
    <t xml:space="preserve">Cum R</t>
  </si>
  <si>
    <t xml:space="preserve">Peak R</t>
  </si>
  <si>
    <t xml:space="preserve">Drawdown R</t>
  </si>
  <si>
    <t xml:space="preserve">Notes</t>
  </si>
  <si>
    <t xml:space="preserve">SELL</t>
  </si>
  <si>
    <t xml:space="preserve">N</t>
  </si>
  <si>
    <t xml:space="preserve">EXAMPLE — dated before the freeze, so it does not count. Overwrite with your first trade.</t>
  </si>
  <si>
    <t xml:space="preserve">Snapshot date (UTC)</t>
  </si>
  <si>
    <t xml:space="preserve">Arm</t>
  </si>
  <si>
    <t xml:space="preserve">Timeframe</t>
  </si>
  <si>
    <t xml:space="preserve">Positions (N)</t>
  </si>
  <si>
    <t xml:space="preserve">Mean $ / position</t>
  </si>
  <si>
    <t xml:space="preserve">95% CI low</t>
  </si>
  <si>
    <t xml:space="preserve">95% CI high</t>
  </si>
  <si>
    <t xml:space="preserve">Profit factor</t>
  </si>
  <si>
    <t xml:space="preserve">Net $</t>
  </si>
  <si>
    <t xml:space="preserve">Verdict</t>
  </si>
  <si>
    <t xml:space="preserve">Coverage note</t>
  </si>
  <si>
    <t xml:space="preserve">Treatment</t>
  </si>
  <si>
    <t xml:space="preserve">15</t>
  </si>
  <si>
    <t xml:space="preserve">COLLECTING 0/50</t>
  </si>
  <si>
    <t xml:space="preserve">EXAMPLE row (before the start) -- overwrite. Copy each arm's scorecard every week.</t>
  </si>
  <si>
    <t xml:space="preserve">Trade #</t>
  </si>
  <si>
    <t xml:space="preserve">Entry time (UTC)</t>
  </si>
  <si>
    <t xml:space="preserve">Net P&amp;L $ (1 oz)</t>
  </si>
  <si>
    <t xml:space="preserve">P&amp;L if counted</t>
  </si>
  <si>
    <t xml:space="preserve">P&amp;L² if counted</t>
  </si>
  <si>
    <t xml:space="preserve">ONE ROW PER POSITION: the strategies close 50% at TP1 and the rest later, and the List of Trades shows each part as its own row -- add the parts of one entry together. Easier: copy the on-chart scorecard into 'TV Snapshots'.</t>
  </si>
  <si>
    <t xml:space="preserve">EXAMPLE — before the freeze, does not count.</t>
  </si>
  <si>
    <t xml:space="preserve">Forward-test statistics (counted trades only: opened at/after the freeze date)</t>
  </si>
  <si>
    <t xml:space="preserve">Freeze date</t>
  </si>
  <si>
    <t xml:space="preserve">LIVE MT5 TRADES (Master decisions) — in R</t>
  </si>
  <si>
    <t xml:space="preserve">Counted trades (N)</t>
  </si>
  <si>
    <t xml:space="preserve">Wins (R &gt; 0)</t>
  </si>
  <si>
    <t xml:space="preserve">Win rate</t>
  </si>
  <si>
    <t xml:space="preserve">Win rate 95% Wilson low</t>
  </si>
  <si>
    <t xml:space="preserve">Win rate 95% Wilson high</t>
  </si>
  <si>
    <t xml:space="preserve">Mean R per trade</t>
  </si>
  <si>
    <t xml:space="preserve">Std dev of R</t>
  </si>
  <si>
    <t xml:space="preserve">95% CI of mean R — low</t>
  </si>
  <si>
    <t xml:space="preserve">95% CI of mean R — high</t>
  </si>
  <si>
    <t xml:space="preserve">Total R</t>
  </si>
  <si>
    <t xml:space="preserve">Profit factor (gross win R / gross loss R)</t>
  </si>
  <si>
    <t xml:space="preserve">Max drawdown (R)</t>
  </si>
  <si>
    <t xml:space="preserve">Net P&amp;L $ (counted)</t>
  </si>
  <si>
    <t xml:space="preserve">Dashboard TP1 % (mean shown)</t>
  </si>
  <si>
    <t xml:space="preserve">TP1 actually reached (realised)</t>
  </si>
  <si>
    <t xml:space="preserve">Calibration gap (realised − shown)</t>
  </si>
  <si>
    <t xml:space="preserve">Positive = the dashboard's TP1 % was too pessimistic; negative = too optimistic. Needs ~50+ trades to mean anything.</t>
  </si>
  <si>
    <t xml:space="preserve">VERDICT (pre-registered rule)</t>
  </si>
  <si>
    <t xml:space="preserve">EDGE SHOWN needs: N ≥ minimum AND 95% CI low of mean R &gt; 0 AND profit factor ≥ threshold (Read Me). Otherwise NOT SHOWN; below minimum N, COLLECTING.</t>
  </si>
  <si>
    <t xml:space="preserve">STRATEGY ARMS (Strategy Tester, 1 oz) — in $ per trade</t>
  </si>
  <si>
    <t xml:space="preserve">Control</t>
  </si>
  <si>
    <t xml:space="preserve">Challenger</t>
  </si>
  <si>
    <t xml:space="preserve">H2</t>
  </si>
  <si>
    <t xml:space="preserve">All three arms trade 1 oz with identical costs, so $ per trade compares directly across arms.</t>
  </si>
  <si>
    <t xml:space="preserve">Mean $ per trade</t>
  </si>
  <si>
    <t xml:space="preserve">Std dev $ per trade</t>
  </si>
  <si>
    <t xml:space="preserve">95% CI of mean — low</t>
  </si>
  <si>
    <t xml:space="preserve">95% CI of mean — high</t>
  </si>
  <si>
    <t xml:space="preserve">Net P&amp;L $</t>
  </si>
  <si>
    <t xml:space="preserve">Adoption CI low (97.5%, Bonferroni)</t>
  </si>
  <si>
    <t xml:space="preserve">CHALLENGER DECISION (H1: fast trend gate)</t>
  </si>
  <si>
    <t xml:space="preserve">PREREGISTRATION §4 + A3: adopt a challenger only if its 97.5% CI low &gt; 0 (Bonferroni), PF &gt;= threshold, and its mean beats the Treatment's over the same forward window.</t>
  </si>
  <si>
    <t xml:space="preserve">H2 DECISION (sweep-to-value)</t>
  </si>
  <si>
    <t xml:space="preserve">Same rule for H2. Each verdict in row 34 is descriptive (95%).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</si>
</sst>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yyyy\-mm\-dd\ hh:mm"/>
    <numFmt numFmtId="166" formatCode="0"/>
    <numFmt numFmtId="167" formatCode="0.00"/>
    <numFmt numFmtId="168" formatCode="0.000"/>
    <numFmt numFmtId="169" formatCode="0%"/>
    <numFmt numFmtId="170" formatCode="\$#,##0.00;&quot;($&quot;#,##0.00\);\-"/>
    <numFmt numFmtId="171" formatCode="General"/>
    <numFmt numFmtId="172" formatCode="0.00;\-0.00;0.00"/>
    <numFmt numFmtId="173" formatCode="yyyy\-mm\-dd"/>
    <numFmt numFmtId="174" formatCode="0.0%"/>
    <numFmt numFmtId="175" formatCode="\+0.0%;\-0.0%;0.0%"/>
    <numFmt numFmtId="176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90"/>
  </cols>
  <sheetData>
    <row r="1" customFormat="false" ht="17.25" hidden="false" customHeight="true" outlineLevel="0" collapsed="false">
      <c r="A1" s="2" t="s">
        <v>0</v>
      </c>
      <c r="B1" s="3"/>
      <c r="C1" s="3"/>
    </row>
    <row r="2" customFormat="false" ht="15" hidden="false" customHeight="true" outlineLevel="0" collapsed="false">
      <c r="A2" s="4" t="s">
        <v>1</v>
      </c>
      <c r="B2" s="3"/>
      <c r="C2" s="3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5" t="s">
        <v>2</v>
      </c>
      <c r="B4" s="3"/>
      <c r="C4" s="3"/>
    </row>
    <row r="5" customFormat="false" ht="15" hidden="false" customHeight="true" outlineLevel="0" collapsed="false">
      <c r="A5" s="4" t="s">
        <v>3</v>
      </c>
      <c r="B5" s="6" t="n">
        <v>46301</v>
      </c>
      <c r="C5" s="7" t="s">
        <v>4</v>
      </c>
    </row>
    <row r="6" customFormat="false" ht="15" hidden="false" customHeight="true" outlineLevel="0" collapsed="false">
      <c r="A6" s="4" t="s">
        <v>5</v>
      </c>
      <c r="B6" s="8" t="n">
        <v>50</v>
      </c>
      <c r="C6" s="7" t="s">
        <v>6</v>
      </c>
    </row>
    <row r="7" customFormat="false" ht="15" hidden="false" customHeight="true" outlineLevel="0" collapsed="false">
      <c r="A7" s="4" t="s">
        <v>7</v>
      </c>
      <c r="B7" s="9" t="n">
        <v>1.2</v>
      </c>
      <c r="C7" s="7" t="s">
        <v>8</v>
      </c>
    </row>
    <row r="8" customFormat="false" ht="15" hidden="false" customHeight="true" outlineLevel="0" collapsed="false">
      <c r="A8" s="4" t="s">
        <v>9</v>
      </c>
      <c r="B8" s="9" t="n">
        <v>0.05</v>
      </c>
      <c r="C8" s="7" t="s">
        <v>10</v>
      </c>
    </row>
    <row r="9" customFormat="false" ht="15" hidden="false" customHeight="true" outlineLevel="0" collapsed="false">
      <c r="A9" s="4" t="s">
        <v>11</v>
      </c>
      <c r="B9" s="9" t="n">
        <v>1.96</v>
      </c>
      <c r="C9" s="7" t="s">
        <v>12</v>
      </c>
    </row>
    <row r="10" customFormat="false" ht="15" hidden="false" customHeight="true" outlineLevel="0" collapsed="false">
      <c r="A10" s="4" t="s">
        <v>13</v>
      </c>
      <c r="B10" s="8" t="n">
        <v>100</v>
      </c>
      <c r="C10" s="7" t="s">
        <v>14</v>
      </c>
    </row>
    <row r="11" customFormat="false" ht="15" hidden="false" customHeight="true" outlineLevel="0" collapsed="false">
      <c r="A11" s="10" t="s">
        <v>15</v>
      </c>
      <c r="B11" s="11" t="n">
        <v>0.025</v>
      </c>
      <c r="C11" s="12" t="s">
        <v>16</v>
      </c>
    </row>
    <row r="12" customFormat="false" ht="15" hidden="false" customHeight="true" outlineLevel="0" collapsed="false">
      <c r="A12" s="5" t="s">
        <v>17</v>
      </c>
      <c r="B12" s="3"/>
      <c r="C12" s="3"/>
    </row>
    <row r="13" customFormat="false" ht="15" hidden="false" customHeight="true" outlineLevel="0" collapsed="false">
      <c r="A13" s="4" t="s">
        <v>18</v>
      </c>
      <c r="B13" s="3"/>
      <c r="C13" s="3"/>
    </row>
    <row r="14" customFormat="false" ht="15" hidden="false" customHeight="true" outlineLevel="0" collapsed="false">
      <c r="A14" s="4" t="s">
        <v>19</v>
      </c>
      <c r="B14" s="3"/>
      <c r="C14" s="3"/>
    </row>
    <row r="15" customFormat="false" ht="15" hidden="false" customHeight="true" outlineLevel="0" collapsed="false">
      <c r="A15" s="4" t="s">
        <v>20</v>
      </c>
      <c r="B15" s="3"/>
      <c r="C15" s="3"/>
    </row>
    <row r="16" customFormat="false" ht="15" hidden="false" customHeight="true" outlineLevel="0" collapsed="false">
      <c r="A16" s="4" t="s">
        <v>21</v>
      </c>
      <c r="B16" s="3"/>
      <c r="C16" s="3"/>
    </row>
    <row r="17" customFormat="false" ht="15" hidden="false" customHeight="true" outlineLevel="0" collapsed="false">
      <c r="A17" s="4" t="s">
        <v>22</v>
      </c>
      <c r="B17" s="3"/>
      <c r="C17" s="3"/>
    </row>
    <row r="18" customFormat="false" ht="15" hidden="false" customHeight="true" outlineLevel="0" collapsed="false">
      <c r="A18" s="4" t="s">
        <v>23</v>
      </c>
      <c r="B18" s="3"/>
      <c r="C18" s="3"/>
    </row>
    <row r="19" customFormat="false" ht="15" hidden="false" customHeight="true" outlineLevel="0" collapsed="false">
      <c r="A19" s="4" t="s">
        <v>24</v>
      </c>
      <c r="B19" s="3"/>
      <c r="C19" s="3"/>
    </row>
    <row r="20" customFormat="false" ht="15" hidden="false" customHeight="true" outlineLevel="0" collapsed="false">
      <c r="A20" s="4" t="s">
        <v>25</v>
      </c>
      <c r="B20" s="3"/>
      <c r="C20" s="3"/>
    </row>
    <row r="21" customFormat="false" ht="15" hidden="false" customHeight="true" outlineLevel="0" collapsed="false">
      <c r="A21" s="1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7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6" min="5" style="1" width="10"/>
    <col collapsed="false" customWidth="true" hidden="false" outlineLevel="0" max="10" min="7" style="1" width="11"/>
    <col collapsed="false" customWidth="true" hidden="false" outlineLevel="0" max="11" min="11" style="1" width="8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4" min="14" style="1" width="11"/>
    <col collapsed="false" customWidth="true" hidden="false" outlineLevel="0" max="15" min="15" style="1" width="10"/>
    <col collapsed="false" customWidth="true" hidden="false" outlineLevel="0" max="16" min="16" style="1" width="11"/>
    <col collapsed="false" customWidth="true" hidden="false" outlineLevel="0" max="17" min="17" style="1" width="7"/>
    <col collapsed="false" customWidth="true" hidden="false" outlineLevel="0" max="18" min="18" style="1" width="11"/>
    <col collapsed="false" customWidth="true" hidden="false" outlineLevel="0" max="20" min="19" style="1" width="9"/>
    <col collapsed="false" customWidth="true" hidden="false" outlineLevel="0" max="21" min="21" style="1" width="11"/>
    <col collapsed="false" customWidth="true" hidden="false" outlineLevel="0" max="22" min="22" style="1" width="40"/>
  </cols>
  <sheetData>
    <row r="1" customFormat="false" ht="31.5" hidden="false" customHeight="true" outlineLevel="0" collapsed="false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  <c r="M1" s="14" t="s">
        <v>39</v>
      </c>
      <c r="N1" s="14" t="s">
        <v>40</v>
      </c>
      <c r="O1" s="14" t="s">
        <v>41</v>
      </c>
      <c r="P1" s="14" t="s">
        <v>42</v>
      </c>
      <c r="Q1" s="14" t="s">
        <v>43</v>
      </c>
      <c r="R1" s="14" t="s">
        <v>44</v>
      </c>
      <c r="S1" s="14" t="s">
        <v>45</v>
      </c>
      <c r="T1" s="14" t="s">
        <v>46</v>
      </c>
      <c r="U1" s="14" t="s">
        <v>47</v>
      </c>
      <c r="V1" s="14" t="s">
        <v>48</v>
      </c>
    </row>
    <row r="2" customFormat="false" ht="15" hidden="false" customHeight="true" outlineLevel="0" collapsed="false">
      <c r="A2" s="4" t="n">
        <f aca="false">IF(B2="","",ROW()-1)</f>
        <v>1</v>
      </c>
      <c r="B2" s="15" t="n">
        <v>46290.5833333333</v>
      </c>
      <c r="C2" s="16" t="s">
        <v>49</v>
      </c>
      <c r="D2" s="17" t="n">
        <v>4284.97</v>
      </c>
      <c r="E2" s="17" t="n">
        <v>4302.8</v>
      </c>
      <c r="F2" s="17" t="n">
        <v>4254.58</v>
      </c>
      <c r="G2" s="18" t="n">
        <v>0.13</v>
      </c>
      <c r="H2" s="17" t="n">
        <v>4302.8</v>
      </c>
      <c r="I2" s="16" t="s">
        <v>31</v>
      </c>
      <c r="J2" s="16" t="s">
        <v>50</v>
      </c>
      <c r="K2" s="17" t="n">
        <v>0.01</v>
      </c>
      <c r="L2" s="19" t="n">
        <v>0.4</v>
      </c>
      <c r="M2" s="20" t="b">
        <f aca="false">AND(B2&lt;&gt;"",B2&gt;='Read Me'!$B$5,H2&lt;&gt;"")</f>
        <v>0</v>
      </c>
      <c r="N2" s="21" t="n">
        <f aca="false">IF(OR(D2="",E2=""),"",ABS(D2-E2))</f>
        <v>17.8299999999999</v>
      </c>
      <c r="O2" s="22" t="n">
        <f aca="false">IF(OR(H2="",N2="",N2=0),"",IF(C2="BUY",1,-1)*(H2-D2)/N2)</f>
        <v>-1</v>
      </c>
      <c r="P2" s="23" t="n">
        <f aca="false">IF(OR(H2="",D2="",K2=""),"",IF(C2="BUY",1,-1)*(H2-D2)*K2*'Read Me'!$B$10-L2)</f>
        <v>-18.2299999999999</v>
      </c>
      <c r="Q2" s="4" t="str">
        <f aca="false">IF(O2="","",IF(O2&gt;0,"WIN","LOSS"))</f>
        <v>LOSS</v>
      </c>
      <c r="R2" s="22" t="str">
        <f aca="false">IF(AND(M2,O2&lt;&gt;""),O2,"")</f>
        <v/>
      </c>
      <c r="S2" s="22" t="n">
        <f aca="false">0+IF(R2="",0,R2)</f>
        <v>0</v>
      </c>
      <c r="T2" s="22" t="n">
        <f aca="false">MAX(0,S2)</f>
        <v>0</v>
      </c>
      <c r="U2" s="22" t="n">
        <f aca="false">T2-S2</f>
        <v>0</v>
      </c>
      <c r="V2" s="16" t="s">
        <v>51</v>
      </c>
    </row>
    <row r="3" customFormat="false" ht="15" hidden="false" customHeight="true" outlineLevel="0" collapsed="false">
      <c r="A3" s="4" t="str">
        <f aca="false">IF(B3="","",ROW()-1)</f>
        <v/>
      </c>
      <c r="B3" s="15"/>
      <c r="C3" s="16"/>
      <c r="D3" s="17"/>
      <c r="E3" s="17"/>
      <c r="F3" s="17"/>
      <c r="G3" s="18"/>
      <c r="H3" s="17"/>
      <c r="I3" s="16"/>
      <c r="J3" s="16"/>
      <c r="K3" s="17"/>
      <c r="L3" s="19"/>
      <c r="M3" s="20" t="b">
        <f aca="false">AND(B3&lt;&gt;"",B3&gt;='Read Me'!$B$5,H3&lt;&gt;"")</f>
        <v>0</v>
      </c>
      <c r="N3" s="21" t="str">
        <f aca="false">IF(OR(D3="",E3=""),"",ABS(D3-E3))</f>
        <v/>
      </c>
      <c r="O3" s="22" t="str">
        <f aca="false">IF(OR(H3="",N3="",N3=0),"",IF(C3="BUY",1,-1)*(H3-D3)/N3)</f>
        <v/>
      </c>
      <c r="P3" s="23" t="str">
        <f aca="false">IF(OR(H3="",D3="",K3=""),"",IF(C3="BUY",1,-1)*(H3-D3)*K3*'Read Me'!$B$10-L3)</f>
        <v/>
      </c>
      <c r="Q3" s="4" t="str">
        <f aca="false">IF(O3="","",IF(O3&gt;0,"WIN","LOSS"))</f>
        <v/>
      </c>
      <c r="R3" s="22" t="str">
        <f aca="false">IF(AND(M3,O3&lt;&gt;""),O3,"")</f>
        <v/>
      </c>
      <c r="S3" s="22" t="n">
        <f aca="false">S2+IF(R3="",0,R3)</f>
        <v>0</v>
      </c>
      <c r="T3" s="22" t="n">
        <f aca="false">MAX(T2,S3)</f>
        <v>0</v>
      </c>
      <c r="U3" s="22" t="n">
        <f aca="false">T3-S3</f>
        <v>0</v>
      </c>
      <c r="V3" s="16"/>
    </row>
    <row r="4" customFormat="false" ht="15" hidden="false" customHeight="true" outlineLevel="0" collapsed="false">
      <c r="A4" s="4" t="str">
        <f aca="false">IF(B4="","",ROW()-1)</f>
        <v/>
      </c>
      <c r="B4" s="15"/>
      <c r="C4" s="16"/>
      <c r="D4" s="17"/>
      <c r="E4" s="17"/>
      <c r="F4" s="17"/>
      <c r="G4" s="18"/>
      <c r="H4" s="17"/>
      <c r="I4" s="16"/>
      <c r="J4" s="16"/>
      <c r="K4" s="17"/>
      <c r="L4" s="19"/>
      <c r="M4" s="20" t="b">
        <f aca="false">AND(B4&lt;&gt;"",B4&gt;='Read Me'!$B$5,H4&lt;&gt;"")</f>
        <v>0</v>
      </c>
      <c r="N4" s="21" t="str">
        <f aca="false">IF(OR(D4="",E4=""),"",ABS(D4-E4))</f>
        <v/>
      </c>
      <c r="O4" s="22" t="str">
        <f aca="false">IF(OR(H4="",N4="",N4=0),"",IF(C4="BUY",1,-1)*(H4-D4)/N4)</f>
        <v/>
      </c>
      <c r="P4" s="23" t="str">
        <f aca="false">IF(OR(H4="",D4="",K4=""),"",IF(C4="BUY",1,-1)*(H4-D4)*K4*'Read Me'!$B$10-L4)</f>
        <v/>
      </c>
      <c r="Q4" s="4" t="str">
        <f aca="false">IF(O4="","",IF(O4&gt;0,"WIN","LOSS"))</f>
        <v/>
      </c>
      <c r="R4" s="22" t="str">
        <f aca="false">IF(AND(M4,O4&lt;&gt;""),O4,"")</f>
        <v/>
      </c>
      <c r="S4" s="22" t="n">
        <f aca="false">S3+IF(R4="",0,R4)</f>
        <v>0</v>
      </c>
      <c r="T4" s="22" t="n">
        <f aca="false">MAX(T3,S4)</f>
        <v>0</v>
      </c>
      <c r="U4" s="22" t="n">
        <f aca="false">T4-S4</f>
        <v>0</v>
      </c>
      <c r="V4" s="16"/>
    </row>
    <row r="5" customFormat="false" ht="15" hidden="false" customHeight="true" outlineLevel="0" collapsed="false">
      <c r="A5" s="4" t="str">
        <f aca="false">IF(B5="","",ROW()-1)</f>
        <v/>
      </c>
      <c r="B5" s="15"/>
      <c r="C5" s="16"/>
      <c r="D5" s="17"/>
      <c r="E5" s="17"/>
      <c r="F5" s="17"/>
      <c r="G5" s="18"/>
      <c r="H5" s="17"/>
      <c r="I5" s="16"/>
      <c r="J5" s="16"/>
      <c r="K5" s="17"/>
      <c r="L5" s="19"/>
      <c r="M5" s="20" t="b">
        <f aca="false">AND(B5&lt;&gt;"",B5&gt;='Read Me'!$B$5,H5&lt;&gt;"")</f>
        <v>0</v>
      </c>
      <c r="N5" s="21" t="str">
        <f aca="false">IF(OR(D5="",E5=""),"",ABS(D5-E5))</f>
        <v/>
      </c>
      <c r="O5" s="22" t="str">
        <f aca="false">IF(OR(H5="",N5="",N5=0),"",IF(C5="BUY",1,-1)*(H5-D5)/N5)</f>
        <v/>
      </c>
      <c r="P5" s="23" t="str">
        <f aca="false">IF(OR(H5="",D5="",K5=""),"",IF(C5="BUY",1,-1)*(H5-D5)*K5*'Read Me'!$B$10-L5)</f>
        <v/>
      </c>
      <c r="Q5" s="4" t="str">
        <f aca="false">IF(O5="","",IF(O5&gt;0,"WIN","LOSS"))</f>
        <v/>
      </c>
      <c r="R5" s="22" t="str">
        <f aca="false">IF(AND(M5,O5&lt;&gt;""),O5,"")</f>
        <v/>
      </c>
      <c r="S5" s="22" t="n">
        <f aca="false">S4+IF(R5="",0,R5)</f>
        <v>0</v>
      </c>
      <c r="T5" s="22" t="n">
        <f aca="false">MAX(T4,S5)</f>
        <v>0</v>
      </c>
      <c r="U5" s="22" t="n">
        <f aca="false">T5-S5</f>
        <v>0</v>
      </c>
      <c r="V5" s="16"/>
    </row>
    <row r="6" customFormat="false" ht="15" hidden="false" customHeight="true" outlineLevel="0" collapsed="false">
      <c r="A6" s="4" t="str">
        <f aca="false">IF(B6="","",ROW()-1)</f>
        <v/>
      </c>
      <c r="B6" s="15"/>
      <c r="C6" s="16"/>
      <c r="D6" s="17"/>
      <c r="E6" s="17"/>
      <c r="F6" s="17"/>
      <c r="G6" s="18"/>
      <c r="H6" s="17"/>
      <c r="I6" s="16"/>
      <c r="J6" s="16"/>
      <c r="K6" s="17"/>
      <c r="L6" s="19"/>
      <c r="M6" s="20" t="b">
        <f aca="false">AND(B6&lt;&gt;"",B6&gt;='Read Me'!$B$5,H6&lt;&gt;"")</f>
        <v>0</v>
      </c>
      <c r="N6" s="21" t="str">
        <f aca="false">IF(OR(D6="",E6=""),"",ABS(D6-E6))</f>
        <v/>
      </c>
      <c r="O6" s="22" t="str">
        <f aca="false">IF(OR(H6="",N6="",N6=0),"",IF(C6="BUY",1,-1)*(H6-D6)/N6)</f>
        <v/>
      </c>
      <c r="P6" s="23" t="str">
        <f aca="false">IF(OR(H6="",D6="",K6=""),"",IF(C6="BUY",1,-1)*(H6-D6)*K6*'Read Me'!$B$10-L6)</f>
        <v/>
      </c>
      <c r="Q6" s="4" t="str">
        <f aca="false">IF(O6="","",IF(O6&gt;0,"WIN","LOSS"))</f>
        <v/>
      </c>
      <c r="R6" s="22" t="str">
        <f aca="false">IF(AND(M6,O6&lt;&gt;""),O6,"")</f>
        <v/>
      </c>
      <c r="S6" s="22" t="n">
        <f aca="false">S5+IF(R6="",0,R6)</f>
        <v>0</v>
      </c>
      <c r="T6" s="22" t="n">
        <f aca="false">MAX(T5,S6)</f>
        <v>0</v>
      </c>
      <c r="U6" s="22" t="n">
        <f aca="false">T6-S6</f>
        <v>0</v>
      </c>
      <c r="V6" s="16"/>
    </row>
    <row r="7" customFormat="false" ht="15" hidden="false" customHeight="true" outlineLevel="0" collapsed="false">
      <c r="A7" s="4" t="str">
        <f aca="false">IF(B7="","",ROW()-1)</f>
        <v/>
      </c>
      <c r="B7" s="15"/>
      <c r="C7" s="16"/>
      <c r="D7" s="17"/>
      <c r="E7" s="17"/>
      <c r="F7" s="17"/>
      <c r="G7" s="18"/>
      <c r="H7" s="17"/>
      <c r="I7" s="16"/>
      <c r="J7" s="16"/>
      <c r="K7" s="17"/>
      <c r="L7" s="19"/>
      <c r="M7" s="20" t="b">
        <f aca="false">AND(B7&lt;&gt;"",B7&gt;='Read Me'!$B$5,H7&lt;&gt;"")</f>
        <v>0</v>
      </c>
      <c r="N7" s="21" t="str">
        <f aca="false">IF(OR(D7="",E7=""),"",ABS(D7-E7))</f>
        <v/>
      </c>
      <c r="O7" s="22" t="str">
        <f aca="false">IF(OR(H7="",N7="",N7=0),"",IF(C7="BUY",1,-1)*(H7-D7)/N7)</f>
        <v/>
      </c>
      <c r="P7" s="23" t="str">
        <f aca="false">IF(OR(H7="",D7="",K7=""),"",IF(C7="BUY",1,-1)*(H7-D7)*K7*'Read Me'!$B$10-L7)</f>
        <v/>
      </c>
      <c r="Q7" s="4" t="str">
        <f aca="false">IF(O7="","",IF(O7&gt;0,"WIN","LOSS"))</f>
        <v/>
      </c>
      <c r="R7" s="22" t="str">
        <f aca="false">IF(AND(M7,O7&lt;&gt;""),O7,"")</f>
        <v/>
      </c>
      <c r="S7" s="22" t="n">
        <f aca="false">S6+IF(R7="",0,R7)</f>
        <v>0</v>
      </c>
      <c r="T7" s="22" t="n">
        <f aca="false">MAX(T6,S7)</f>
        <v>0</v>
      </c>
      <c r="U7" s="22" t="n">
        <f aca="false">T7-S7</f>
        <v>0</v>
      </c>
      <c r="V7" s="16"/>
    </row>
    <row r="8" customFormat="false" ht="15" hidden="false" customHeight="true" outlineLevel="0" collapsed="false">
      <c r="A8" s="4" t="str">
        <f aca="false">IF(B8="","",ROW()-1)</f>
        <v/>
      </c>
      <c r="B8" s="15"/>
      <c r="C8" s="16"/>
      <c r="D8" s="17"/>
      <c r="E8" s="17"/>
      <c r="F8" s="17"/>
      <c r="G8" s="18"/>
      <c r="H8" s="17"/>
      <c r="I8" s="16"/>
      <c r="J8" s="16"/>
      <c r="K8" s="17"/>
      <c r="L8" s="19"/>
      <c r="M8" s="20" t="b">
        <f aca="false">AND(B8&lt;&gt;"",B8&gt;='Read Me'!$B$5,H8&lt;&gt;"")</f>
        <v>0</v>
      </c>
      <c r="N8" s="21" t="str">
        <f aca="false">IF(OR(D8="",E8=""),"",ABS(D8-E8))</f>
        <v/>
      </c>
      <c r="O8" s="22" t="str">
        <f aca="false">IF(OR(H8="",N8="",N8=0),"",IF(C8="BUY",1,-1)*(H8-D8)/N8)</f>
        <v/>
      </c>
      <c r="P8" s="23" t="str">
        <f aca="false">IF(OR(H8="",D8="",K8=""),"",IF(C8="BUY",1,-1)*(H8-D8)*K8*'Read Me'!$B$10-L8)</f>
        <v/>
      </c>
      <c r="Q8" s="4" t="str">
        <f aca="false">IF(O8="","",IF(O8&gt;0,"WIN","LOSS"))</f>
        <v/>
      </c>
      <c r="R8" s="22" t="str">
        <f aca="false">IF(AND(M8,O8&lt;&gt;""),O8,"")</f>
        <v/>
      </c>
      <c r="S8" s="22" t="n">
        <f aca="false">S7+IF(R8="",0,R8)</f>
        <v>0</v>
      </c>
      <c r="T8" s="22" t="n">
        <f aca="false">MAX(T7,S8)</f>
        <v>0</v>
      </c>
      <c r="U8" s="22" t="n">
        <f aca="false">T8-S8</f>
        <v>0</v>
      </c>
      <c r="V8" s="16"/>
    </row>
    <row r="9" customFormat="false" ht="15" hidden="false" customHeight="true" outlineLevel="0" collapsed="false">
      <c r="A9" s="4" t="str">
        <f aca="false">IF(B9="","",ROW()-1)</f>
        <v/>
      </c>
      <c r="B9" s="15"/>
      <c r="C9" s="16"/>
      <c r="D9" s="17"/>
      <c r="E9" s="17"/>
      <c r="F9" s="17"/>
      <c r="G9" s="18"/>
      <c r="H9" s="17"/>
      <c r="I9" s="16"/>
      <c r="J9" s="16"/>
      <c r="K9" s="17"/>
      <c r="L9" s="19"/>
      <c r="M9" s="20" t="b">
        <f aca="false">AND(B9&lt;&gt;"",B9&gt;='Read Me'!$B$5,H9&lt;&gt;"")</f>
        <v>0</v>
      </c>
      <c r="N9" s="21" t="str">
        <f aca="false">IF(OR(D9="",E9=""),"",ABS(D9-E9))</f>
        <v/>
      </c>
      <c r="O9" s="22" t="str">
        <f aca="false">IF(OR(H9="",N9="",N9=0),"",IF(C9="BUY",1,-1)*(H9-D9)/N9)</f>
        <v/>
      </c>
      <c r="P9" s="23" t="str">
        <f aca="false">IF(OR(H9="",D9="",K9=""),"",IF(C9="BUY",1,-1)*(H9-D9)*K9*'Read Me'!$B$10-L9)</f>
        <v/>
      </c>
      <c r="Q9" s="4" t="str">
        <f aca="false">IF(O9="","",IF(O9&gt;0,"WIN","LOSS"))</f>
        <v/>
      </c>
      <c r="R9" s="22" t="str">
        <f aca="false">IF(AND(M9,O9&lt;&gt;""),O9,"")</f>
        <v/>
      </c>
      <c r="S9" s="22" t="n">
        <f aca="false">S8+IF(R9="",0,R9)</f>
        <v>0</v>
      </c>
      <c r="T9" s="22" t="n">
        <f aca="false">MAX(T8,S9)</f>
        <v>0</v>
      </c>
      <c r="U9" s="22" t="n">
        <f aca="false">T9-S9</f>
        <v>0</v>
      </c>
      <c r="V9" s="16"/>
    </row>
    <row r="10" customFormat="false" ht="15" hidden="false" customHeight="true" outlineLevel="0" collapsed="false">
      <c r="A10" s="4" t="str">
        <f aca="false">IF(B10="","",ROW()-1)</f>
        <v/>
      </c>
      <c r="B10" s="15"/>
      <c r="C10" s="16"/>
      <c r="D10" s="17"/>
      <c r="E10" s="17"/>
      <c r="F10" s="17"/>
      <c r="G10" s="18"/>
      <c r="H10" s="17"/>
      <c r="I10" s="16"/>
      <c r="J10" s="16"/>
      <c r="K10" s="17"/>
      <c r="L10" s="19"/>
      <c r="M10" s="20" t="b">
        <f aca="false">AND(B10&lt;&gt;"",B10&gt;='Read Me'!$B$5,H10&lt;&gt;"")</f>
        <v>0</v>
      </c>
      <c r="N10" s="21" t="str">
        <f aca="false">IF(OR(D10="",E10=""),"",ABS(D10-E10))</f>
        <v/>
      </c>
      <c r="O10" s="22" t="str">
        <f aca="false">IF(OR(H10="",N10="",N10=0),"",IF(C10="BUY",1,-1)*(H10-D10)/N10)</f>
        <v/>
      </c>
      <c r="P10" s="23" t="str">
        <f aca="false">IF(OR(H10="",D10="",K10=""),"",IF(C10="BUY",1,-1)*(H10-D10)*K10*'Read Me'!$B$10-L10)</f>
        <v/>
      </c>
      <c r="Q10" s="4" t="str">
        <f aca="false">IF(O10="","",IF(O10&gt;0,"WIN","LOSS"))</f>
        <v/>
      </c>
      <c r="R10" s="22" t="str">
        <f aca="false">IF(AND(M10,O10&lt;&gt;""),O10,"")</f>
        <v/>
      </c>
      <c r="S10" s="22" t="n">
        <f aca="false">S9+IF(R10="",0,R10)</f>
        <v>0</v>
      </c>
      <c r="T10" s="22" t="n">
        <f aca="false">MAX(T9,S10)</f>
        <v>0</v>
      </c>
      <c r="U10" s="22" t="n">
        <f aca="false">T10-S10</f>
        <v>0</v>
      </c>
      <c r="V10" s="16"/>
    </row>
    <row r="11" customFormat="false" ht="15" hidden="false" customHeight="true" outlineLevel="0" collapsed="false">
      <c r="A11" s="4" t="str">
        <f aca="false">IF(B11="","",ROW()-1)</f>
        <v/>
      </c>
      <c r="B11" s="15"/>
      <c r="C11" s="16"/>
      <c r="D11" s="17"/>
      <c r="E11" s="17"/>
      <c r="F11" s="17"/>
      <c r="G11" s="18"/>
      <c r="H11" s="17"/>
      <c r="I11" s="16"/>
      <c r="J11" s="16"/>
      <c r="K11" s="17"/>
      <c r="L11" s="19"/>
      <c r="M11" s="20" t="b">
        <f aca="false">AND(B11&lt;&gt;"",B11&gt;='Read Me'!$B$5,H11&lt;&gt;"")</f>
        <v>0</v>
      </c>
      <c r="N11" s="21" t="str">
        <f aca="false">IF(OR(D11="",E11=""),"",ABS(D11-E11))</f>
        <v/>
      </c>
      <c r="O11" s="22" t="str">
        <f aca="false">IF(OR(H11="",N11="",N11=0),"",IF(C11="BUY",1,-1)*(H11-D11)/N11)</f>
        <v/>
      </c>
      <c r="P11" s="23" t="str">
        <f aca="false">IF(OR(H11="",D11="",K11=""),"",IF(C11="BUY",1,-1)*(H11-D11)*K11*'Read Me'!$B$10-L11)</f>
        <v/>
      </c>
      <c r="Q11" s="4" t="str">
        <f aca="false">IF(O11="","",IF(O11&gt;0,"WIN","LOSS"))</f>
        <v/>
      </c>
      <c r="R11" s="22" t="str">
        <f aca="false">IF(AND(M11,O11&lt;&gt;""),O11,"")</f>
        <v/>
      </c>
      <c r="S11" s="22" t="n">
        <f aca="false">S10+IF(R11="",0,R11)</f>
        <v>0</v>
      </c>
      <c r="T11" s="22" t="n">
        <f aca="false">MAX(T10,S11)</f>
        <v>0</v>
      </c>
      <c r="U11" s="22" t="n">
        <f aca="false">T11-S11</f>
        <v>0</v>
      </c>
      <c r="V11" s="16"/>
    </row>
    <row r="12" customFormat="false" ht="15" hidden="false" customHeight="true" outlineLevel="0" collapsed="false">
      <c r="A12" s="4" t="str">
        <f aca="false">IF(B12="","",ROW()-1)</f>
        <v/>
      </c>
      <c r="B12" s="15"/>
      <c r="C12" s="16"/>
      <c r="D12" s="17"/>
      <c r="E12" s="17"/>
      <c r="F12" s="17"/>
      <c r="G12" s="18"/>
      <c r="H12" s="17"/>
      <c r="I12" s="16"/>
      <c r="J12" s="16"/>
      <c r="K12" s="17"/>
      <c r="L12" s="19"/>
      <c r="M12" s="20" t="b">
        <f aca="false">AND(B12&lt;&gt;"",B12&gt;='Read Me'!$B$5,H12&lt;&gt;"")</f>
        <v>0</v>
      </c>
      <c r="N12" s="21" t="str">
        <f aca="false">IF(OR(D12="",E12=""),"",ABS(D12-E12))</f>
        <v/>
      </c>
      <c r="O12" s="22" t="str">
        <f aca="false">IF(OR(H12="",N12="",N12=0),"",IF(C12="BUY",1,-1)*(H12-D12)/N12)</f>
        <v/>
      </c>
      <c r="P12" s="23" t="str">
        <f aca="false">IF(OR(H12="",D12="",K12=""),"",IF(C12="BUY",1,-1)*(H12-D12)*K12*'Read Me'!$B$10-L12)</f>
        <v/>
      </c>
      <c r="Q12" s="4" t="str">
        <f aca="false">IF(O12="","",IF(O12&gt;0,"WIN","LOSS"))</f>
        <v/>
      </c>
      <c r="R12" s="22" t="str">
        <f aca="false">IF(AND(M12,O12&lt;&gt;""),O12,"")</f>
        <v/>
      </c>
      <c r="S12" s="22" t="n">
        <f aca="false">S11+IF(R12="",0,R12)</f>
        <v>0</v>
      </c>
      <c r="T12" s="22" t="n">
        <f aca="false">MAX(T11,S12)</f>
        <v>0</v>
      </c>
      <c r="U12" s="22" t="n">
        <f aca="false">T12-S12</f>
        <v>0</v>
      </c>
      <c r="V12" s="16"/>
    </row>
    <row r="13" customFormat="false" ht="15" hidden="false" customHeight="true" outlineLevel="0" collapsed="false">
      <c r="A13" s="4" t="str">
        <f aca="false">IF(B13="","",ROW()-1)</f>
        <v/>
      </c>
      <c r="B13" s="15"/>
      <c r="C13" s="16"/>
      <c r="D13" s="17"/>
      <c r="E13" s="17"/>
      <c r="F13" s="17"/>
      <c r="G13" s="18"/>
      <c r="H13" s="17"/>
      <c r="I13" s="16"/>
      <c r="J13" s="16"/>
      <c r="K13" s="17"/>
      <c r="L13" s="19"/>
      <c r="M13" s="20" t="b">
        <f aca="false">AND(B13&lt;&gt;"",B13&gt;='Read Me'!$B$5,H13&lt;&gt;"")</f>
        <v>0</v>
      </c>
      <c r="N13" s="21" t="str">
        <f aca="false">IF(OR(D13="",E13=""),"",ABS(D13-E13))</f>
        <v/>
      </c>
      <c r="O13" s="22" t="str">
        <f aca="false">IF(OR(H13="",N13="",N13=0),"",IF(C13="BUY",1,-1)*(H13-D13)/N13)</f>
        <v/>
      </c>
      <c r="P13" s="23" t="str">
        <f aca="false">IF(OR(H13="",D13="",K13=""),"",IF(C13="BUY",1,-1)*(H13-D13)*K13*'Read Me'!$B$10-L13)</f>
        <v/>
      </c>
      <c r="Q13" s="4" t="str">
        <f aca="false">IF(O13="","",IF(O13&gt;0,"WIN","LOSS"))</f>
        <v/>
      </c>
      <c r="R13" s="22" t="str">
        <f aca="false">IF(AND(M13,O13&lt;&gt;""),O13,"")</f>
        <v/>
      </c>
      <c r="S13" s="22" t="n">
        <f aca="false">S12+IF(R13="",0,R13)</f>
        <v>0</v>
      </c>
      <c r="T13" s="22" t="n">
        <f aca="false">MAX(T12,S13)</f>
        <v>0</v>
      </c>
      <c r="U13" s="22" t="n">
        <f aca="false">T13-S13</f>
        <v>0</v>
      </c>
      <c r="V13" s="16"/>
    </row>
    <row r="14" customFormat="false" ht="15" hidden="false" customHeight="true" outlineLevel="0" collapsed="false">
      <c r="A14" s="4" t="str">
        <f aca="false">IF(B14="","",ROW()-1)</f>
        <v/>
      </c>
      <c r="B14" s="15"/>
      <c r="C14" s="16"/>
      <c r="D14" s="17"/>
      <c r="E14" s="17"/>
      <c r="F14" s="17"/>
      <c r="G14" s="18"/>
      <c r="H14" s="17"/>
      <c r="I14" s="16"/>
      <c r="J14" s="16"/>
      <c r="K14" s="17"/>
      <c r="L14" s="19"/>
      <c r="M14" s="20" t="b">
        <f aca="false">AND(B14&lt;&gt;"",B14&gt;='Read Me'!$B$5,H14&lt;&gt;"")</f>
        <v>0</v>
      </c>
      <c r="N14" s="21" t="str">
        <f aca="false">IF(OR(D14="",E14=""),"",ABS(D14-E14))</f>
        <v/>
      </c>
      <c r="O14" s="22" t="str">
        <f aca="false">IF(OR(H14="",N14="",N14=0),"",IF(C14="BUY",1,-1)*(H14-D14)/N14)</f>
        <v/>
      </c>
      <c r="P14" s="23" t="str">
        <f aca="false">IF(OR(H14="",D14="",K14=""),"",IF(C14="BUY",1,-1)*(H14-D14)*K14*'Read Me'!$B$10-L14)</f>
        <v/>
      </c>
      <c r="Q14" s="4" t="str">
        <f aca="false">IF(O14="","",IF(O14&gt;0,"WIN","LOSS"))</f>
        <v/>
      </c>
      <c r="R14" s="22" t="str">
        <f aca="false">IF(AND(M14,O14&lt;&gt;""),O14,"")</f>
        <v/>
      </c>
      <c r="S14" s="22" t="n">
        <f aca="false">S13+IF(R14="",0,R14)</f>
        <v>0</v>
      </c>
      <c r="T14" s="22" t="n">
        <f aca="false">MAX(T13,S14)</f>
        <v>0</v>
      </c>
      <c r="U14" s="22" t="n">
        <f aca="false">T14-S14</f>
        <v>0</v>
      </c>
      <c r="V14" s="16"/>
    </row>
    <row r="15" customFormat="false" ht="15" hidden="false" customHeight="true" outlineLevel="0" collapsed="false">
      <c r="A15" s="4" t="str">
        <f aca="false">IF(B15="","",ROW()-1)</f>
        <v/>
      </c>
      <c r="B15" s="15"/>
      <c r="C15" s="16"/>
      <c r="D15" s="17"/>
      <c r="E15" s="17"/>
      <c r="F15" s="17"/>
      <c r="G15" s="18"/>
      <c r="H15" s="17"/>
      <c r="I15" s="16"/>
      <c r="J15" s="16"/>
      <c r="K15" s="17"/>
      <c r="L15" s="19"/>
      <c r="M15" s="20" t="b">
        <f aca="false">AND(B15&lt;&gt;"",B15&gt;='Read Me'!$B$5,H15&lt;&gt;"")</f>
        <v>0</v>
      </c>
      <c r="N15" s="21" t="str">
        <f aca="false">IF(OR(D15="",E15=""),"",ABS(D15-E15))</f>
        <v/>
      </c>
      <c r="O15" s="22" t="str">
        <f aca="false">IF(OR(H15="",N15="",N15=0),"",IF(C15="BUY",1,-1)*(H15-D15)/N15)</f>
        <v/>
      </c>
      <c r="P15" s="23" t="str">
        <f aca="false">IF(OR(H15="",D15="",K15=""),"",IF(C15="BUY",1,-1)*(H15-D15)*K15*'Read Me'!$B$10-L15)</f>
        <v/>
      </c>
      <c r="Q15" s="4" t="str">
        <f aca="false">IF(O15="","",IF(O15&gt;0,"WIN","LOSS"))</f>
        <v/>
      </c>
      <c r="R15" s="22" t="str">
        <f aca="false">IF(AND(M15,O15&lt;&gt;""),O15,"")</f>
        <v/>
      </c>
      <c r="S15" s="22" t="n">
        <f aca="false">S14+IF(R15="",0,R15)</f>
        <v>0</v>
      </c>
      <c r="T15" s="22" t="n">
        <f aca="false">MAX(T14,S15)</f>
        <v>0</v>
      </c>
      <c r="U15" s="22" t="n">
        <f aca="false">T15-S15</f>
        <v>0</v>
      </c>
      <c r="V15" s="16"/>
    </row>
    <row r="16" customFormat="false" ht="15" hidden="false" customHeight="true" outlineLevel="0" collapsed="false">
      <c r="A16" s="4" t="str">
        <f aca="false">IF(B16="","",ROW()-1)</f>
        <v/>
      </c>
      <c r="B16" s="15"/>
      <c r="C16" s="16"/>
      <c r="D16" s="17"/>
      <c r="E16" s="17"/>
      <c r="F16" s="17"/>
      <c r="G16" s="18"/>
      <c r="H16" s="17"/>
      <c r="I16" s="16"/>
      <c r="J16" s="16"/>
      <c r="K16" s="17"/>
      <c r="L16" s="19"/>
      <c r="M16" s="20" t="b">
        <f aca="false">AND(B16&lt;&gt;"",B16&gt;='Read Me'!$B$5,H16&lt;&gt;"")</f>
        <v>0</v>
      </c>
      <c r="N16" s="21" t="str">
        <f aca="false">IF(OR(D16="",E16=""),"",ABS(D16-E16))</f>
        <v/>
      </c>
      <c r="O16" s="22" t="str">
        <f aca="false">IF(OR(H16="",N16="",N16=0),"",IF(C16="BUY",1,-1)*(H16-D16)/N16)</f>
        <v/>
      </c>
      <c r="P16" s="23" t="str">
        <f aca="false">IF(OR(H16="",D16="",K16=""),"",IF(C16="BUY",1,-1)*(H16-D16)*K16*'Read Me'!$B$10-L16)</f>
        <v/>
      </c>
      <c r="Q16" s="4" t="str">
        <f aca="false">IF(O16="","",IF(O16&gt;0,"WIN","LOSS"))</f>
        <v/>
      </c>
      <c r="R16" s="22" t="str">
        <f aca="false">IF(AND(M16,O16&lt;&gt;""),O16,"")</f>
        <v/>
      </c>
      <c r="S16" s="22" t="n">
        <f aca="false">S15+IF(R16="",0,R16)</f>
        <v>0</v>
      </c>
      <c r="T16" s="22" t="n">
        <f aca="false">MAX(T15,S16)</f>
        <v>0</v>
      </c>
      <c r="U16" s="22" t="n">
        <f aca="false">T16-S16</f>
        <v>0</v>
      </c>
      <c r="V16" s="16"/>
    </row>
    <row r="17" customFormat="false" ht="15" hidden="false" customHeight="true" outlineLevel="0" collapsed="false">
      <c r="A17" s="4" t="str">
        <f aca="false">IF(B17="","",ROW()-1)</f>
        <v/>
      </c>
      <c r="B17" s="15"/>
      <c r="C17" s="16"/>
      <c r="D17" s="17"/>
      <c r="E17" s="17"/>
      <c r="F17" s="17"/>
      <c r="G17" s="18"/>
      <c r="H17" s="17"/>
      <c r="I17" s="16"/>
      <c r="J17" s="16"/>
      <c r="K17" s="17"/>
      <c r="L17" s="19"/>
      <c r="M17" s="20" t="b">
        <f aca="false">AND(B17&lt;&gt;"",B17&gt;='Read Me'!$B$5,H17&lt;&gt;"")</f>
        <v>0</v>
      </c>
      <c r="N17" s="21" t="str">
        <f aca="false">IF(OR(D17="",E17=""),"",ABS(D17-E17))</f>
        <v/>
      </c>
      <c r="O17" s="22" t="str">
        <f aca="false">IF(OR(H17="",N17="",N17=0),"",IF(C17="BUY",1,-1)*(H17-D17)/N17)</f>
        <v/>
      </c>
      <c r="P17" s="23" t="str">
        <f aca="false">IF(OR(H17="",D17="",K17=""),"",IF(C17="BUY",1,-1)*(H17-D17)*K17*'Read Me'!$B$10-L17)</f>
        <v/>
      </c>
      <c r="Q17" s="4" t="str">
        <f aca="false">IF(O17="","",IF(O17&gt;0,"WIN","LOSS"))</f>
        <v/>
      </c>
      <c r="R17" s="22" t="str">
        <f aca="false">IF(AND(M17,O17&lt;&gt;""),O17,"")</f>
        <v/>
      </c>
      <c r="S17" s="22" t="n">
        <f aca="false">S16+IF(R17="",0,R17)</f>
        <v>0</v>
      </c>
      <c r="T17" s="22" t="n">
        <f aca="false">MAX(T16,S17)</f>
        <v>0</v>
      </c>
      <c r="U17" s="22" t="n">
        <f aca="false">T17-S17</f>
        <v>0</v>
      </c>
      <c r="V17" s="16"/>
    </row>
    <row r="18" customFormat="false" ht="15" hidden="false" customHeight="true" outlineLevel="0" collapsed="false">
      <c r="A18" s="4" t="str">
        <f aca="false">IF(B18="","",ROW()-1)</f>
        <v/>
      </c>
      <c r="B18" s="15"/>
      <c r="C18" s="16"/>
      <c r="D18" s="17"/>
      <c r="E18" s="17"/>
      <c r="F18" s="17"/>
      <c r="G18" s="18"/>
      <c r="H18" s="17"/>
      <c r="I18" s="16"/>
      <c r="J18" s="16"/>
      <c r="K18" s="17"/>
      <c r="L18" s="19"/>
      <c r="M18" s="20" t="b">
        <f aca="false">AND(B18&lt;&gt;"",B18&gt;='Read Me'!$B$5,H18&lt;&gt;"")</f>
        <v>0</v>
      </c>
      <c r="N18" s="21" t="str">
        <f aca="false">IF(OR(D18="",E18=""),"",ABS(D18-E18))</f>
        <v/>
      </c>
      <c r="O18" s="22" t="str">
        <f aca="false">IF(OR(H18="",N18="",N18=0),"",IF(C18="BUY",1,-1)*(H18-D18)/N18)</f>
        <v/>
      </c>
      <c r="P18" s="23" t="str">
        <f aca="false">IF(OR(H18="",D18="",K18=""),"",IF(C18="BUY",1,-1)*(H18-D18)*K18*'Read Me'!$B$10-L18)</f>
        <v/>
      </c>
      <c r="Q18" s="4" t="str">
        <f aca="false">IF(O18="","",IF(O18&gt;0,"WIN","LOSS"))</f>
        <v/>
      </c>
      <c r="R18" s="22" t="str">
        <f aca="false">IF(AND(M18,O18&lt;&gt;""),O18,"")</f>
        <v/>
      </c>
      <c r="S18" s="22" t="n">
        <f aca="false">S17+IF(R18="",0,R18)</f>
        <v>0</v>
      </c>
      <c r="T18" s="22" t="n">
        <f aca="false">MAX(T17,S18)</f>
        <v>0</v>
      </c>
      <c r="U18" s="22" t="n">
        <f aca="false">T18-S18</f>
        <v>0</v>
      </c>
      <c r="V18" s="16"/>
    </row>
    <row r="19" customFormat="false" ht="15" hidden="false" customHeight="true" outlineLevel="0" collapsed="false">
      <c r="A19" s="4" t="str">
        <f aca="false">IF(B19="","",ROW()-1)</f>
        <v/>
      </c>
      <c r="B19" s="15"/>
      <c r="C19" s="16"/>
      <c r="D19" s="17"/>
      <c r="E19" s="17"/>
      <c r="F19" s="17"/>
      <c r="G19" s="18"/>
      <c r="H19" s="17"/>
      <c r="I19" s="16"/>
      <c r="J19" s="16"/>
      <c r="K19" s="17"/>
      <c r="L19" s="19"/>
      <c r="M19" s="20" t="b">
        <f aca="false">AND(B19&lt;&gt;"",B19&gt;='Read Me'!$B$5,H19&lt;&gt;"")</f>
        <v>0</v>
      </c>
      <c r="N19" s="21" t="str">
        <f aca="false">IF(OR(D19="",E19=""),"",ABS(D19-E19))</f>
        <v/>
      </c>
      <c r="O19" s="22" t="str">
        <f aca="false">IF(OR(H19="",N19="",N19=0),"",IF(C19="BUY",1,-1)*(H19-D19)/N19)</f>
        <v/>
      </c>
      <c r="P19" s="23" t="str">
        <f aca="false">IF(OR(H19="",D19="",K19=""),"",IF(C19="BUY",1,-1)*(H19-D19)*K19*'Read Me'!$B$10-L19)</f>
        <v/>
      </c>
      <c r="Q19" s="4" t="str">
        <f aca="false">IF(O19="","",IF(O19&gt;0,"WIN","LOSS"))</f>
        <v/>
      </c>
      <c r="R19" s="22" t="str">
        <f aca="false">IF(AND(M19,O19&lt;&gt;""),O19,"")</f>
        <v/>
      </c>
      <c r="S19" s="22" t="n">
        <f aca="false">S18+IF(R19="",0,R19)</f>
        <v>0</v>
      </c>
      <c r="T19" s="22" t="n">
        <f aca="false">MAX(T18,S19)</f>
        <v>0</v>
      </c>
      <c r="U19" s="22" t="n">
        <f aca="false">T19-S19</f>
        <v>0</v>
      </c>
      <c r="V19" s="16"/>
    </row>
    <row r="20" customFormat="false" ht="15" hidden="false" customHeight="true" outlineLevel="0" collapsed="false">
      <c r="A20" s="4" t="str">
        <f aca="false">IF(B20="","",ROW()-1)</f>
        <v/>
      </c>
      <c r="B20" s="15"/>
      <c r="C20" s="16"/>
      <c r="D20" s="17"/>
      <c r="E20" s="17"/>
      <c r="F20" s="17"/>
      <c r="G20" s="18"/>
      <c r="H20" s="17"/>
      <c r="I20" s="16"/>
      <c r="J20" s="16"/>
      <c r="K20" s="17"/>
      <c r="L20" s="19"/>
      <c r="M20" s="20" t="b">
        <f aca="false">AND(B20&lt;&gt;"",B20&gt;='Read Me'!$B$5,H20&lt;&gt;"")</f>
        <v>0</v>
      </c>
      <c r="N20" s="21" t="str">
        <f aca="false">IF(OR(D20="",E20=""),"",ABS(D20-E20))</f>
        <v/>
      </c>
      <c r="O20" s="22" t="str">
        <f aca="false">IF(OR(H20="",N20="",N20=0),"",IF(C20="BUY",1,-1)*(H20-D20)/N20)</f>
        <v/>
      </c>
      <c r="P20" s="23" t="str">
        <f aca="false">IF(OR(H20="",D20="",K20=""),"",IF(C20="BUY",1,-1)*(H20-D20)*K20*'Read Me'!$B$10-L20)</f>
        <v/>
      </c>
      <c r="Q20" s="4" t="str">
        <f aca="false">IF(O20="","",IF(O20&gt;0,"WIN","LOSS"))</f>
        <v/>
      </c>
      <c r="R20" s="22" t="str">
        <f aca="false">IF(AND(M20,O20&lt;&gt;""),O20,"")</f>
        <v/>
      </c>
      <c r="S20" s="22" t="n">
        <f aca="false">S19+IF(R20="",0,R20)</f>
        <v>0</v>
      </c>
      <c r="T20" s="22" t="n">
        <f aca="false">MAX(T19,S20)</f>
        <v>0</v>
      </c>
      <c r="U20" s="22" t="n">
        <f aca="false">T20-S20</f>
        <v>0</v>
      </c>
      <c r="V20" s="16"/>
    </row>
    <row r="21" customFormat="false" ht="15" hidden="false" customHeight="true" outlineLevel="0" collapsed="false">
      <c r="A21" s="4" t="str">
        <f aca="false">IF(B21="","",ROW()-1)</f>
        <v/>
      </c>
      <c r="B21" s="15"/>
      <c r="C21" s="16"/>
      <c r="D21" s="17"/>
      <c r="E21" s="17"/>
      <c r="F21" s="17"/>
      <c r="G21" s="18"/>
      <c r="H21" s="17"/>
      <c r="I21" s="16"/>
      <c r="J21" s="16"/>
      <c r="K21" s="17"/>
      <c r="L21" s="19"/>
      <c r="M21" s="20" t="b">
        <f aca="false">AND(B21&lt;&gt;"",B21&gt;='Read Me'!$B$5,H21&lt;&gt;"")</f>
        <v>0</v>
      </c>
      <c r="N21" s="21" t="str">
        <f aca="false">IF(OR(D21="",E21=""),"",ABS(D21-E21))</f>
        <v/>
      </c>
      <c r="O21" s="22" t="str">
        <f aca="false">IF(OR(H21="",N21="",N21=0),"",IF(C21="BUY",1,-1)*(H21-D21)/N21)</f>
        <v/>
      </c>
      <c r="P21" s="23" t="str">
        <f aca="false">IF(OR(H21="",D21="",K21=""),"",IF(C21="BUY",1,-1)*(H21-D21)*K21*'Read Me'!$B$10-L21)</f>
        <v/>
      </c>
      <c r="Q21" s="4" t="str">
        <f aca="false">IF(O21="","",IF(O21&gt;0,"WIN","LOSS"))</f>
        <v/>
      </c>
      <c r="R21" s="22" t="str">
        <f aca="false">IF(AND(M21,O21&lt;&gt;""),O21,"")</f>
        <v/>
      </c>
      <c r="S21" s="22" t="n">
        <f aca="false">S20+IF(R21="",0,R21)</f>
        <v>0</v>
      </c>
      <c r="T21" s="22" t="n">
        <f aca="false">MAX(T20,S21)</f>
        <v>0</v>
      </c>
      <c r="U21" s="22" t="n">
        <f aca="false">T21-S21</f>
        <v>0</v>
      </c>
      <c r="V21" s="16"/>
    </row>
    <row r="22" customFormat="false" ht="15" hidden="false" customHeight="true" outlineLevel="0" collapsed="false">
      <c r="A22" s="4" t="str">
        <f aca="false">IF(B22="","",ROW()-1)</f>
        <v/>
      </c>
      <c r="B22" s="15"/>
      <c r="C22" s="16"/>
      <c r="D22" s="17"/>
      <c r="E22" s="17"/>
      <c r="F22" s="17"/>
      <c r="G22" s="18"/>
      <c r="H22" s="17"/>
      <c r="I22" s="16"/>
      <c r="J22" s="16"/>
      <c r="K22" s="17"/>
      <c r="L22" s="19"/>
      <c r="M22" s="20" t="b">
        <f aca="false">AND(B22&lt;&gt;"",B22&gt;='Read Me'!$B$5,H22&lt;&gt;"")</f>
        <v>0</v>
      </c>
      <c r="N22" s="21" t="str">
        <f aca="false">IF(OR(D22="",E22=""),"",ABS(D22-E22))</f>
        <v/>
      </c>
      <c r="O22" s="22" t="str">
        <f aca="false">IF(OR(H22="",N22="",N22=0),"",IF(C22="BUY",1,-1)*(H22-D22)/N22)</f>
        <v/>
      </c>
      <c r="P22" s="23" t="str">
        <f aca="false">IF(OR(H22="",D22="",K22=""),"",IF(C22="BUY",1,-1)*(H22-D22)*K22*'Read Me'!$B$10-L22)</f>
        <v/>
      </c>
      <c r="Q22" s="4" t="str">
        <f aca="false">IF(O22="","",IF(O22&gt;0,"WIN","LOSS"))</f>
        <v/>
      </c>
      <c r="R22" s="22" t="str">
        <f aca="false">IF(AND(M22,O22&lt;&gt;""),O22,"")</f>
        <v/>
      </c>
      <c r="S22" s="22" t="n">
        <f aca="false">S21+IF(R22="",0,R22)</f>
        <v>0</v>
      </c>
      <c r="T22" s="22" t="n">
        <f aca="false">MAX(T21,S22)</f>
        <v>0</v>
      </c>
      <c r="U22" s="22" t="n">
        <f aca="false">T22-S22</f>
        <v>0</v>
      </c>
      <c r="V22" s="16"/>
    </row>
    <row r="23" customFormat="false" ht="15" hidden="false" customHeight="true" outlineLevel="0" collapsed="false">
      <c r="A23" s="4" t="str">
        <f aca="false">IF(B23="","",ROW()-1)</f>
        <v/>
      </c>
      <c r="B23" s="15"/>
      <c r="C23" s="16"/>
      <c r="D23" s="17"/>
      <c r="E23" s="17"/>
      <c r="F23" s="17"/>
      <c r="G23" s="18"/>
      <c r="H23" s="17"/>
      <c r="I23" s="16"/>
      <c r="J23" s="16"/>
      <c r="K23" s="17"/>
      <c r="L23" s="19"/>
      <c r="M23" s="20" t="b">
        <f aca="false">AND(B23&lt;&gt;"",B23&gt;='Read Me'!$B$5,H23&lt;&gt;"")</f>
        <v>0</v>
      </c>
      <c r="N23" s="21" t="str">
        <f aca="false">IF(OR(D23="",E23=""),"",ABS(D23-E23))</f>
        <v/>
      </c>
      <c r="O23" s="22" t="str">
        <f aca="false">IF(OR(H23="",N23="",N23=0),"",IF(C23="BUY",1,-1)*(H23-D23)/N23)</f>
        <v/>
      </c>
      <c r="P23" s="23" t="str">
        <f aca="false">IF(OR(H23="",D23="",K23=""),"",IF(C23="BUY",1,-1)*(H23-D23)*K23*'Read Me'!$B$10-L23)</f>
        <v/>
      </c>
      <c r="Q23" s="4" t="str">
        <f aca="false">IF(O23="","",IF(O23&gt;0,"WIN","LOSS"))</f>
        <v/>
      </c>
      <c r="R23" s="22" t="str">
        <f aca="false">IF(AND(M23,O23&lt;&gt;""),O23,"")</f>
        <v/>
      </c>
      <c r="S23" s="22" t="n">
        <f aca="false">S22+IF(R23="",0,R23)</f>
        <v>0</v>
      </c>
      <c r="T23" s="22" t="n">
        <f aca="false">MAX(T22,S23)</f>
        <v>0</v>
      </c>
      <c r="U23" s="22" t="n">
        <f aca="false">T23-S23</f>
        <v>0</v>
      </c>
      <c r="V23" s="16"/>
    </row>
    <row r="24" customFormat="false" ht="15" hidden="false" customHeight="true" outlineLevel="0" collapsed="false">
      <c r="A24" s="4" t="str">
        <f aca="false">IF(B24="","",ROW()-1)</f>
        <v/>
      </c>
      <c r="B24" s="15"/>
      <c r="C24" s="16"/>
      <c r="D24" s="17"/>
      <c r="E24" s="17"/>
      <c r="F24" s="17"/>
      <c r="G24" s="18"/>
      <c r="H24" s="17"/>
      <c r="I24" s="16"/>
      <c r="J24" s="16"/>
      <c r="K24" s="17"/>
      <c r="L24" s="19"/>
      <c r="M24" s="20" t="b">
        <f aca="false">AND(B24&lt;&gt;"",B24&gt;='Read Me'!$B$5,H24&lt;&gt;"")</f>
        <v>0</v>
      </c>
      <c r="N24" s="21" t="str">
        <f aca="false">IF(OR(D24="",E24=""),"",ABS(D24-E24))</f>
        <v/>
      </c>
      <c r="O24" s="22" t="str">
        <f aca="false">IF(OR(H24="",N24="",N24=0),"",IF(C24="BUY",1,-1)*(H24-D24)/N24)</f>
        <v/>
      </c>
      <c r="P24" s="23" t="str">
        <f aca="false">IF(OR(H24="",D24="",K24=""),"",IF(C24="BUY",1,-1)*(H24-D24)*K24*'Read Me'!$B$10-L24)</f>
        <v/>
      </c>
      <c r="Q24" s="4" t="str">
        <f aca="false">IF(O24="","",IF(O24&gt;0,"WIN","LOSS"))</f>
        <v/>
      </c>
      <c r="R24" s="22" t="str">
        <f aca="false">IF(AND(M24,O24&lt;&gt;""),O24,"")</f>
        <v/>
      </c>
      <c r="S24" s="22" t="n">
        <f aca="false">S23+IF(R24="",0,R24)</f>
        <v>0</v>
      </c>
      <c r="T24" s="22" t="n">
        <f aca="false">MAX(T23,S24)</f>
        <v>0</v>
      </c>
      <c r="U24" s="22" t="n">
        <f aca="false">T24-S24</f>
        <v>0</v>
      </c>
      <c r="V24" s="16"/>
    </row>
    <row r="25" customFormat="false" ht="15" hidden="false" customHeight="true" outlineLevel="0" collapsed="false">
      <c r="A25" s="4" t="str">
        <f aca="false">IF(B25="","",ROW()-1)</f>
        <v/>
      </c>
      <c r="B25" s="15"/>
      <c r="C25" s="16"/>
      <c r="D25" s="17"/>
      <c r="E25" s="17"/>
      <c r="F25" s="17"/>
      <c r="G25" s="18"/>
      <c r="H25" s="17"/>
      <c r="I25" s="16"/>
      <c r="J25" s="16"/>
      <c r="K25" s="17"/>
      <c r="L25" s="19"/>
      <c r="M25" s="20" t="b">
        <f aca="false">AND(B25&lt;&gt;"",B25&gt;='Read Me'!$B$5,H25&lt;&gt;"")</f>
        <v>0</v>
      </c>
      <c r="N25" s="21" t="str">
        <f aca="false">IF(OR(D25="",E25=""),"",ABS(D25-E25))</f>
        <v/>
      </c>
      <c r="O25" s="22" t="str">
        <f aca="false">IF(OR(H25="",N25="",N25=0),"",IF(C25="BUY",1,-1)*(H25-D25)/N25)</f>
        <v/>
      </c>
      <c r="P25" s="23" t="str">
        <f aca="false">IF(OR(H25="",D25="",K25=""),"",IF(C25="BUY",1,-1)*(H25-D25)*K25*'Read Me'!$B$10-L25)</f>
        <v/>
      </c>
      <c r="Q25" s="4" t="str">
        <f aca="false">IF(O25="","",IF(O25&gt;0,"WIN","LOSS"))</f>
        <v/>
      </c>
      <c r="R25" s="22" t="str">
        <f aca="false">IF(AND(M25,O25&lt;&gt;""),O25,"")</f>
        <v/>
      </c>
      <c r="S25" s="22" t="n">
        <f aca="false">S24+IF(R25="",0,R25)</f>
        <v>0</v>
      </c>
      <c r="T25" s="22" t="n">
        <f aca="false">MAX(T24,S25)</f>
        <v>0</v>
      </c>
      <c r="U25" s="22" t="n">
        <f aca="false">T25-S25</f>
        <v>0</v>
      </c>
      <c r="V25" s="16"/>
    </row>
    <row r="26" customFormat="false" ht="15" hidden="false" customHeight="true" outlineLevel="0" collapsed="false">
      <c r="A26" s="4" t="str">
        <f aca="false">IF(B26="","",ROW()-1)</f>
        <v/>
      </c>
      <c r="B26" s="15"/>
      <c r="C26" s="16"/>
      <c r="D26" s="17"/>
      <c r="E26" s="17"/>
      <c r="F26" s="17"/>
      <c r="G26" s="18"/>
      <c r="H26" s="17"/>
      <c r="I26" s="16"/>
      <c r="J26" s="16"/>
      <c r="K26" s="17"/>
      <c r="L26" s="19"/>
      <c r="M26" s="20" t="b">
        <f aca="false">AND(B26&lt;&gt;"",B26&gt;='Read Me'!$B$5,H26&lt;&gt;"")</f>
        <v>0</v>
      </c>
      <c r="N26" s="21" t="str">
        <f aca="false">IF(OR(D26="",E26=""),"",ABS(D26-E26))</f>
        <v/>
      </c>
      <c r="O26" s="22" t="str">
        <f aca="false">IF(OR(H26="",N26="",N26=0),"",IF(C26="BUY",1,-1)*(H26-D26)/N26)</f>
        <v/>
      </c>
      <c r="P26" s="23" t="str">
        <f aca="false">IF(OR(H26="",D26="",K26=""),"",IF(C26="BUY",1,-1)*(H26-D26)*K26*'Read Me'!$B$10-L26)</f>
        <v/>
      </c>
      <c r="Q26" s="4" t="str">
        <f aca="false">IF(O26="","",IF(O26&gt;0,"WIN","LOSS"))</f>
        <v/>
      </c>
      <c r="R26" s="22" t="str">
        <f aca="false">IF(AND(M26,O26&lt;&gt;""),O26,"")</f>
        <v/>
      </c>
      <c r="S26" s="22" t="n">
        <f aca="false">S25+IF(R26="",0,R26)</f>
        <v>0</v>
      </c>
      <c r="T26" s="22" t="n">
        <f aca="false">MAX(T25,S26)</f>
        <v>0</v>
      </c>
      <c r="U26" s="22" t="n">
        <f aca="false">T26-S26</f>
        <v>0</v>
      </c>
      <c r="V26" s="16"/>
    </row>
    <row r="27" customFormat="false" ht="15" hidden="false" customHeight="true" outlineLevel="0" collapsed="false">
      <c r="A27" s="4" t="str">
        <f aca="false">IF(B27="","",ROW()-1)</f>
        <v/>
      </c>
      <c r="B27" s="15"/>
      <c r="C27" s="16"/>
      <c r="D27" s="17"/>
      <c r="E27" s="17"/>
      <c r="F27" s="17"/>
      <c r="G27" s="18"/>
      <c r="H27" s="17"/>
      <c r="I27" s="16"/>
      <c r="J27" s="16"/>
      <c r="K27" s="17"/>
      <c r="L27" s="19"/>
      <c r="M27" s="20" t="b">
        <f aca="false">AND(B27&lt;&gt;"",B27&gt;='Read Me'!$B$5,H27&lt;&gt;"")</f>
        <v>0</v>
      </c>
      <c r="N27" s="21" t="str">
        <f aca="false">IF(OR(D27="",E27=""),"",ABS(D27-E27))</f>
        <v/>
      </c>
      <c r="O27" s="22" t="str">
        <f aca="false">IF(OR(H27="",N27="",N27=0),"",IF(C27="BUY",1,-1)*(H27-D27)/N27)</f>
        <v/>
      </c>
      <c r="P27" s="23" t="str">
        <f aca="false">IF(OR(H27="",D27="",K27=""),"",IF(C27="BUY",1,-1)*(H27-D27)*K27*'Read Me'!$B$10-L27)</f>
        <v/>
      </c>
      <c r="Q27" s="4" t="str">
        <f aca="false">IF(O27="","",IF(O27&gt;0,"WIN","LOSS"))</f>
        <v/>
      </c>
      <c r="R27" s="22" t="str">
        <f aca="false">IF(AND(M27,O27&lt;&gt;""),O27,"")</f>
        <v/>
      </c>
      <c r="S27" s="22" t="n">
        <f aca="false">S26+IF(R27="",0,R27)</f>
        <v>0</v>
      </c>
      <c r="T27" s="22" t="n">
        <f aca="false">MAX(T26,S27)</f>
        <v>0</v>
      </c>
      <c r="U27" s="22" t="n">
        <f aca="false">T27-S27</f>
        <v>0</v>
      </c>
      <c r="V27" s="16"/>
    </row>
    <row r="28" customFormat="false" ht="15" hidden="false" customHeight="true" outlineLevel="0" collapsed="false">
      <c r="A28" s="4" t="str">
        <f aca="false">IF(B28="","",ROW()-1)</f>
        <v/>
      </c>
      <c r="B28" s="15"/>
      <c r="C28" s="16"/>
      <c r="D28" s="17"/>
      <c r="E28" s="17"/>
      <c r="F28" s="17"/>
      <c r="G28" s="18"/>
      <c r="H28" s="17"/>
      <c r="I28" s="16"/>
      <c r="J28" s="16"/>
      <c r="K28" s="17"/>
      <c r="L28" s="19"/>
      <c r="M28" s="20" t="b">
        <f aca="false">AND(B28&lt;&gt;"",B28&gt;='Read Me'!$B$5,H28&lt;&gt;"")</f>
        <v>0</v>
      </c>
      <c r="N28" s="21" t="str">
        <f aca="false">IF(OR(D28="",E28=""),"",ABS(D28-E28))</f>
        <v/>
      </c>
      <c r="O28" s="22" t="str">
        <f aca="false">IF(OR(H28="",N28="",N28=0),"",IF(C28="BUY",1,-1)*(H28-D28)/N28)</f>
        <v/>
      </c>
      <c r="P28" s="23" t="str">
        <f aca="false">IF(OR(H28="",D28="",K28=""),"",IF(C28="BUY",1,-1)*(H28-D28)*K28*'Read Me'!$B$10-L28)</f>
        <v/>
      </c>
      <c r="Q28" s="4" t="str">
        <f aca="false">IF(O28="","",IF(O28&gt;0,"WIN","LOSS"))</f>
        <v/>
      </c>
      <c r="R28" s="22" t="str">
        <f aca="false">IF(AND(M28,O28&lt;&gt;""),O28,"")</f>
        <v/>
      </c>
      <c r="S28" s="22" t="n">
        <f aca="false">S27+IF(R28="",0,R28)</f>
        <v>0</v>
      </c>
      <c r="T28" s="22" t="n">
        <f aca="false">MAX(T27,S28)</f>
        <v>0</v>
      </c>
      <c r="U28" s="22" t="n">
        <f aca="false">T28-S28</f>
        <v>0</v>
      </c>
      <c r="V28" s="16"/>
    </row>
    <row r="29" customFormat="false" ht="15" hidden="false" customHeight="true" outlineLevel="0" collapsed="false">
      <c r="A29" s="4" t="str">
        <f aca="false">IF(B29="","",ROW()-1)</f>
        <v/>
      </c>
      <c r="B29" s="15"/>
      <c r="C29" s="16"/>
      <c r="D29" s="17"/>
      <c r="E29" s="17"/>
      <c r="F29" s="17"/>
      <c r="G29" s="18"/>
      <c r="H29" s="17"/>
      <c r="I29" s="16"/>
      <c r="J29" s="16"/>
      <c r="K29" s="17"/>
      <c r="L29" s="19"/>
      <c r="M29" s="20" t="b">
        <f aca="false">AND(B29&lt;&gt;"",B29&gt;='Read Me'!$B$5,H29&lt;&gt;"")</f>
        <v>0</v>
      </c>
      <c r="N29" s="21" t="str">
        <f aca="false">IF(OR(D29="",E29=""),"",ABS(D29-E29))</f>
        <v/>
      </c>
      <c r="O29" s="22" t="str">
        <f aca="false">IF(OR(H29="",N29="",N29=0),"",IF(C29="BUY",1,-1)*(H29-D29)/N29)</f>
        <v/>
      </c>
      <c r="P29" s="23" t="str">
        <f aca="false">IF(OR(H29="",D29="",K29=""),"",IF(C29="BUY",1,-1)*(H29-D29)*K29*'Read Me'!$B$10-L29)</f>
        <v/>
      </c>
      <c r="Q29" s="4" t="str">
        <f aca="false">IF(O29="","",IF(O29&gt;0,"WIN","LOSS"))</f>
        <v/>
      </c>
      <c r="R29" s="22" t="str">
        <f aca="false">IF(AND(M29,O29&lt;&gt;""),O29,"")</f>
        <v/>
      </c>
      <c r="S29" s="22" t="n">
        <f aca="false">S28+IF(R29="",0,R29)</f>
        <v>0</v>
      </c>
      <c r="T29" s="22" t="n">
        <f aca="false">MAX(T28,S29)</f>
        <v>0</v>
      </c>
      <c r="U29" s="22" t="n">
        <f aca="false">T29-S29</f>
        <v>0</v>
      </c>
      <c r="V29" s="16"/>
    </row>
    <row r="30" customFormat="false" ht="15" hidden="false" customHeight="true" outlineLevel="0" collapsed="false">
      <c r="A30" s="4" t="str">
        <f aca="false">IF(B30="","",ROW()-1)</f>
        <v/>
      </c>
      <c r="B30" s="15"/>
      <c r="C30" s="16"/>
      <c r="D30" s="17"/>
      <c r="E30" s="17"/>
      <c r="F30" s="17"/>
      <c r="G30" s="18"/>
      <c r="H30" s="17"/>
      <c r="I30" s="16"/>
      <c r="J30" s="16"/>
      <c r="K30" s="17"/>
      <c r="L30" s="19"/>
      <c r="M30" s="20" t="b">
        <f aca="false">AND(B30&lt;&gt;"",B30&gt;='Read Me'!$B$5,H30&lt;&gt;"")</f>
        <v>0</v>
      </c>
      <c r="N30" s="21" t="str">
        <f aca="false">IF(OR(D30="",E30=""),"",ABS(D30-E30))</f>
        <v/>
      </c>
      <c r="O30" s="22" t="str">
        <f aca="false">IF(OR(H30="",N30="",N30=0),"",IF(C30="BUY",1,-1)*(H30-D30)/N30)</f>
        <v/>
      </c>
      <c r="P30" s="23" t="str">
        <f aca="false">IF(OR(H30="",D30="",K30=""),"",IF(C30="BUY",1,-1)*(H30-D30)*K30*'Read Me'!$B$10-L30)</f>
        <v/>
      </c>
      <c r="Q30" s="4" t="str">
        <f aca="false">IF(O30="","",IF(O30&gt;0,"WIN","LOSS"))</f>
        <v/>
      </c>
      <c r="R30" s="22" t="str">
        <f aca="false">IF(AND(M30,O30&lt;&gt;""),O30,"")</f>
        <v/>
      </c>
      <c r="S30" s="22" t="n">
        <f aca="false">S29+IF(R30="",0,R30)</f>
        <v>0</v>
      </c>
      <c r="T30" s="22" t="n">
        <f aca="false">MAX(T29,S30)</f>
        <v>0</v>
      </c>
      <c r="U30" s="22" t="n">
        <f aca="false">T30-S30</f>
        <v>0</v>
      </c>
      <c r="V30" s="16"/>
    </row>
    <row r="31" customFormat="false" ht="15" hidden="false" customHeight="true" outlineLevel="0" collapsed="false">
      <c r="A31" s="4" t="str">
        <f aca="false">IF(B31="","",ROW()-1)</f>
        <v/>
      </c>
      <c r="B31" s="15"/>
      <c r="C31" s="16"/>
      <c r="D31" s="17"/>
      <c r="E31" s="17"/>
      <c r="F31" s="17"/>
      <c r="G31" s="18"/>
      <c r="H31" s="17"/>
      <c r="I31" s="16"/>
      <c r="J31" s="16"/>
      <c r="K31" s="17"/>
      <c r="L31" s="19"/>
      <c r="M31" s="20" t="b">
        <f aca="false">AND(B31&lt;&gt;"",B31&gt;='Read Me'!$B$5,H31&lt;&gt;"")</f>
        <v>0</v>
      </c>
      <c r="N31" s="21" t="str">
        <f aca="false">IF(OR(D31="",E31=""),"",ABS(D31-E31))</f>
        <v/>
      </c>
      <c r="O31" s="22" t="str">
        <f aca="false">IF(OR(H31="",N31="",N31=0),"",IF(C31="BUY",1,-1)*(H31-D31)/N31)</f>
        <v/>
      </c>
      <c r="P31" s="23" t="str">
        <f aca="false">IF(OR(H31="",D31="",K31=""),"",IF(C31="BUY",1,-1)*(H31-D31)*K31*'Read Me'!$B$10-L31)</f>
        <v/>
      </c>
      <c r="Q31" s="4" t="str">
        <f aca="false">IF(O31="","",IF(O31&gt;0,"WIN","LOSS"))</f>
        <v/>
      </c>
      <c r="R31" s="22" t="str">
        <f aca="false">IF(AND(M31,O31&lt;&gt;""),O31,"")</f>
        <v/>
      </c>
      <c r="S31" s="22" t="n">
        <f aca="false">S30+IF(R31="",0,R31)</f>
        <v>0</v>
      </c>
      <c r="T31" s="22" t="n">
        <f aca="false">MAX(T30,S31)</f>
        <v>0</v>
      </c>
      <c r="U31" s="22" t="n">
        <f aca="false">T31-S31</f>
        <v>0</v>
      </c>
      <c r="V31" s="16"/>
    </row>
    <row r="32" customFormat="false" ht="15" hidden="false" customHeight="true" outlineLevel="0" collapsed="false">
      <c r="A32" s="4" t="str">
        <f aca="false">IF(B32="","",ROW()-1)</f>
        <v/>
      </c>
      <c r="B32" s="15"/>
      <c r="C32" s="16"/>
      <c r="D32" s="17"/>
      <c r="E32" s="17"/>
      <c r="F32" s="17"/>
      <c r="G32" s="18"/>
      <c r="H32" s="17"/>
      <c r="I32" s="16"/>
      <c r="J32" s="16"/>
      <c r="K32" s="17"/>
      <c r="L32" s="19"/>
      <c r="M32" s="20" t="b">
        <f aca="false">AND(B32&lt;&gt;"",B32&gt;='Read Me'!$B$5,H32&lt;&gt;"")</f>
        <v>0</v>
      </c>
      <c r="N32" s="21" t="str">
        <f aca="false">IF(OR(D32="",E32=""),"",ABS(D32-E32))</f>
        <v/>
      </c>
      <c r="O32" s="22" t="str">
        <f aca="false">IF(OR(H32="",N32="",N32=0),"",IF(C32="BUY",1,-1)*(H32-D32)/N32)</f>
        <v/>
      </c>
      <c r="P32" s="23" t="str">
        <f aca="false">IF(OR(H32="",D32="",K32=""),"",IF(C32="BUY",1,-1)*(H32-D32)*K32*'Read Me'!$B$10-L32)</f>
        <v/>
      </c>
      <c r="Q32" s="4" t="str">
        <f aca="false">IF(O32="","",IF(O32&gt;0,"WIN","LOSS"))</f>
        <v/>
      </c>
      <c r="R32" s="22" t="str">
        <f aca="false">IF(AND(M32,O32&lt;&gt;""),O32,"")</f>
        <v/>
      </c>
      <c r="S32" s="22" t="n">
        <f aca="false">S31+IF(R32="",0,R32)</f>
        <v>0</v>
      </c>
      <c r="T32" s="22" t="n">
        <f aca="false">MAX(T31,S32)</f>
        <v>0</v>
      </c>
      <c r="U32" s="22" t="n">
        <f aca="false">T32-S32</f>
        <v>0</v>
      </c>
      <c r="V32" s="16"/>
    </row>
    <row r="33" customFormat="false" ht="15" hidden="false" customHeight="true" outlineLevel="0" collapsed="false">
      <c r="A33" s="4" t="str">
        <f aca="false">IF(B33="","",ROW()-1)</f>
        <v/>
      </c>
      <c r="B33" s="15"/>
      <c r="C33" s="16"/>
      <c r="D33" s="17"/>
      <c r="E33" s="17"/>
      <c r="F33" s="17"/>
      <c r="G33" s="18"/>
      <c r="H33" s="17"/>
      <c r="I33" s="16"/>
      <c r="J33" s="16"/>
      <c r="K33" s="17"/>
      <c r="L33" s="19"/>
      <c r="M33" s="20" t="b">
        <f aca="false">AND(B33&lt;&gt;"",B33&gt;='Read Me'!$B$5,H33&lt;&gt;"")</f>
        <v>0</v>
      </c>
      <c r="N33" s="21" t="str">
        <f aca="false">IF(OR(D33="",E33=""),"",ABS(D33-E33))</f>
        <v/>
      </c>
      <c r="O33" s="22" t="str">
        <f aca="false">IF(OR(H33="",N33="",N33=0),"",IF(C33="BUY",1,-1)*(H33-D33)/N33)</f>
        <v/>
      </c>
      <c r="P33" s="23" t="str">
        <f aca="false">IF(OR(H33="",D33="",K33=""),"",IF(C33="BUY",1,-1)*(H33-D33)*K33*'Read Me'!$B$10-L33)</f>
        <v/>
      </c>
      <c r="Q33" s="4" t="str">
        <f aca="false">IF(O33="","",IF(O33&gt;0,"WIN","LOSS"))</f>
        <v/>
      </c>
      <c r="R33" s="22" t="str">
        <f aca="false">IF(AND(M33,O33&lt;&gt;""),O33,"")</f>
        <v/>
      </c>
      <c r="S33" s="22" t="n">
        <f aca="false">S32+IF(R33="",0,R33)</f>
        <v>0</v>
      </c>
      <c r="T33" s="22" t="n">
        <f aca="false">MAX(T32,S33)</f>
        <v>0</v>
      </c>
      <c r="U33" s="22" t="n">
        <f aca="false">T33-S33</f>
        <v>0</v>
      </c>
      <c r="V33" s="16"/>
    </row>
    <row r="34" customFormat="false" ht="15" hidden="false" customHeight="true" outlineLevel="0" collapsed="false">
      <c r="A34" s="4" t="str">
        <f aca="false">IF(B34="","",ROW()-1)</f>
        <v/>
      </c>
      <c r="B34" s="15"/>
      <c r="C34" s="16"/>
      <c r="D34" s="17"/>
      <c r="E34" s="17"/>
      <c r="F34" s="17"/>
      <c r="G34" s="18"/>
      <c r="H34" s="17"/>
      <c r="I34" s="16"/>
      <c r="J34" s="16"/>
      <c r="K34" s="17"/>
      <c r="L34" s="19"/>
      <c r="M34" s="20" t="b">
        <f aca="false">AND(B34&lt;&gt;"",B34&gt;='Read Me'!$B$5,H34&lt;&gt;"")</f>
        <v>0</v>
      </c>
      <c r="N34" s="21" t="str">
        <f aca="false">IF(OR(D34="",E34=""),"",ABS(D34-E34))</f>
        <v/>
      </c>
      <c r="O34" s="22" t="str">
        <f aca="false">IF(OR(H34="",N34="",N34=0),"",IF(C34="BUY",1,-1)*(H34-D34)/N34)</f>
        <v/>
      </c>
      <c r="P34" s="23" t="str">
        <f aca="false">IF(OR(H34="",D34="",K34=""),"",IF(C34="BUY",1,-1)*(H34-D34)*K34*'Read Me'!$B$10-L34)</f>
        <v/>
      </c>
      <c r="Q34" s="4" t="str">
        <f aca="false">IF(O34="","",IF(O34&gt;0,"WIN","LOSS"))</f>
        <v/>
      </c>
      <c r="R34" s="22" t="str">
        <f aca="false">IF(AND(M34,O34&lt;&gt;""),O34,"")</f>
        <v/>
      </c>
      <c r="S34" s="22" t="n">
        <f aca="false">S33+IF(R34="",0,R34)</f>
        <v>0</v>
      </c>
      <c r="T34" s="22" t="n">
        <f aca="false">MAX(T33,S34)</f>
        <v>0</v>
      </c>
      <c r="U34" s="22" t="n">
        <f aca="false">T34-S34</f>
        <v>0</v>
      </c>
      <c r="V34" s="16"/>
    </row>
    <row r="35" customFormat="false" ht="15" hidden="false" customHeight="true" outlineLevel="0" collapsed="false">
      <c r="A35" s="4" t="str">
        <f aca="false">IF(B35="","",ROW()-1)</f>
        <v/>
      </c>
      <c r="B35" s="15"/>
      <c r="C35" s="16"/>
      <c r="D35" s="17"/>
      <c r="E35" s="17"/>
      <c r="F35" s="17"/>
      <c r="G35" s="18"/>
      <c r="H35" s="17"/>
      <c r="I35" s="16"/>
      <c r="J35" s="16"/>
      <c r="K35" s="17"/>
      <c r="L35" s="19"/>
      <c r="M35" s="20" t="b">
        <f aca="false">AND(B35&lt;&gt;"",B35&gt;='Read Me'!$B$5,H35&lt;&gt;"")</f>
        <v>0</v>
      </c>
      <c r="N35" s="21" t="str">
        <f aca="false">IF(OR(D35="",E35=""),"",ABS(D35-E35))</f>
        <v/>
      </c>
      <c r="O35" s="22" t="str">
        <f aca="false">IF(OR(H35="",N35="",N35=0),"",IF(C35="BUY",1,-1)*(H35-D35)/N35)</f>
        <v/>
      </c>
      <c r="P35" s="23" t="str">
        <f aca="false">IF(OR(H35="",D35="",K35=""),"",IF(C35="BUY",1,-1)*(H35-D35)*K35*'Read Me'!$B$10-L35)</f>
        <v/>
      </c>
      <c r="Q35" s="4" t="str">
        <f aca="false">IF(O35="","",IF(O35&gt;0,"WIN","LOSS"))</f>
        <v/>
      </c>
      <c r="R35" s="22" t="str">
        <f aca="false">IF(AND(M35,O35&lt;&gt;""),O35,"")</f>
        <v/>
      </c>
      <c r="S35" s="22" t="n">
        <f aca="false">S34+IF(R35="",0,R35)</f>
        <v>0</v>
      </c>
      <c r="T35" s="22" t="n">
        <f aca="false">MAX(T34,S35)</f>
        <v>0</v>
      </c>
      <c r="U35" s="22" t="n">
        <f aca="false">T35-S35</f>
        <v>0</v>
      </c>
      <c r="V35" s="16"/>
    </row>
    <row r="36" customFormat="false" ht="15" hidden="false" customHeight="true" outlineLevel="0" collapsed="false">
      <c r="A36" s="4" t="str">
        <f aca="false">IF(B36="","",ROW()-1)</f>
        <v/>
      </c>
      <c r="B36" s="15"/>
      <c r="C36" s="16"/>
      <c r="D36" s="17"/>
      <c r="E36" s="17"/>
      <c r="F36" s="17"/>
      <c r="G36" s="18"/>
      <c r="H36" s="17"/>
      <c r="I36" s="16"/>
      <c r="J36" s="16"/>
      <c r="K36" s="17"/>
      <c r="L36" s="19"/>
      <c r="M36" s="20" t="b">
        <f aca="false">AND(B36&lt;&gt;"",B36&gt;='Read Me'!$B$5,H36&lt;&gt;"")</f>
        <v>0</v>
      </c>
      <c r="N36" s="21" t="str">
        <f aca="false">IF(OR(D36="",E36=""),"",ABS(D36-E36))</f>
        <v/>
      </c>
      <c r="O36" s="22" t="str">
        <f aca="false">IF(OR(H36="",N36="",N36=0),"",IF(C36="BUY",1,-1)*(H36-D36)/N36)</f>
        <v/>
      </c>
      <c r="P36" s="23" t="str">
        <f aca="false">IF(OR(H36="",D36="",K36=""),"",IF(C36="BUY",1,-1)*(H36-D36)*K36*'Read Me'!$B$10-L36)</f>
        <v/>
      </c>
      <c r="Q36" s="4" t="str">
        <f aca="false">IF(O36="","",IF(O36&gt;0,"WIN","LOSS"))</f>
        <v/>
      </c>
      <c r="R36" s="22" t="str">
        <f aca="false">IF(AND(M36,O36&lt;&gt;""),O36,"")</f>
        <v/>
      </c>
      <c r="S36" s="22" t="n">
        <f aca="false">S35+IF(R36="",0,R36)</f>
        <v>0</v>
      </c>
      <c r="T36" s="22" t="n">
        <f aca="false">MAX(T35,S36)</f>
        <v>0</v>
      </c>
      <c r="U36" s="22" t="n">
        <f aca="false">T36-S36</f>
        <v>0</v>
      </c>
      <c r="V36" s="16"/>
    </row>
    <row r="37" customFormat="false" ht="15" hidden="false" customHeight="true" outlineLevel="0" collapsed="false">
      <c r="A37" s="4" t="str">
        <f aca="false">IF(B37="","",ROW()-1)</f>
        <v/>
      </c>
      <c r="B37" s="15"/>
      <c r="C37" s="16"/>
      <c r="D37" s="17"/>
      <c r="E37" s="17"/>
      <c r="F37" s="17"/>
      <c r="G37" s="18"/>
      <c r="H37" s="17"/>
      <c r="I37" s="16"/>
      <c r="J37" s="16"/>
      <c r="K37" s="17"/>
      <c r="L37" s="19"/>
      <c r="M37" s="20" t="b">
        <f aca="false">AND(B37&lt;&gt;"",B37&gt;='Read Me'!$B$5,H37&lt;&gt;"")</f>
        <v>0</v>
      </c>
      <c r="N37" s="21" t="str">
        <f aca="false">IF(OR(D37="",E37=""),"",ABS(D37-E37))</f>
        <v/>
      </c>
      <c r="O37" s="22" t="str">
        <f aca="false">IF(OR(H37="",N37="",N37=0),"",IF(C37="BUY",1,-1)*(H37-D37)/N37)</f>
        <v/>
      </c>
      <c r="P37" s="23" t="str">
        <f aca="false">IF(OR(H37="",D37="",K37=""),"",IF(C37="BUY",1,-1)*(H37-D37)*K37*'Read Me'!$B$10-L37)</f>
        <v/>
      </c>
      <c r="Q37" s="4" t="str">
        <f aca="false">IF(O37="","",IF(O37&gt;0,"WIN","LOSS"))</f>
        <v/>
      </c>
      <c r="R37" s="22" t="str">
        <f aca="false">IF(AND(M37,O37&lt;&gt;""),O37,"")</f>
        <v/>
      </c>
      <c r="S37" s="22" t="n">
        <f aca="false">S36+IF(R37="",0,R37)</f>
        <v>0</v>
      </c>
      <c r="T37" s="22" t="n">
        <f aca="false">MAX(T36,S37)</f>
        <v>0</v>
      </c>
      <c r="U37" s="22" t="n">
        <f aca="false">T37-S37</f>
        <v>0</v>
      </c>
      <c r="V37" s="16"/>
    </row>
    <row r="38" customFormat="false" ht="15" hidden="false" customHeight="true" outlineLevel="0" collapsed="false">
      <c r="A38" s="4" t="str">
        <f aca="false">IF(B38="","",ROW()-1)</f>
        <v/>
      </c>
      <c r="B38" s="15"/>
      <c r="C38" s="16"/>
      <c r="D38" s="17"/>
      <c r="E38" s="17"/>
      <c r="F38" s="17"/>
      <c r="G38" s="18"/>
      <c r="H38" s="17"/>
      <c r="I38" s="16"/>
      <c r="J38" s="16"/>
      <c r="K38" s="17"/>
      <c r="L38" s="19"/>
      <c r="M38" s="20" t="b">
        <f aca="false">AND(B38&lt;&gt;"",B38&gt;='Read Me'!$B$5,H38&lt;&gt;"")</f>
        <v>0</v>
      </c>
      <c r="N38" s="21" t="str">
        <f aca="false">IF(OR(D38="",E38=""),"",ABS(D38-E38))</f>
        <v/>
      </c>
      <c r="O38" s="22" t="str">
        <f aca="false">IF(OR(H38="",N38="",N38=0),"",IF(C38="BUY",1,-1)*(H38-D38)/N38)</f>
        <v/>
      </c>
      <c r="P38" s="23" t="str">
        <f aca="false">IF(OR(H38="",D38="",K38=""),"",IF(C38="BUY",1,-1)*(H38-D38)*K38*'Read Me'!$B$10-L38)</f>
        <v/>
      </c>
      <c r="Q38" s="4" t="str">
        <f aca="false">IF(O38="","",IF(O38&gt;0,"WIN","LOSS"))</f>
        <v/>
      </c>
      <c r="R38" s="22" t="str">
        <f aca="false">IF(AND(M38,O38&lt;&gt;""),O38,"")</f>
        <v/>
      </c>
      <c r="S38" s="22" t="n">
        <f aca="false">S37+IF(R38="",0,R38)</f>
        <v>0</v>
      </c>
      <c r="T38" s="22" t="n">
        <f aca="false">MAX(T37,S38)</f>
        <v>0</v>
      </c>
      <c r="U38" s="22" t="n">
        <f aca="false">T38-S38</f>
        <v>0</v>
      </c>
      <c r="V38" s="16"/>
    </row>
    <row r="39" customFormat="false" ht="15" hidden="false" customHeight="true" outlineLevel="0" collapsed="false">
      <c r="A39" s="4" t="str">
        <f aca="false">IF(B39="","",ROW()-1)</f>
        <v/>
      </c>
      <c r="B39" s="15"/>
      <c r="C39" s="16"/>
      <c r="D39" s="17"/>
      <c r="E39" s="17"/>
      <c r="F39" s="17"/>
      <c r="G39" s="18"/>
      <c r="H39" s="17"/>
      <c r="I39" s="16"/>
      <c r="J39" s="16"/>
      <c r="K39" s="17"/>
      <c r="L39" s="19"/>
      <c r="M39" s="20" t="b">
        <f aca="false">AND(B39&lt;&gt;"",B39&gt;='Read Me'!$B$5,H39&lt;&gt;"")</f>
        <v>0</v>
      </c>
      <c r="N39" s="21" t="str">
        <f aca="false">IF(OR(D39="",E39=""),"",ABS(D39-E39))</f>
        <v/>
      </c>
      <c r="O39" s="22" t="str">
        <f aca="false">IF(OR(H39="",N39="",N39=0),"",IF(C39="BUY",1,-1)*(H39-D39)/N39)</f>
        <v/>
      </c>
      <c r="P39" s="23" t="str">
        <f aca="false">IF(OR(H39="",D39="",K39=""),"",IF(C39="BUY",1,-1)*(H39-D39)*K39*'Read Me'!$B$10-L39)</f>
        <v/>
      </c>
      <c r="Q39" s="4" t="str">
        <f aca="false">IF(O39="","",IF(O39&gt;0,"WIN","LOSS"))</f>
        <v/>
      </c>
      <c r="R39" s="22" t="str">
        <f aca="false">IF(AND(M39,O39&lt;&gt;""),O39,"")</f>
        <v/>
      </c>
      <c r="S39" s="22" t="n">
        <f aca="false">S38+IF(R39="",0,R39)</f>
        <v>0</v>
      </c>
      <c r="T39" s="22" t="n">
        <f aca="false">MAX(T38,S39)</f>
        <v>0</v>
      </c>
      <c r="U39" s="22" t="n">
        <f aca="false">T39-S39</f>
        <v>0</v>
      </c>
      <c r="V39" s="16"/>
    </row>
    <row r="40" customFormat="false" ht="15" hidden="false" customHeight="true" outlineLevel="0" collapsed="false">
      <c r="A40" s="4" t="str">
        <f aca="false">IF(B40="","",ROW()-1)</f>
        <v/>
      </c>
      <c r="B40" s="15"/>
      <c r="C40" s="16"/>
      <c r="D40" s="17"/>
      <c r="E40" s="17"/>
      <c r="F40" s="17"/>
      <c r="G40" s="18"/>
      <c r="H40" s="17"/>
      <c r="I40" s="16"/>
      <c r="J40" s="16"/>
      <c r="K40" s="17"/>
      <c r="L40" s="19"/>
      <c r="M40" s="20" t="b">
        <f aca="false">AND(B40&lt;&gt;"",B40&gt;='Read Me'!$B$5,H40&lt;&gt;"")</f>
        <v>0</v>
      </c>
      <c r="N40" s="21" t="str">
        <f aca="false">IF(OR(D40="",E40=""),"",ABS(D40-E40))</f>
        <v/>
      </c>
      <c r="O40" s="22" t="str">
        <f aca="false">IF(OR(H40="",N40="",N40=0),"",IF(C40="BUY",1,-1)*(H40-D40)/N40)</f>
        <v/>
      </c>
      <c r="P40" s="23" t="str">
        <f aca="false">IF(OR(H40="",D40="",K40=""),"",IF(C40="BUY",1,-1)*(H40-D40)*K40*'Read Me'!$B$10-L40)</f>
        <v/>
      </c>
      <c r="Q40" s="4" t="str">
        <f aca="false">IF(O40="","",IF(O40&gt;0,"WIN","LOSS"))</f>
        <v/>
      </c>
      <c r="R40" s="22" t="str">
        <f aca="false">IF(AND(M40,O40&lt;&gt;""),O40,"")</f>
        <v/>
      </c>
      <c r="S40" s="22" t="n">
        <f aca="false">S39+IF(R40="",0,R40)</f>
        <v>0</v>
      </c>
      <c r="T40" s="22" t="n">
        <f aca="false">MAX(T39,S40)</f>
        <v>0</v>
      </c>
      <c r="U40" s="22" t="n">
        <f aca="false">T40-S40</f>
        <v>0</v>
      </c>
      <c r="V40" s="16"/>
    </row>
    <row r="41" customFormat="false" ht="15" hidden="false" customHeight="true" outlineLevel="0" collapsed="false">
      <c r="A41" s="4" t="str">
        <f aca="false">IF(B41="","",ROW()-1)</f>
        <v/>
      </c>
      <c r="B41" s="15"/>
      <c r="C41" s="16"/>
      <c r="D41" s="17"/>
      <c r="E41" s="17"/>
      <c r="F41" s="17"/>
      <c r="G41" s="18"/>
      <c r="H41" s="17"/>
      <c r="I41" s="16"/>
      <c r="J41" s="16"/>
      <c r="K41" s="17"/>
      <c r="L41" s="19"/>
      <c r="M41" s="20" t="b">
        <f aca="false">AND(B41&lt;&gt;"",B41&gt;='Read Me'!$B$5,H41&lt;&gt;"")</f>
        <v>0</v>
      </c>
      <c r="N41" s="21" t="str">
        <f aca="false">IF(OR(D41="",E41=""),"",ABS(D41-E41))</f>
        <v/>
      </c>
      <c r="O41" s="22" t="str">
        <f aca="false">IF(OR(H41="",N41="",N41=0),"",IF(C41="BUY",1,-1)*(H41-D41)/N41)</f>
        <v/>
      </c>
      <c r="P41" s="23" t="str">
        <f aca="false">IF(OR(H41="",D41="",K41=""),"",IF(C41="BUY",1,-1)*(H41-D41)*K41*'Read Me'!$B$10-L41)</f>
        <v/>
      </c>
      <c r="Q41" s="4" t="str">
        <f aca="false">IF(O41="","",IF(O41&gt;0,"WIN","LOSS"))</f>
        <v/>
      </c>
      <c r="R41" s="22" t="str">
        <f aca="false">IF(AND(M41,O41&lt;&gt;""),O41,"")</f>
        <v/>
      </c>
      <c r="S41" s="22" t="n">
        <f aca="false">S40+IF(R41="",0,R41)</f>
        <v>0</v>
      </c>
      <c r="T41" s="22" t="n">
        <f aca="false">MAX(T40,S41)</f>
        <v>0</v>
      </c>
      <c r="U41" s="22" t="n">
        <f aca="false">T41-S41</f>
        <v>0</v>
      </c>
      <c r="V41" s="16"/>
    </row>
    <row r="42" customFormat="false" ht="15" hidden="false" customHeight="true" outlineLevel="0" collapsed="false">
      <c r="A42" s="4" t="str">
        <f aca="false">IF(B42="","",ROW()-1)</f>
        <v/>
      </c>
      <c r="B42" s="15"/>
      <c r="C42" s="16"/>
      <c r="D42" s="17"/>
      <c r="E42" s="17"/>
      <c r="F42" s="17"/>
      <c r="G42" s="18"/>
      <c r="H42" s="17"/>
      <c r="I42" s="16"/>
      <c r="J42" s="16"/>
      <c r="K42" s="17"/>
      <c r="L42" s="19"/>
      <c r="M42" s="20" t="b">
        <f aca="false">AND(B42&lt;&gt;"",B42&gt;='Read Me'!$B$5,H42&lt;&gt;"")</f>
        <v>0</v>
      </c>
      <c r="N42" s="21" t="str">
        <f aca="false">IF(OR(D42="",E42=""),"",ABS(D42-E42))</f>
        <v/>
      </c>
      <c r="O42" s="22" t="str">
        <f aca="false">IF(OR(H42="",N42="",N42=0),"",IF(C42="BUY",1,-1)*(H42-D42)/N42)</f>
        <v/>
      </c>
      <c r="P42" s="23" t="str">
        <f aca="false">IF(OR(H42="",D42="",K42=""),"",IF(C42="BUY",1,-1)*(H42-D42)*K42*'Read Me'!$B$10-L42)</f>
        <v/>
      </c>
      <c r="Q42" s="4" t="str">
        <f aca="false">IF(O42="","",IF(O42&gt;0,"WIN","LOSS"))</f>
        <v/>
      </c>
      <c r="R42" s="22" t="str">
        <f aca="false">IF(AND(M42,O42&lt;&gt;""),O42,"")</f>
        <v/>
      </c>
      <c r="S42" s="22" t="n">
        <f aca="false">S41+IF(R42="",0,R42)</f>
        <v>0</v>
      </c>
      <c r="T42" s="22" t="n">
        <f aca="false">MAX(T41,S42)</f>
        <v>0</v>
      </c>
      <c r="U42" s="22" t="n">
        <f aca="false">T42-S42</f>
        <v>0</v>
      </c>
      <c r="V42" s="16"/>
    </row>
    <row r="43" customFormat="false" ht="15" hidden="false" customHeight="true" outlineLevel="0" collapsed="false">
      <c r="A43" s="4" t="str">
        <f aca="false">IF(B43="","",ROW()-1)</f>
        <v/>
      </c>
      <c r="B43" s="15"/>
      <c r="C43" s="16"/>
      <c r="D43" s="17"/>
      <c r="E43" s="17"/>
      <c r="F43" s="17"/>
      <c r="G43" s="18"/>
      <c r="H43" s="17"/>
      <c r="I43" s="16"/>
      <c r="J43" s="16"/>
      <c r="K43" s="17"/>
      <c r="L43" s="19"/>
      <c r="M43" s="20" t="b">
        <f aca="false">AND(B43&lt;&gt;"",B43&gt;='Read Me'!$B$5,H43&lt;&gt;"")</f>
        <v>0</v>
      </c>
      <c r="N43" s="21" t="str">
        <f aca="false">IF(OR(D43="",E43=""),"",ABS(D43-E43))</f>
        <v/>
      </c>
      <c r="O43" s="22" t="str">
        <f aca="false">IF(OR(H43="",N43="",N43=0),"",IF(C43="BUY",1,-1)*(H43-D43)/N43)</f>
        <v/>
      </c>
      <c r="P43" s="23" t="str">
        <f aca="false">IF(OR(H43="",D43="",K43=""),"",IF(C43="BUY",1,-1)*(H43-D43)*K43*'Read Me'!$B$10-L43)</f>
        <v/>
      </c>
      <c r="Q43" s="4" t="str">
        <f aca="false">IF(O43="","",IF(O43&gt;0,"WIN","LOSS"))</f>
        <v/>
      </c>
      <c r="R43" s="22" t="str">
        <f aca="false">IF(AND(M43,O43&lt;&gt;""),O43,"")</f>
        <v/>
      </c>
      <c r="S43" s="22" t="n">
        <f aca="false">S42+IF(R43="",0,R43)</f>
        <v>0</v>
      </c>
      <c r="T43" s="22" t="n">
        <f aca="false">MAX(T42,S43)</f>
        <v>0</v>
      </c>
      <c r="U43" s="22" t="n">
        <f aca="false">T43-S43</f>
        <v>0</v>
      </c>
      <c r="V43" s="16"/>
    </row>
    <row r="44" customFormat="false" ht="15" hidden="false" customHeight="true" outlineLevel="0" collapsed="false">
      <c r="A44" s="4" t="str">
        <f aca="false">IF(B44="","",ROW()-1)</f>
        <v/>
      </c>
      <c r="B44" s="15"/>
      <c r="C44" s="16"/>
      <c r="D44" s="17"/>
      <c r="E44" s="17"/>
      <c r="F44" s="17"/>
      <c r="G44" s="18"/>
      <c r="H44" s="17"/>
      <c r="I44" s="16"/>
      <c r="J44" s="16"/>
      <c r="K44" s="17"/>
      <c r="L44" s="19"/>
      <c r="M44" s="20" t="b">
        <f aca="false">AND(B44&lt;&gt;"",B44&gt;='Read Me'!$B$5,H44&lt;&gt;"")</f>
        <v>0</v>
      </c>
      <c r="N44" s="21" t="str">
        <f aca="false">IF(OR(D44="",E44=""),"",ABS(D44-E44))</f>
        <v/>
      </c>
      <c r="O44" s="22" t="str">
        <f aca="false">IF(OR(H44="",N44="",N44=0),"",IF(C44="BUY",1,-1)*(H44-D44)/N44)</f>
        <v/>
      </c>
      <c r="P44" s="23" t="str">
        <f aca="false">IF(OR(H44="",D44="",K44=""),"",IF(C44="BUY",1,-1)*(H44-D44)*K44*'Read Me'!$B$10-L44)</f>
        <v/>
      </c>
      <c r="Q44" s="4" t="str">
        <f aca="false">IF(O44="","",IF(O44&gt;0,"WIN","LOSS"))</f>
        <v/>
      </c>
      <c r="R44" s="22" t="str">
        <f aca="false">IF(AND(M44,O44&lt;&gt;""),O44,"")</f>
        <v/>
      </c>
      <c r="S44" s="22" t="n">
        <f aca="false">S43+IF(R44="",0,R44)</f>
        <v>0</v>
      </c>
      <c r="T44" s="22" t="n">
        <f aca="false">MAX(T43,S44)</f>
        <v>0</v>
      </c>
      <c r="U44" s="22" t="n">
        <f aca="false">T44-S44</f>
        <v>0</v>
      </c>
      <c r="V44" s="16"/>
    </row>
    <row r="45" customFormat="false" ht="15" hidden="false" customHeight="true" outlineLevel="0" collapsed="false">
      <c r="A45" s="4" t="str">
        <f aca="false">IF(B45="","",ROW()-1)</f>
        <v/>
      </c>
      <c r="B45" s="15"/>
      <c r="C45" s="16"/>
      <c r="D45" s="17"/>
      <c r="E45" s="17"/>
      <c r="F45" s="17"/>
      <c r="G45" s="18"/>
      <c r="H45" s="17"/>
      <c r="I45" s="16"/>
      <c r="J45" s="16"/>
      <c r="K45" s="17"/>
      <c r="L45" s="19"/>
      <c r="M45" s="20" t="b">
        <f aca="false">AND(B45&lt;&gt;"",B45&gt;='Read Me'!$B$5,H45&lt;&gt;"")</f>
        <v>0</v>
      </c>
      <c r="N45" s="21" t="str">
        <f aca="false">IF(OR(D45="",E45=""),"",ABS(D45-E45))</f>
        <v/>
      </c>
      <c r="O45" s="22" t="str">
        <f aca="false">IF(OR(H45="",N45="",N45=0),"",IF(C45="BUY",1,-1)*(H45-D45)/N45)</f>
        <v/>
      </c>
      <c r="P45" s="23" t="str">
        <f aca="false">IF(OR(H45="",D45="",K45=""),"",IF(C45="BUY",1,-1)*(H45-D45)*K45*'Read Me'!$B$10-L45)</f>
        <v/>
      </c>
      <c r="Q45" s="4" t="str">
        <f aca="false">IF(O45="","",IF(O45&gt;0,"WIN","LOSS"))</f>
        <v/>
      </c>
      <c r="R45" s="22" t="str">
        <f aca="false">IF(AND(M45,O45&lt;&gt;""),O45,"")</f>
        <v/>
      </c>
      <c r="S45" s="22" t="n">
        <f aca="false">S44+IF(R45="",0,R45)</f>
        <v>0</v>
      </c>
      <c r="T45" s="22" t="n">
        <f aca="false">MAX(T44,S45)</f>
        <v>0</v>
      </c>
      <c r="U45" s="22" t="n">
        <f aca="false">T45-S45</f>
        <v>0</v>
      </c>
      <c r="V45" s="16"/>
    </row>
    <row r="46" customFormat="false" ht="15" hidden="false" customHeight="true" outlineLevel="0" collapsed="false">
      <c r="A46" s="4" t="str">
        <f aca="false">IF(B46="","",ROW()-1)</f>
        <v/>
      </c>
      <c r="B46" s="15"/>
      <c r="C46" s="16"/>
      <c r="D46" s="17"/>
      <c r="E46" s="17"/>
      <c r="F46" s="17"/>
      <c r="G46" s="18"/>
      <c r="H46" s="17"/>
      <c r="I46" s="16"/>
      <c r="J46" s="16"/>
      <c r="K46" s="17"/>
      <c r="L46" s="19"/>
      <c r="M46" s="20" t="b">
        <f aca="false">AND(B46&lt;&gt;"",B46&gt;='Read Me'!$B$5,H46&lt;&gt;"")</f>
        <v>0</v>
      </c>
      <c r="N46" s="21" t="str">
        <f aca="false">IF(OR(D46="",E46=""),"",ABS(D46-E46))</f>
        <v/>
      </c>
      <c r="O46" s="22" t="str">
        <f aca="false">IF(OR(H46="",N46="",N46=0),"",IF(C46="BUY",1,-1)*(H46-D46)/N46)</f>
        <v/>
      </c>
      <c r="P46" s="23" t="str">
        <f aca="false">IF(OR(H46="",D46="",K46=""),"",IF(C46="BUY",1,-1)*(H46-D46)*K46*'Read Me'!$B$10-L46)</f>
        <v/>
      </c>
      <c r="Q46" s="4" t="str">
        <f aca="false">IF(O46="","",IF(O46&gt;0,"WIN","LOSS"))</f>
        <v/>
      </c>
      <c r="R46" s="22" t="str">
        <f aca="false">IF(AND(M46,O46&lt;&gt;""),O46,"")</f>
        <v/>
      </c>
      <c r="S46" s="22" t="n">
        <f aca="false">S45+IF(R46="",0,R46)</f>
        <v>0</v>
      </c>
      <c r="T46" s="22" t="n">
        <f aca="false">MAX(T45,S46)</f>
        <v>0</v>
      </c>
      <c r="U46" s="22" t="n">
        <f aca="false">T46-S46</f>
        <v>0</v>
      </c>
      <c r="V46" s="16"/>
    </row>
    <row r="47" customFormat="false" ht="15" hidden="false" customHeight="true" outlineLevel="0" collapsed="false">
      <c r="A47" s="4" t="str">
        <f aca="false">IF(B47="","",ROW()-1)</f>
        <v/>
      </c>
      <c r="B47" s="15"/>
      <c r="C47" s="16"/>
      <c r="D47" s="17"/>
      <c r="E47" s="17"/>
      <c r="F47" s="17"/>
      <c r="G47" s="18"/>
      <c r="H47" s="17"/>
      <c r="I47" s="16"/>
      <c r="J47" s="16"/>
      <c r="K47" s="17"/>
      <c r="L47" s="19"/>
      <c r="M47" s="20" t="b">
        <f aca="false">AND(B47&lt;&gt;"",B47&gt;='Read Me'!$B$5,H47&lt;&gt;"")</f>
        <v>0</v>
      </c>
      <c r="N47" s="21" t="str">
        <f aca="false">IF(OR(D47="",E47=""),"",ABS(D47-E47))</f>
        <v/>
      </c>
      <c r="O47" s="22" t="str">
        <f aca="false">IF(OR(H47="",N47="",N47=0),"",IF(C47="BUY",1,-1)*(H47-D47)/N47)</f>
        <v/>
      </c>
      <c r="P47" s="23" t="str">
        <f aca="false">IF(OR(H47="",D47="",K47=""),"",IF(C47="BUY",1,-1)*(H47-D47)*K47*'Read Me'!$B$10-L47)</f>
        <v/>
      </c>
      <c r="Q47" s="4" t="str">
        <f aca="false">IF(O47="","",IF(O47&gt;0,"WIN","LOSS"))</f>
        <v/>
      </c>
      <c r="R47" s="22" t="str">
        <f aca="false">IF(AND(M47,O47&lt;&gt;""),O47,"")</f>
        <v/>
      </c>
      <c r="S47" s="22" t="n">
        <f aca="false">S46+IF(R47="",0,R47)</f>
        <v>0</v>
      </c>
      <c r="T47" s="22" t="n">
        <f aca="false">MAX(T46,S47)</f>
        <v>0</v>
      </c>
      <c r="U47" s="22" t="n">
        <f aca="false">T47-S47</f>
        <v>0</v>
      </c>
      <c r="V47" s="16"/>
    </row>
    <row r="48" customFormat="false" ht="15" hidden="false" customHeight="true" outlineLevel="0" collapsed="false">
      <c r="A48" s="4" t="str">
        <f aca="false">IF(B48="","",ROW()-1)</f>
        <v/>
      </c>
      <c r="B48" s="15"/>
      <c r="C48" s="16"/>
      <c r="D48" s="17"/>
      <c r="E48" s="17"/>
      <c r="F48" s="17"/>
      <c r="G48" s="18"/>
      <c r="H48" s="17"/>
      <c r="I48" s="16"/>
      <c r="J48" s="16"/>
      <c r="K48" s="17"/>
      <c r="L48" s="19"/>
      <c r="M48" s="20" t="b">
        <f aca="false">AND(B48&lt;&gt;"",B48&gt;='Read Me'!$B$5,H48&lt;&gt;"")</f>
        <v>0</v>
      </c>
      <c r="N48" s="21" t="str">
        <f aca="false">IF(OR(D48="",E48=""),"",ABS(D48-E48))</f>
        <v/>
      </c>
      <c r="O48" s="22" t="str">
        <f aca="false">IF(OR(H48="",N48="",N48=0),"",IF(C48="BUY",1,-1)*(H48-D48)/N48)</f>
        <v/>
      </c>
      <c r="P48" s="23" t="str">
        <f aca="false">IF(OR(H48="",D48="",K48=""),"",IF(C48="BUY",1,-1)*(H48-D48)*K48*'Read Me'!$B$10-L48)</f>
        <v/>
      </c>
      <c r="Q48" s="4" t="str">
        <f aca="false">IF(O48="","",IF(O48&gt;0,"WIN","LOSS"))</f>
        <v/>
      </c>
      <c r="R48" s="22" t="str">
        <f aca="false">IF(AND(M48,O48&lt;&gt;""),O48,"")</f>
        <v/>
      </c>
      <c r="S48" s="22" t="n">
        <f aca="false">S47+IF(R48="",0,R48)</f>
        <v>0</v>
      </c>
      <c r="T48" s="22" t="n">
        <f aca="false">MAX(T47,S48)</f>
        <v>0</v>
      </c>
      <c r="U48" s="22" t="n">
        <f aca="false">T48-S48</f>
        <v>0</v>
      </c>
      <c r="V48" s="16"/>
    </row>
    <row r="49" customFormat="false" ht="15" hidden="false" customHeight="true" outlineLevel="0" collapsed="false">
      <c r="A49" s="4" t="str">
        <f aca="false">IF(B49="","",ROW()-1)</f>
        <v/>
      </c>
      <c r="B49" s="15"/>
      <c r="C49" s="16"/>
      <c r="D49" s="17"/>
      <c r="E49" s="17"/>
      <c r="F49" s="17"/>
      <c r="G49" s="18"/>
      <c r="H49" s="17"/>
      <c r="I49" s="16"/>
      <c r="J49" s="16"/>
      <c r="K49" s="17"/>
      <c r="L49" s="19"/>
      <c r="M49" s="20" t="b">
        <f aca="false">AND(B49&lt;&gt;"",B49&gt;='Read Me'!$B$5,H49&lt;&gt;"")</f>
        <v>0</v>
      </c>
      <c r="N49" s="21" t="str">
        <f aca="false">IF(OR(D49="",E49=""),"",ABS(D49-E49))</f>
        <v/>
      </c>
      <c r="O49" s="22" t="str">
        <f aca="false">IF(OR(H49="",N49="",N49=0),"",IF(C49="BUY",1,-1)*(H49-D49)/N49)</f>
        <v/>
      </c>
      <c r="P49" s="23" t="str">
        <f aca="false">IF(OR(H49="",D49="",K49=""),"",IF(C49="BUY",1,-1)*(H49-D49)*K49*'Read Me'!$B$10-L49)</f>
        <v/>
      </c>
      <c r="Q49" s="4" t="str">
        <f aca="false">IF(O49="","",IF(O49&gt;0,"WIN","LOSS"))</f>
        <v/>
      </c>
      <c r="R49" s="22" t="str">
        <f aca="false">IF(AND(M49,O49&lt;&gt;""),O49,"")</f>
        <v/>
      </c>
      <c r="S49" s="22" t="n">
        <f aca="false">S48+IF(R49="",0,R49)</f>
        <v>0</v>
      </c>
      <c r="T49" s="22" t="n">
        <f aca="false">MAX(T48,S49)</f>
        <v>0</v>
      </c>
      <c r="U49" s="22" t="n">
        <f aca="false">T49-S49</f>
        <v>0</v>
      </c>
      <c r="V49" s="16"/>
    </row>
    <row r="50" customFormat="false" ht="15" hidden="false" customHeight="true" outlineLevel="0" collapsed="false">
      <c r="A50" s="4" t="str">
        <f aca="false">IF(B50="","",ROW()-1)</f>
        <v/>
      </c>
      <c r="B50" s="15"/>
      <c r="C50" s="16"/>
      <c r="D50" s="17"/>
      <c r="E50" s="17"/>
      <c r="F50" s="17"/>
      <c r="G50" s="18"/>
      <c r="H50" s="17"/>
      <c r="I50" s="16"/>
      <c r="J50" s="16"/>
      <c r="K50" s="17"/>
      <c r="L50" s="19"/>
      <c r="M50" s="20" t="b">
        <f aca="false">AND(B50&lt;&gt;"",B50&gt;='Read Me'!$B$5,H50&lt;&gt;"")</f>
        <v>0</v>
      </c>
      <c r="N50" s="21" t="str">
        <f aca="false">IF(OR(D50="",E50=""),"",ABS(D50-E50))</f>
        <v/>
      </c>
      <c r="O50" s="22" t="str">
        <f aca="false">IF(OR(H50="",N50="",N50=0),"",IF(C50="BUY",1,-1)*(H50-D50)/N50)</f>
        <v/>
      </c>
      <c r="P50" s="23" t="str">
        <f aca="false">IF(OR(H50="",D50="",K50=""),"",IF(C50="BUY",1,-1)*(H50-D50)*K50*'Read Me'!$B$10-L50)</f>
        <v/>
      </c>
      <c r="Q50" s="4" t="str">
        <f aca="false">IF(O50="","",IF(O50&gt;0,"WIN","LOSS"))</f>
        <v/>
      </c>
      <c r="R50" s="22" t="str">
        <f aca="false">IF(AND(M50,O50&lt;&gt;""),O50,"")</f>
        <v/>
      </c>
      <c r="S50" s="22" t="n">
        <f aca="false">S49+IF(R50="",0,R50)</f>
        <v>0</v>
      </c>
      <c r="T50" s="22" t="n">
        <f aca="false">MAX(T49,S50)</f>
        <v>0</v>
      </c>
      <c r="U50" s="22" t="n">
        <f aca="false">T50-S50</f>
        <v>0</v>
      </c>
      <c r="V50" s="16"/>
    </row>
    <row r="51" customFormat="false" ht="15" hidden="false" customHeight="true" outlineLevel="0" collapsed="false">
      <c r="A51" s="4" t="str">
        <f aca="false">IF(B51="","",ROW()-1)</f>
        <v/>
      </c>
      <c r="B51" s="15"/>
      <c r="C51" s="16"/>
      <c r="D51" s="17"/>
      <c r="E51" s="17"/>
      <c r="F51" s="17"/>
      <c r="G51" s="18"/>
      <c r="H51" s="17"/>
      <c r="I51" s="16"/>
      <c r="J51" s="16"/>
      <c r="K51" s="17"/>
      <c r="L51" s="19"/>
      <c r="M51" s="20" t="b">
        <f aca="false">AND(B51&lt;&gt;"",B51&gt;='Read Me'!$B$5,H51&lt;&gt;"")</f>
        <v>0</v>
      </c>
      <c r="N51" s="21" t="str">
        <f aca="false">IF(OR(D51="",E51=""),"",ABS(D51-E51))</f>
        <v/>
      </c>
      <c r="O51" s="22" t="str">
        <f aca="false">IF(OR(H51="",N51="",N51=0),"",IF(C51="BUY",1,-1)*(H51-D51)/N51)</f>
        <v/>
      </c>
      <c r="P51" s="23" t="str">
        <f aca="false">IF(OR(H51="",D51="",K51=""),"",IF(C51="BUY",1,-1)*(H51-D51)*K51*'Read Me'!$B$10-L51)</f>
        <v/>
      </c>
      <c r="Q51" s="4" t="str">
        <f aca="false">IF(O51="","",IF(O51&gt;0,"WIN","LOSS"))</f>
        <v/>
      </c>
      <c r="R51" s="22" t="str">
        <f aca="false">IF(AND(M51,O51&lt;&gt;""),O51,"")</f>
        <v/>
      </c>
      <c r="S51" s="22" t="n">
        <f aca="false">S50+IF(R51="",0,R51)</f>
        <v>0</v>
      </c>
      <c r="T51" s="22" t="n">
        <f aca="false">MAX(T50,S51)</f>
        <v>0</v>
      </c>
      <c r="U51" s="22" t="n">
        <f aca="false">T51-S51</f>
        <v>0</v>
      </c>
      <c r="V51" s="16"/>
    </row>
    <row r="52" customFormat="false" ht="15" hidden="false" customHeight="true" outlineLevel="0" collapsed="false">
      <c r="A52" s="4" t="str">
        <f aca="false">IF(B52="","",ROW()-1)</f>
        <v/>
      </c>
      <c r="B52" s="15"/>
      <c r="C52" s="16"/>
      <c r="D52" s="17"/>
      <c r="E52" s="17"/>
      <c r="F52" s="17"/>
      <c r="G52" s="18"/>
      <c r="H52" s="17"/>
      <c r="I52" s="16"/>
      <c r="J52" s="16"/>
      <c r="K52" s="17"/>
      <c r="L52" s="19"/>
      <c r="M52" s="20" t="b">
        <f aca="false">AND(B52&lt;&gt;"",B52&gt;='Read Me'!$B$5,H52&lt;&gt;"")</f>
        <v>0</v>
      </c>
      <c r="N52" s="21" t="str">
        <f aca="false">IF(OR(D52="",E52=""),"",ABS(D52-E52))</f>
        <v/>
      </c>
      <c r="O52" s="22" t="str">
        <f aca="false">IF(OR(H52="",N52="",N52=0),"",IF(C52="BUY",1,-1)*(H52-D52)/N52)</f>
        <v/>
      </c>
      <c r="P52" s="23" t="str">
        <f aca="false">IF(OR(H52="",D52="",K52=""),"",IF(C52="BUY",1,-1)*(H52-D52)*K52*'Read Me'!$B$10-L52)</f>
        <v/>
      </c>
      <c r="Q52" s="4" t="str">
        <f aca="false">IF(O52="","",IF(O52&gt;0,"WIN","LOSS"))</f>
        <v/>
      </c>
      <c r="R52" s="22" t="str">
        <f aca="false">IF(AND(M52,O52&lt;&gt;""),O52,"")</f>
        <v/>
      </c>
      <c r="S52" s="22" t="n">
        <f aca="false">S51+IF(R52="",0,R52)</f>
        <v>0</v>
      </c>
      <c r="T52" s="22" t="n">
        <f aca="false">MAX(T51,S52)</f>
        <v>0</v>
      </c>
      <c r="U52" s="22" t="n">
        <f aca="false">T52-S52</f>
        <v>0</v>
      </c>
      <c r="V52" s="16"/>
    </row>
    <row r="53" customFormat="false" ht="15" hidden="false" customHeight="true" outlineLevel="0" collapsed="false">
      <c r="A53" s="4" t="str">
        <f aca="false">IF(B53="","",ROW()-1)</f>
        <v/>
      </c>
      <c r="B53" s="15"/>
      <c r="C53" s="16"/>
      <c r="D53" s="17"/>
      <c r="E53" s="17"/>
      <c r="F53" s="17"/>
      <c r="G53" s="18"/>
      <c r="H53" s="17"/>
      <c r="I53" s="16"/>
      <c r="J53" s="16"/>
      <c r="K53" s="17"/>
      <c r="L53" s="19"/>
      <c r="M53" s="20" t="b">
        <f aca="false">AND(B53&lt;&gt;"",B53&gt;='Read Me'!$B$5,H53&lt;&gt;"")</f>
        <v>0</v>
      </c>
      <c r="N53" s="21" t="str">
        <f aca="false">IF(OR(D53="",E53=""),"",ABS(D53-E53))</f>
        <v/>
      </c>
      <c r="O53" s="22" t="str">
        <f aca="false">IF(OR(H53="",N53="",N53=0),"",IF(C53="BUY",1,-1)*(H53-D53)/N53)</f>
        <v/>
      </c>
      <c r="P53" s="23" t="str">
        <f aca="false">IF(OR(H53="",D53="",K53=""),"",IF(C53="BUY",1,-1)*(H53-D53)*K53*'Read Me'!$B$10-L53)</f>
        <v/>
      </c>
      <c r="Q53" s="4" t="str">
        <f aca="false">IF(O53="","",IF(O53&gt;0,"WIN","LOSS"))</f>
        <v/>
      </c>
      <c r="R53" s="22" t="str">
        <f aca="false">IF(AND(M53,O53&lt;&gt;""),O53,"")</f>
        <v/>
      </c>
      <c r="S53" s="22" t="n">
        <f aca="false">S52+IF(R53="",0,R53)</f>
        <v>0</v>
      </c>
      <c r="T53" s="22" t="n">
        <f aca="false">MAX(T52,S53)</f>
        <v>0</v>
      </c>
      <c r="U53" s="22" t="n">
        <f aca="false">T53-S53</f>
        <v>0</v>
      </c>
      <c r="V53" s="16"/>
    </row>
    <row r="54" customFormat="false" ht="15" hidden="false" customHeight="true" outlineLevel="0" collapsed="false">
      <c r="A54" s="4" t="str">
        <f aca="false">IF(B54="","",ROW()-1)</f>
        <v/>
      </c>
      <c r="B54" s="15"/>
      <c r="C54" s="16"/>
      <c r="D54" s="17"/>
      <c r="E54" s="17"/>
      <c r="F54" s="17"/>
      <c r="G54" s="18"/>
      <c r="H54" s="17"/>
      <c r="I54" s="16"/>
      <c r="J54" s="16"/>
      <c r="K54" s="17"/>
      <c r="L54" s="19"/>
      <c r="M54" s="20" t="b">
        <f aca="false">AND(B54&lt;&gt;"",B54&gt;='Read Me'!$B$5,H54&lt;&gt;"")</f>
        <v>0</v>
      </c>
      <c r="N54" s="21" t="str">
        <f aca="false">IF(OR(D54="",E54=""),"",ABS(D54-E54))</f>
        <v/>
      </c>
      <c r="O54" s="22" t="str">
        <f aca="false">IF(OR(H54="",N54="",N54=0),"",IF(C54="BUY",1,-1)*(H54-D54)/N54)</f>
        <v/>
      </c>
      <c r="P54" s="23" t="str">
        <f aca="false">IF(OR(H54="",D54="",K54=""),"",IF(C54="BUY",1,-1)*(H54-D54)*K54*'Read Me'!$B$10-L54)</f>
        <v/>
      </c>
      <c r="Q54" s="4" t="str">
        <f aca="false">IF(O54="","",IF(O54&gt;0,"WIN","LOSS"))</f>
        <v/>
      </c>
      <c r="R54" s="22" t="str">
        <f aca="false">IF(AND(M54,O54&lt;&gt;""),O54,"")</f>
        <v/>
      </c>
      <c r="S54" s="22" t="n">
        <f aca="false">S53+IF(R54="",0,R54)</f>
        <v>0</v>
      </c>
      <c r="T54" s="22" t="n">
        <f aca="false">MAX(T53,S54)</f>
        <v>0</v>
      </c>
      <c r="U54" s="22" t="n">
        <f aca="false">T54-S54</f>
        <v>0</v>
      </c>
      <c r="V54" s="16"/>
    </row>
    <row r="55" customFormat="false" ht="15" hidden="false" customHeight="true" outlineLevel="0" collapsed="false">
      <c r="A55" s="4" t="str">
        <f aca="false">IF(B55="","",ROW()-1)</f>
        <v/>
      </c>
      <c r="B55" s="15"/>
      <c r="C55" s="16"/>
      <c r="D55" s="17"/>
      <c r="E55" s="17"/>
      <c r="F55" s="17"/>
      <c r="G55" s="18"/>
      <c r="H55" s="17"/>
      <c r="I55" s="16"/>
      <c r="J55" s="16"/>
      <c r="K55" s="17"/>
      <c r="L55" s="19"/>
      <c r="M55" s="20" t="b">
        <f aca="false">AND(B55&lt;&gt;"",B55&gt;='Read Me'!$B$5,H55&lt;&gt;"")</f>
        <v>0</v>
      </c>
      <c r="N55" s="21" t="str">
        <f aca="false">IF(OR(D55="",E55=""),"",ABS(D55-E55))</f>
        <v/>
      </c>
      <c r="O55" s="22" t="str">
        <f aca="false">IF(OR(H55="",N55="",N55=0),"",IF(C55="BUY",1,-1)*(H55-D55)/N55)</f>
        <v/>
      </c>
      <c r="P55" s="23" t="str">
        <f aca="false">IF(OR(H55="",D55="",K55=""),"",IF(C55="BUY",1,-1)*(H55-D55)*K55*'Read Me'!$B$10-L55)</f>
        <v/>
      </c>
      <c r="Q55" s="4" t="str">
        <f aca="false">IF(O55="","",IF(O55&gt;0,"WIN","LOSS"))</f>
        <v/>
      </c>
      <c r="R55" s="22" t="str">
        <f aca="false">IF(AND(M55,O55&lt;&gt;""),O55,"")</f>
        <v/>
      </c>
      <c r="S55" s="22" t="n">
        <f aca="false">S54+IF(R55="",0,R55)</f>
        <v>0</v>
      </c>
      <c r="T55" s="22" t="n">
        <f aca="false">MAX(T54,S55)</f>
        <v>0</v>
      </c>
      <c r="U55" s="22" t="n">
        <f aca="false">T55-S55</f>
        <v>0</v>
      </c>
      <c r="V55" s="16"/>
    </row>
    <row r="56" customFormat="false" ht="15" hidden="false" customHeight="true" outlineLevel="0" collapsed="false">
      <c r="A56" s="4" t="str">
        <f aca="false">IF(B56="","",ROW()-1)</f>
        <v/>
      </c>
      <c r="B56" s="15"/>
      <c r="C56" s="16"/>
      <c r="D56" s="17"/>
      <c r="E56" s="17"/>
      <c r="F56" s="17"/>
      <c r="G56" s="18"/>
      <c r="H56" s="17"/>
      <c r="I56" s="16"/>
      <c r="J56" s="16"/>
      <c r="K56" s="17"/>
      <c r="L56" s="19"/>
      <c r="M56" s="20" t="b">
        <f aca="false">AND(B56&lt;&gt;"",B56&gt;='Read Me'!$B$5,H56&lt;&gt;"")</f>
        <v>0</v>
      </c>
      <c r="N56" s="21" t="str">
        <f aca="false">IF(OR(D56="",E56=""),"",ABS(D56-E56))</f>
        <v/>
      </c>
      <c r="O56" s="22" t="str">
        <f aca="false">IF(OR(H56="",N56="",N56=0),"",IF(C56="BUY",1,-1)*(H56-D56)/N56)</f>
        <v/>
      </c>
      <c r="P56" s="23" t="str">
        <f aca="false">IF(OR(H56="",D56="",K56=""),"",IF(C56="BUY",1,-1)*(H56-D56)*K56*'Read Me'!$B$10-L56)</f>
        <v/>
      </c>
      <c r="Q56" s="4" t="str">
        <f aca="false">IF(O56="","",IF(O56&gt;0,"WIN","LOSS"))</f>
        <v/>
      </c>
      <c r="R56" s="22" t="str">
        <f aca="false">IF(AND(M56,O56&lt;&gt;""),O56,"")</f>
        <v/>
      </c>
      <c r="S56" s="22" t="n">
        <f aca="false">S55+IF(R56="",0,R56)</f>
        <v>0</v>
      </c>
      <c r="T56" s="22" t="n">
        <f aca="false">MAX(T55,S56)</f>
        <v>0</v>
      </c>
      <c r="U56" s="22" t="n">
        <f aca="false">T56-S56</f>
        <v>0</v>
      </c>
      <c r="V56" s="16"/>
    </row>
    <row r="57" customFormat="false" ht="15" hidden="false" customHeight="true" outlineLevel="0" collapsed="false">
      <c r="A57" s="4" t="str">
        <f aca="false">IF(B57="","",ROW()-1)</f>
        <v/>
      </c>
      <c r="B57" s="15"/>
      <c r="C57" s="16"/>
      <c r="D57" s="17"/>
      <c r="E57" s="17"/>
      <c r="F57" s="17"/>
      <c r="G57" s="18"/>
      <c r="H57" s="17"/>
      <c r="I57" s="16"/>
      <c r="J57" s="16"/>
      <c r="K57" s="17"/>
      <c r="L57" s="19"/>
      <c r="M57" s="20" t="b">
        <f aca="false">AND(B57&lt;&gt;"",B57&gt;='Read Me'!$B$5,H57&lt;&gt;"")</f>
        <v>0</v>
      </c>
      <c r="N57" s="21" t="str">
        <f aca="false">IF(OR(D57="",E57=""),"",ABS(D57-E57))</f>
        <v/>
      </c>
      <c r="O57" s="22" t="str">
        <f aca="false">IF(OR(H57="",N57="",N57=0),"",IF(C57="BUY",1,-1)*(H57-D57)/N57)</f>
        <v/>
      </c>
      <c r="P57" s="23" t="str">
        <f aca="false">IF(OR(H57="",D57="",K57=""),"",IF(C57="BUY",1,-1)*(H57-D57)*K57*'Read Me'!$B$10-L57)</f>
        <v/>
      </c>
      <c r="Q57" s="4" t="str">
        <f aca="false">IF(O57="","",IF(O57&gt;0,"WIN","LOSS"))</f>
        <v/>
      </c>
      <c r="R57" s="22" t="str">
        <f aca="false">IF(AND(M57,O57&lt;&gt;""),O57,"")</f>
        <v/>
      </c>
      <c r="S57" s="22" t="n">
        <f aca="false">S56+IF(R57="",0,R57)</f>
        <v>0</v>
      </c>
      <c r="T57" s="22" t="n">
        <f aca="false">MAX(T56,S57)</f>
        <v>0</v>
      </c>
      <c r="U57" s="22" t="n">
        <f aca="false">T57-S57</f>
        <v>0</v>
      </c>
      <c r="V57" s="16"/>
    </row>
    <row r="58" customFormat="false" ht="15" hidden="false" customHeight="true" outlineLevel="0" collapsed="false">
      <c r="A58" s="4" t="str">
        <f aca="false">IF(B58="","",ROW()-1)</f>
        <v/>
      </c>
      <c r="B58" s="15"/>
      <c r="C58" s="16"/>
      <c r="D58" s="17"/>
      <c r="E58" s="17"/>
      <c r="F58" s="17"/>
      <c r="G58" s="18"/>
      <c r="H58" s="17"/>
      <c r="I58" s="16"/>
      <c r="J58" s="16"/>
      <c r="K58" s="17"/>
      <c r="L58" s="19"/>
      <c r="M58" s="20" t="b">
        <f aca="false">AND(B58&lt;&gt;"",B58&gt;='Read Me'!$B$5,H58&lt;&gt;"")</f>
        <v>0</v>
      </c>
      <c r="N58" s="21" t="str">
        <f aca="false">IF(OR(D58="",E58=""),"",ABS(D58-E58))</f>
        <v/>
      </c>
      <c r="O58" s="22" t="str">
        <f aca="false">IF(OR(H58="",N58="",N58=0),"",IF(C58="BUY",1,-1)*(H58-D58)/N58)</f>
        <v/>
      </c>
      <c r="P58" s="23" t="str">
        <f aca="false">IF(OR(H58="",D58="",K58=""),"",IF(C58="BUY",1,-1)*(H58-D58)*K58*'Read Me'!$B$10-L58)</f>
        <v/>
      </c>
      <c r="Q58" s="4" t="str">
        <f aca="false">IF(O58="","",IF(O58&gt;0,"WIN","LOSS"))</f>
        <v/>
      </c>
      <c r="R58" s="22" t="str">
        <f aca="false">IF(AND(M58,O58&lt;&gt;""),O58,"")</f>
        <v/>
      </c>
      <c r="S58" s="22" t="n">
        <f aca="false">S57+IF(R58="",0,R58)</f>
        <v>0</v>
      </c>
      <c r="T58" s="22" t="n">
        <f aca="false">MAX(T57,S58)</f>
        <v>0</v>
      </c>
      <c r="U58" s="22" t="n">
        <f aca="false">T58-S58</f>
        <v>0</v>
      </c>
      <c r="V58" s="16"/>
    </row>
    <row r="59" customFormat="false" ht="15" hidden="false" customHeight="true" outlineLevel="0" collapsed="false">
      <c r="A59" s="4" t="str">
        <f aca="false">IF(B59="","",ROW()-1)</f>
        <v/>
      </c>
      <c r="B59" s="15"/>
      <c r="C59" s="16"/>
      <c r="D59" s="17"/>
      <c r="E59" s="17"/>
      <c r="F59" s="17"/>
      <c r="G59" s="18"/>
      <c r="H59" s="17"/>
      <c r="I59" s="16"/>
      <c r="J59" s="16"/>
      <c r="K59" s="17"/>
      <c r="L59" s="19"/>
      <c r="M59" s="20" t="b">
        <f aca="false">AND(B59&lt;&gt;"",B59&gt;='Read Me'!$B$5,H59&lt;&gt;"")</f>
        <v>0</v>
      </c>
      <c r="N59" s="21" t="str">
        <f aca="false">IF(OR(D59="",E59=""),"",ABS(D59-E59))</f>
        <v/>
      </c>
      <c r="O59" s="22" t="str">
        <f aca="false">IF(OR(H59="",N59="",N59=0),"",IF(C59="BUY",1,-1)*(H59-D59)/N59)</f>
        <v/>
      </c>
      <c r="P59" s="23" t="str">
        <f aca="false">IF(OR(H59="",D59="",K59=""),"",IF(C59="BUY",1,-1)*(H59-D59)*K59*'Read Me'!$B$10-L59)</f>
        <v/>
      </c>
      <c r="Q59" s="4" t="str">
        <f aca="false">IF(O59="","",IF(O59&gt;0,"WIN","LOSS"))</f>
        <v/>
      </c>
      <c r="R59" s="22" t="str">
        <f aca="false">IF(AND(M59,O59&lt;&gt;""),O59,"")</f>
        <v/>
      </c>
      <c r="S59" s="22" t="n">
        <f aca="false">S58+IF(R59="",0,R59)</f>
        <v>0</v>
      </c>
      <c r="T59" s="22" t="n">
        <f aca="false">MAX(T58,S59)</f>
        <v>0</v>
      </c>
      <c r="U59" s="22" t="n">
        <f aca="false">T59-S59</f>
        <v>0</v>
      </c>
      <c r="V59" s="16"/>
    </row>
    <row r="60" customFormat="false" ht="15" hidden="false" customHeight="true" outlineLevel="0" collapsed="false">
      <c r="A60" s="4" t="str">
        <f aca="false">IF(B60="","",ROW()-1)</f>
        <v/>
      </c>
      <c r="B60" s="15"/>
      <c r="C60" s="16"/>
      <c r="D60" s="17"/>
      <c r="E60" s="17"/>
      <c r="F60" s="17"/>
      <c r="G60" s="18"/>
      <c r="H60" s="17"/>
      <c r="I60" s="16"/>
      <c r="J60" s="16"/>
      <c r="K60" s="17"/>
      <c r="L60" s="19"/>
      <c r="M60" s="20" t="b">
        <f aca="false">AND(B60&lt;&gt;"",B60&gt;='Read Me'!$B$5,H60&lt;&gt;"")</f>
        <v>0</v>
      </c>
      <c r="N60" s="21" t="str">
        <f aca="false">IF(OR(D60="",E60=""),"",ABS(D60-E60))</f>
        <v/>
      </c>
      <c r="O60" s="22" t="str">
        <f aca="false">IF(OR(H60="",N60="",N60=0),"",IF(C60="BUY",1,-1)*(H60-D60)/N60)</f>
        <v/>
      </c>
      <c r="P60" s="23" t="str">
        <f aca="false">IF(OR(H60="",D60="",K60=""),"",IF(C60="BUY",1,-1)*(H60-D60)*K60*'Read Me'!$B$10-L60)</f>
        <v/>
      </c>
      <c r="Q60" s="4" t="str">
        <f aca="false">IF(O60="","",IF(O60&gt;0,"WIN","LOSS"))</f>
        <v/>
      </c>
      <c r="R60" s="22" t="str">
        <f aca="false">IF(AND(M60,O60&lt;&gt;""),O60,"")</f>
        <v/>
      </c>
      <c r="S60" s="22" t="n">
        <f aca="false">S59+IF(R60="",0,R60)</f>
        <v>0</v>
      </c>
      <c r="T60" s="22" t="n">
        <f aca="false">MAX(T59,S60)</f>
        <v>0</v>
      </c>
      <c r="U60" s="22" t="n">
        <f aca="false">T60-S60</f>
        <v>0</v>
      </c>
      <c r="V60" s="16"/>
    </row>
    <row r="61" customFormat="false" ht="15" hidden="false" customHeight="true" outlineLevel="0" collapsed="false">
      <c r="A61" s="4" t="str">
        <f aca="false">IF(B61="","",ROW()-1)</f>
        <v/>
      </c>
      <c r="B61" s="15"/>
      <c r="C61" s="16"/>
      <c r="D61" s="17"/>
      <c r="E61" s="17"/>
      <c r="F61" s="17"/>
      <c r="G61" s="18"/>
      <c r="H61" s="17"/>
      <c r="I61" s="16"/>
      <c r="J61" s="16"/>
      <c r="K61" s="17"/>
      <c r="L61" s="19"/>
      <c r="M61" s="20" t="b">
        <f aca="false">AND(B61&lt;&gt;"",B61&gt;='Read Me'!$B$5,H61&lt;&gt;"")</f>
        <v>0</v>
      </c>
      <c r="N61" s="21" t="str">
        <f aca="false">IF(OR(D61="",E61=""),"",ABS(D61-E61))</f>
        <v/>
      </c>
      <c r="O61" s="22" t="str">
        <f aca="false">IF(OR(H61="",N61="",N61=0),"",IF(C61="BUY",1,-1)*(H61-D61)/N61)</f>
        <v/>
      </c>
      <c r="P61" s="23" t="str">
        <f aca="false">IF(OR(H61="",D61="",K61=""),"",IF(C61="BUY",1,-1)*(H61-D61)*K61*'Read Me'!$B$10-L61)</f>
        <v/>
      </c>
      <c r="Q61" s="4" t="str">
        <f aca="false">IF(O61="","",IF(O61&gt;0,"WIN","LOSS"))</f>
        <v/>
      </c>
      <c r="R61" s="22" t="str">
        <f aca="false">IF(AND(M61,O61&lt;&gt;""),O61,"")</f>
        <v/>
      </c>
      <c r="S61" s="22" t="n">
        <f aca="false">S60+IF(R61="",0,R61)</f>
        <v>0</v>
      </c>
      <c r="T61" s="22" t="n">
        <f aca="false">MAX(T60,S61)</f>
        <v>0</v>
      </c>
      <c r="U61" s="22" t="n">
        <f aca="false">T61-S61</f>
        <v>0</v>
      </c>
      <c r="V61" s="16"/>
    </row>
    <row r="62" customFormat="false" ht="15" hidden="false" customHeight="true" outlineLevel="0" collapsed="false">
      <c r="A62" s="4" t="str">
        <f aca="false">IF(B62="","",ROW()-1)</f>
        <v/>
      </c>
      <c r="B62" s="15"/>
      <c r="C62" s="16"/>
      <c r="D62" s="17"/>
      <c r="E62" s="17"/>
      <c r="F62" s="17"/>
      <c r="G62" s="18"/>
      <c r="H62" s="17"/>
      <c r="I62" s="16"/>
      <c r="J62" s="16"/>
      <c r="K62" s="17"/>
      <c r="L62" s="19"/>
      <c r="M62" s="20" t="b">
        <f aca="false">AND(B62&lt;&gt;"",B62&gt;='Read Me'!$B$5,H62&lt;&gt;"")</f>
        <v>0</v>
      </c>
      <c r="N62" s="21" t="str">
        <f aca="false">IF(OR(D62="",E62=""),"",ABS(D62-E62))</f>
        <v/>
      </c>
      <c r="O62" s="22" t="str">
        <f aca="false">IF(OR(H62="",N62="",N62=0),"",IF(C62="BUY",1,-1)*(H62-D62)/N62)</f>
        <v/>
      </c>
      <c r="P62" s="23" t="str">
        <f aca="false">IF(OR(H62="",D62="",K62=""),"",IF(C62="BUY",1,-1)*(H62-D62)*K62*'Read Me'!$B$10-L62)</f>
        <v/>
      </c>
      <c r="Q62" s="4" t="str">
        <f aca="false">IF(O62="","",IF(O62&gt;0,"WIN","LOSS"))</f>
        <v/>
      </c>
      <c r="R62" s="22" t="str">
        <f aca="false">IF(AND(M62,O62&lt;&gt;""),O62,"")</f>
        <v/>
      </c>
      <c r="S62" s="22" t="n">
        <f aca="false">S61+IF(R62="",0,R62)</f>
        <v>0</v>
      </c>
      <c r="T62" s="22" t="n">
        <f aca="false">MAX(T61,S62)</f>
        <v>0</v>
      </c>
      <c r="U62" s="22" t="n">
        <f aca="false">T62-S62</f>
        <v>0</v>
      </c>
      <c r="V62" s="16"/>
    </row>
    <row r="63" customFormat="false" ht="15" hidden="false" customHeight="true" outlineLevel="0" collapsed="false">
      <c r="A63" s="4" t="str">
        <f aca="false">IF(B63="","",ROW()-1)</f>
        <v/>
      </c>
      <c r="B63" s="15"/>
      <c r="C63" s="16"/>
      <c r="D63" s="17"/>
      <c r="E63" s="17"/>
      <c r="F63" s="17"/>
      <c r="G63" s="18"/>
      <c r="H63" s="17"/>
      <c r="I63" s="16"/>
      <c r="J63" s="16"/>
      <c r="K63" s="17"/>
      <c r="L63" s="19"/>
      <c r="M63" s="20" t="b">
        <f aca="false">AND(B63&lt;&gt;"",B63&gt;='Read Me'!$B$5,H63&lt;&gt;"")</f>
        <v>0</v>
      </c>
      <c r="N63" s="21" t="str">
        <f aca="false">IF(OR(D63="",E63=""),"",ABS(D63-E63))</f>
        <v/>
      </c>
      <c r="O63" s="22" t="str">
        <f aca="false">IF(OR(H63="",N63="",N63=0),"",IF(C63="BUY",1,-1)*(H63-D63)/N63)</f>
        <v/>
      </c>
      <c r="P63" s="23" t="str">
        <f aca="false">IF(OR(H63="",D63="",K63=""),"",IF(C63="BUY",1,-1)*(H63-D63)*K63*'Read Me'!$B$10-L63)</f>
        <v/>
      </c>
      <c r="Q63" s="4" t="str">
        <f aca="false">IF(O63="","",IF(O63&gt;0,"WIN","LOSS"))</f>
        <v/>
      </c>
      <c r="R63" s="22" t="str">
        <f aca="false">IF(AND(M63,O63&lt;&gt;""),O63,"")</f>
        <v/>
      </c>
      <c r="S63" s="22" t="n">
        <f aca="false">S62+IF(R63="",0,R63)</f>
        <v>0</v>
      </c>
      <c r="T63" s="22" t="n">
        <f aca="false">MAX(T62,S63)</f>
        <v>0</v>
      </c>
      <c r="U63" s="22" t="n">
        <f aca="false">T63-S63</f>
        <v>0</v>
      </c>
      <c r="V63" s="16"/>
    </row>
    <row r="64" customFormat="false" ht="15" hidden="false" customHeight="true" outlineLevel="0" collapsed="false">
      <c r="A64" s="4" t="str">
        <f aca="false">IF(B64="","",ROW()-1)</f>
        <v/>
      </c>
      <c r="B64" s="15"/>
      <c r="C64" s="16"/>
      <c r="D64" s="17"/>
      <c r="E64" s="17"/>
      <c r="F64" s="17"/>
      <c r="G64" s="18"/>
      <c r="H64" s="17"/>
      <c r="I64" s="16"/>
      <c r="J64" s="16"/>
      <c r="K64" s="17"/>
      <c r="L64" s="19"/>
      <c r="M64" s="20" t="b">
        <f aca="false">AND(B64&lt;&gt;"",B64&gt;='Read Me'!$B$5,H64&lt;&gt;"")</f>
        <v>0</v>
      </c>
      <c r="N64" s="21" t="str">
        <f aca="false">IF(OR(D64="",E64=""),"",ABS(D64-E64))</f>
        <v/>
      </c>
      <c r="O64" s="22" t="str">
        <f aca="false">IF(OR(H64="",N64="",N64=0),"",IF(C64="BUY",1,-1)*(H64-D64)/N64)</f>
        <v/>
      </c>
      <c r="P64" s="23" t="str">
        <f aca="false">IF(OR(H64="",D64="",K64=""),"",IF(C64="BUY",1,-1)*(H64-D64)*K64*'Read Me'!$B$10-L64)</f>
        <v/>
      </c>
      <c r="Q64" s="4" t="str">
        <f aca="false">IF(O64="","",IF(O64&gt;0,"WIN","LOSS"))</f>
        <v/>
      </c>
      <c r="R64" s="22" t="str">
        <f aca="false">IF(AND(M64,O64&lt;&gt;""),O64,"")</f>
        <v/>
      </c>
      <c r="S64" s="22" t="n">
        <f aca="false">S63+IF(R64="",0,R64)</f>
        <v>0</v>
      </c>
      <c r="T64" s="22" t="n">
        <f aca="false">MAX(T63,S64)</f>
        <v>0</v>
      </c>
      <c r="U64" s="22" t="n">
        <f aca="false">T64-S64</f>
        <v>0</v>
      </c>
      <c r="V64" s="16"/>
    </row>
    <row r="65" customFormat="false" ht="15" hidden="false" customHeight="true" outlineLevel="0" collapsed="false">
      <c r="A65" s="4" t="str">
        <f aca="false">IF(B65="","",ROW()-1)</f>
        <v/>
      </c>
      <c r="B65" s="15"/>
      <c r="C65" s="16"/>
      <c r="D65" s="17"/>
      <c r="E65" s="17"/>
      <c r="F65" s="17"/>
      <c r="G65" s="18"/>
      <c r="H65" s="17"/>
      <c r="I65" s="16"/>
      <c r="J65" s="16"/>
      <c r="K65" s="17"/>
      <c r="L65" s="19"/>
      <c r="M65" s="20" t="b">
        <f aca="false">AND(B65&lt;&gt;"",B65&gt;='Read Me'!$B$5,H65&lt;&gt;"")</f>
        <v>0</v>
      </c>
      <c r="N65" s="21" t="str">
        <f aca="false">IF(OR(D65="",E65=""),"",ABS(D65-E65))</f>
        <v/>
      </c>
      <c r="O65" s="22" t="str">
        <f aca="false">IF(OR(H65="",N65="",N65=0),"",IF(C65="BUY",1,-1)*(H65-D65)/N65)</f>
        <v/>
      </c>
      <c r="P65" s="23" t="str">
        <f aca="false">IF(OR(H65="",D65="",K65=""),"",IF(C65="BUY",1,-1)*(H65-D65)*K65*'Read Me'!$B$10-L65)</f>
        <v/>
      </c>
      <c r="Q65" s="4" t="str">
        <f aca="false">IF(O65="","",IF(O65&gt;0,"WIN","LOSS"))</f>
        <v/>
      </c>
      <c r="R65" s="22" t="str">
        <f aca="false">IF(AND(M65,O65&lt;&gt;""),O65,"")</f>
        <v/>
      </c>
      <c r="S65" s="22" t="n">
        <f aca="false">S64+IF(R65="",0,R65)</f>
        <v>0</v>
      </c>
      <c r="T65" s="22" t="n">
        <f aca="false">MAX(T64,S65)</f>
        <v>0</v>
      </c>
      <c r="U65" s="22" t="n">
        <f aca="false">T65-S65</f>
        <v>0</v>
      </c>
      <c r="V65" s="16"/>
    </row>
    <row r="66" customFormat="false" ht="15" hidden="false" customHeight="true" outlineLevel="0" collapsed="false">
      <c r="A66" s="4" t="str">
        <f aca="false">IF(B66="","",ROW()-1)</f>
        <v/>
      </c>
      <c r="B66" s="15"/>
      <c r="C66" s="16"/>
      <c r="D66" s="17"/>
      <c r="E66" s="17"/>
      <c r="F66" s="17"/>
      <c r="G66" s="18"/>
      <c r="H66" s="17"/>
      <c r="I66" s="16"/>
      <c r="J66" s="16"/>
      <c r="K66" s="17"/>
      <c r="L66" s="19"/>
      <c r="M66" s="20" t="b">
        <f aca="false">AND(B66&lt;&gt;"",B66&gt;='Read Me'!$B$5,H66&lt;&gt;"")</f>
        <v>0</v>
      </c>
      <c r="N66" s="21" t="str">
        <f aca="false">IF(OR(D66="",E66=""),"",ABS(D66-E66))</f>
        <v/>
      </c>
      <c r="O66" s="22" t="str">
        <f aca="false">IF(OR(H66="",N66="",N66=0),"",IF(C66="BUY",1,-1)*(H66-D66)/N66)</f>
        <v/>
      </c>
      <c r="P66" s="23" t="str">
        <f aca="false">IF(OR(H66="",D66="",K66=""),"",IF(C66="BUY",1,-1)*(H66-D66)*K66*'Read Me'!$B$10-L66)</f>
        <v/>
      </c>
      <c r="Q66" s="4" t="str">
        <f aca="false">IF(O66="","",IF(O66&gt;0,"WIN","LOSS"))</f>
        <v/>
      </c>
      <c r="R66" s="22" t="str">
        <f aca="false">IF(AND(M66,O66&lt;&gt;""),O66,"")</f>
        <v/>
      </c>
      <c r="S66" s="22" t="n">
        <f aca="false">S65+IF(R66="",0,R66)</f>
        <v>0</v>
      </c>
      <c r="T66" s="22" t="n">
        <f aca="false">MAX(T65,S66)</f>
        <v>0</v>
      </c>
      <c r="U66" s="22" t="n">
        <f aca="false">T66-S66</f>
        <v>0</v>
      </c>
      <c r="V66" s="16"/>
    </row>
    <row r="67" customFormat="false" ht="15" hidden="false" customHeight="true" outlineLevel="0" collapsed="false">
      <c r="A67" s="4" t="str">
        <f aca="false">IF(B67="","",ROW()-1)</f>
        <v/>
      </c>
      <c r="B67" s="15"/>
      <c r="C67" s="16"/>
      <c r="D67" s="17"/>
      <c r="E67" s="17"/>
      <c r="F67" s="17"/>
      <c r="G67" s="18"/>
      <c r="H67" s="17"/>
      <c r="I67" s="16"/>
      <c r="J67" s="16"/>
      <c r="K67" s="17"/>
      <c r="L67" s="19"/>
      <c r="M67" s="20" t="b">
        <f aca="false">AND(B67&lt;&gt;"",B67&gt;='Read Me'!$B$5,H67&lt;&gt;"")</f>
        <v>0</v>
      </c>
      <c r="N67" s="21" t="str">
        <f aca="false">IF(OR(D67="",E67=""),"",ABS(D67-E67))</f>
        <v/>
      </c>
      <c r="O67" s="22" t="str">
        <f aca="false">IF(OR(H67="",N67="",N67=0),"",IF(C67="BUY",1,-1)*(H67-D67)/N67)</f>
        <v/>
      </c>
      <c r="P67" s="23" t="str">
        <f aca="false">IF(OR(H67="",D67="",K67=""),"",IF(C67="BUY",1,-1)*(H67-D67)*K67*'Read Me'!$B$10-L67)</f>
        <v/>
      </c>
      <c r="Q67" s="4" t="str">
        <f aca="false">IF(O67="","",IF(O67&gt;0,"WIN","LOSS"))</f>
        <v/>
      </c>
      <c r="R67" s="22" t="str">
        <f aca="false">IF(AND(M67,O67&lt;&gt;""),O67,"")</f>
        <v/>
      </c>
      <c r="S67" s="22" t="n">
        <f aca="false">S66+IF(R67="",0,R67)</f>
        <v>0</v>
      </c>
      <c r="T67" s="22" t="n">
        <f aca="false">MAX(T66,S67)</f>
        <v>0</v>
      </c>
      <c r="U67" s="22" t="n">
        <f aca="false">T67-S67</f>
        <v>0</v>
      </c>
      <c r="V67" s="16"/>
    </row>
    <row r="68" customFormat="false" ht="15" hidden="false" customHeight="true" outlineLevel="0" collapsed="false">
      <c r="A68" s="4" t="str">
        <f aca="false">IF(B68="","",ROW()-1)</f>
        <v/>
      </c>
      <c r="B68" s="15"/>
      <c r="C68" s="16"/>
      <c r="D68" s="17"/>
      <c r="E68" s="17"/>
      <c r="F68" s="17"/>
      <c r="G68" s="18"/>
      <c r="H68" s="17"/>
      <c r="I68" s="16"/>
      <c r="J68" s="16"/>
      <c r="K68" s="17"/>
      <c r="L68" s="19"/>
      <c r="M68" s="20" t="b">
        <f aca="false">AND(B68&lt;&gt;"",B68&gt;='Read Me'!$B$5,H68&lt;&gt;"")</f>
        <v>0</v>
      </c>
      <c r="N68" s="21" t="str">
        <f aca="false">IF(OR(D68="",E68=""),"",ABS(D68-E68))</f>
        <v/>
      </c>
      <c r="O68" s="22" t="str">
        <f aca="false">IF(OR(H68="",N68="",N68=0),"",IF(C68="BUY",1,-1)*(H68-D68)/N68)</f>
        <v/>
      </c>
      <c r="P68" s="23" t="str">
        <f aca="false">IF(OR(H68="",D68="",K68=""),"",IF(C68="BUY",1,-1)*(H68-D68)*K68*'Read Me'!$B$10-L68)</f>
        <v/>
      </c>
      <c r="Q68" s="4" t="str">
        <f aca="false">IF(O68="","",IF(O68&gt;0,"WIN","LOSS"))</f>
        <v/>
      </c>
      <c r="R68" s="22" t="str">
        <f aca="false">IF(AND(M68,O68&lt;&gt;""),O68,"")</f>
        <v/>
      </c>
      <c r="S68" s="22" t="n">
        <f aca="false">S67+IF(R68="",0,R68)</f>
        <v>0</v>
      </c>
      <c r="T68" s="22" t="n">
        <f aca="false">MAX(T67,S68)</f>
        <v>0</v>
      </c>
      <c r="U68" s="22" t="n">
        <f aca="false">T68-S68</f>
        <v>0</v>
      </c>
      <c r="V68" s="16"/>
    </row>
    <row r="69" customFormat="false" ht="15" hidden="false" customHeight="true" outlineLevel="0" collapsed="false">
      <c r="A69" s="4" t="str">
        <f aca="false">IF(B69="","",ROW()-1)</f>
        <v/>
      </c>
      <c r="B69" s="15"/>
      <c r="C69" s="16"/>
      <c r="D69" s="17"/>
      <c r="E69" s="17"/>
      <c r="F69" s="17"/>
      <c r="G69" s="18"/>
      <c r="H69" s="17"/>
      <c r="I69" s="16"/>
      <c r="J69" s="16"/>
      <c r="K69" s="17"/>
      <c r="L69" s="19"/>
      <c r="M69" s="20" t="b">
        <f aca="false">AND(B69&lt;&gt;"",B69&gt;='Read Me'!$B$5,H69&lt;&gt;"")</f>
        <v>0</v>
      </c>
      <c r="N69" s="21" t="str">
        <f aca="false">IF(OR(D69="",E69=""),"",ABS(D69-E69))</f>
        <v/>
      </c>
      <c r="O69" s="22" t="str">
        <f aca="false">IF(OR(H69="",N69="",N69=0),"",IF(C69="BUY",1,-1)*(H69-D69)/N69)</f>
        <v/>
      </c>
      <c r="P69" s="23" t="str">
        <f aca="false">IF(OR(H69="",D69="",K69=""),"",IF(C69="BUY",1,-1)*(H69-D69)*K69*'Read Me'!$B$10-L69)</f>
        <v/>
      </c>
      <c r="Q69" s="4" t="str">
        <f aca="false">IF(O69="","",IF(O69&gt;0,"WIN","LOSS"))</f>
        <v/>
      </c>
      <c r="R69" s="22" t="str">
        <f aca="false">IF(AND(M69,O69&lt;&gt;""),O69,"")</f>
        <v/>
      </c>
      <c r="S69" s="22" t="n">
        <f aca="false">S68+IF(R69="",0,R69)</f>
        <v>0</v>
      </c>
      <c r="T69" s="22" t="n">
        <f aca="false">MAX(T68,S69)</f>
        <v>0</v>
      </c>
      <c r="U69" s="22" t="n">
        <f aca="false">T69-S69</f>
        <v>0</v>
      </c>
      <c r="V69" s="16"/>
    </row>
    <row r="70" customFormat="false" ht="15" hidden="false" customHeight="true" outlineLevel="0" collapsed="false">
      <c r="A70" s="4" t="str">
        <f aca="false">IF(B70="","",ROW()-1)</f>
        <v/>
      </c>
      <c r="B70" s="15"/>
      <c r="C70" s="16"/>
      <c r="D70" s="17"/>
      <c r="E70" s="17"/>
      <c r="F70" s="17"/>
      <c r="G70" s="18"/>
      <c r="H70" s="17"/>
      <c r="I70" s="16"/>
      <c r="J70" s="16"/>
      <c r="K70" s="17"/>
      <c r="L70" s="19"/>
      <c r="M70" s="20" t="b">
        <f aca="false">AND(B70&lt;&gt;"",B70&gt;='Read Me'!$B$5,H70&lt;&gt;"")</f>
        <v>0</v>
      </c>
      <c r="N70" s="21" t="str">
        <f aca="false">IF(OR(D70="",E70=""),"",ABS(D70-E70))</f>
        <v/>
      </c>
      <c r="O70" s="22" t="str">
        <f aca="false">IF(OR(H70="",N70="",N70=0),"",IF(C70="BUY",1,-1)*(H70-D70)/N70)</f>
        <v/>
      </c>
      <c r="P70" s="23" t="str">
        <f aca="false">IF(OR(H70="",D70="",K70=""),"",IF(C70="BUY",1,-1)*(H70-D70)*K70*'Read Me'!$B$10-L70)</f>
        <v/>
      </c>
      <c r="Q70" s="4" t="str">
        <f aca="false">IF(O70="","",IF(O70&gt;0,"WIN","LOSS"))</f>
        <v/>
      </c>
      <c r="R70" s="22" t="str">
        <f aca="false">IF(AND(M70,O70&lt;&gt;""),O70,"")</f>
        <v/>
      </c>
      <c r="S70" s="22" t="n">
        <f aca="false">S69+IF(R70="",0,R70)</f>
        <v>0</v>
      </c>
      <c r="T70" s="22" t="n">
        <f aca="false">MAX(T69,S70)</f>
        <v>0</v>
      </c>
      <c r="U70" s="22" t="n">
        <f aca="false">T70-S70</f>
        <v>0</v>
      </c>
      <c r="V70" s="16"/>
    </row>
    <row r="71" customFormat="false" ht="15" hidden="false" customHeight="true" outlineLevel="0" collapsed="false">
      <c r="A71" s="4" t="str">
        <f aca="false">IF(B71="","",ROW()-1)</f>
        <v/>
      </c>
      <c r="B71" s="15"/>
      <c r="C71" s="16"/>
      <c r="D71" s="17"/>
      <c r="E71" s="17"/>
      <c r="F71" s="17"/>
      <c r="G71" s="18"/>
      <c r="H71" s="17"/>
      <c r="I71" s="16"/>
      <c r="J71" s="16"/>
      <c r="K71" s="17"/>
      <c r="L71" s="19"/>
      <c r="M71" s="20" t="b">
        <f aca="false">AND(B71&lt;&gt;"",B71&gt;='Read Me'!$B$5,H71&lt;&gt;"")</f>
        <v>0</v>
      </c>
      <c r="N71" s="21" t="str">
        <f aca="false">IF(OR(D71="",E71=""),"",ABS(D71-E71))</f>
        <v/>
      </c>
      <c r="O71" s="22" t="str">
        <f aca="false">IF(OR(H71="",N71="",N71=0),"",IF(C71="BUY",1,-1)*(H71-D71)/N71)</f>
        <v/>
      </c>
      <c r="P71" s="23" t="str">
        <f aca="false">IF(OR(H71="",D71="",K71=""),"",IF(C71="BUY",1,-1)*(H71-D71)*K71*'Read Me'!$B$10-L71)</f>
        <v/>
      </c>
      <c r="Q71" s="4" t="str">
        <f aca="false">IF(O71="","",IF(O71&gt;0,"WIN","LOSS"))</f>
        <v/>
      </c>
      <c r="R71" s="22" t="str">
        <f aca="false">IF(AND(M71,O71&lt;&gt;""),O71,"")</f>
        <v/>
      </c>
      <c r="S71" s="22" t="n">
        <f aca="false">S70+IF(R71="",0,R71)</f>
        <v>0</v>
      </c>
      <c r="T71" s="22" t="n">
        <f aca="false">MAX(T70,S71)</f>
        <v>0</v>
      </c>
      <c r="U71" s="22" t="n">
        <f aca="false">T71-S71</f>
        <v>0</v>
      </c>
      <c r="V71" s="16"/>
    </row>
    <row r="72" customFormat="false" ht="15" hidden="false" customHeight="true" outlineLevel="0" collapsed="false">
      <c r="A72" s="4" t="str">
        <f aca="false">IF(B72="","",ROW()-1)</f>
        <v/>
      </c>
      <c r="B72" s="15"/>
      <c r="C72" s="16"/>
      <c r="D72" s="17"/>
      <c r="E72" s="17"/>
      <c r="F72" s="17"/>
      <c r="G72" s="18"/>
      <c r="H72" s="17"/>
      <c r="I72" s="16"/>
      <c r="J72" s="16"/>
      <c r="K72" s="17"/>
      <c r="L72" s="19"/>
      <c r="M72" s="20" t="b">
        <f aca="false">AND(B72&lt;&gt;"",B72&gt;='Read Me'!$B$5,H72&lt;&gt;"")</f>
        <v>0</v>
      </c>
      <c r="N72" s="21" t="str">
        <f aca="false">IF(OR(D72="",E72=""),"",ABS(D72-E72))</f>
        <v/>
      </c>
      <c r="O72" s="22" t="str">
        <f aca="false">IF(OR(H72="",N72="",N72=0),"",IF(C72="BUY",1,-1)*(H72-D72)/N72)</f>
        <v/>
      </c>
      <c r="P72" s="23" t="str">
        <f aca="false">IF(OR(H72="",D72="",K72=""),"",IF(C72="BUY",1,-1)*(H72-D72)*K72*'Read Me'!$B$10-L72)</f>
        <v/>
      </c>
      <c r="Q72" s="4" t="str">
        <f aca="false">IF(O72="","",IF(O72&gt;0,"WIN","LOSS"))</f>
        <v/>
      </c>
      <c r="R72" s="22" t="str">
        <f aca="false">IF(AND(M72,O72&lt;&gt;""),O72,"")</f>
        <v/>
      </c>
      <c r="S72" s="22" t="n">
        <f aca="false">S71+IF(R72="",0,R72)</f>
        <v>0</v>
      </c>
      <c r="T72" s="22" t="n">
        <f aca="false">MAX(T71,S72)</f>
        <v>0</v>
      </c>
      <c r="U72" s="22" t="n">
        <f aca="false">T72-S72</f>
        <v>0</v>
      </c>
      <c r="V72" s="16"/>
    </row>
    <row r="73" customFormat="false" ht="15" hidden="false" customHeight="true" outlineLevel="0" collapsed="false">
      <c r="A73" s="4" t="str">
        <f aca="false">IF(B73="","",ROW()-1)</f>
        <v/>
      </c>
      <c r="B73" s="15"/>
      <c r="C73" s="16"/>
      <c r="D73" s="17"/>
      <c r="E73" s="17"/>
      <c r="F73" s="17"/>
      <c r="G73" s="18"/>
      <c r="H73" s="17"/>
      <c r="I73" s="16"/>
      <c r="J73" s="16"/>
      <c r="K73" s="17"/>
      <c r="L73" s="19"/>
      <c r="M73" s="20" t="b">
        <f aca="false">AND(B73&lt;&gt;"",B73&gt;='Read Me'!$B$5,H73&lt;&gt;"")</f>
        <v>0</v>
      </c>
      <c r="N73" s="21" t="str">
        <f aca="false">IF(OR(D73="",E73=""),"",ABS(D73-E73))</f>
        <v/>
      </c>
      <c r="O73" s="22" t="str">
        <f aca="false">IF(OR(H73="",N73="",N73=0),"",IF(C73="BUY",1,-1)*(H73-D73)/N73)</f>
        <v/>
      </c>
      <c r="P73" s="23" t="str">
        <f aca="false">IF(OR(H73="",D73="",K73=""),"",IF(C73="BUY",1,-1)*(H73-D73)*K73*'Read Me'!$B$10-L73)</f>
        <v/>
      </c>
      <c r="Q73" s="4" t="str">
        <f aca="false">IF(O73="","",IF(O73&gt;0,"WIN","LOSS"))</f>
        <v/>
      </c>
      <c r="R73" s="22" t="str">
        <f aca="false">IF(AND(M73,O73&lt;&gt;""),O73,"")</f>
        <v/>
      </c>
      <c r="S73" s="22" t="n">
        <f aca="false">S72+IF(R73="",0,R73)</f>
        <v>0</v>
      </c>
      <c r="T73" s="22" t="n">
        <f aca="false">MAX(T72,S73)</f>
        <v>0</v>
      </c>
      <c r="U73" s="22" t="n">
        <f aca="false">T73-S73</f>
        <v>0</v>
      </c>
      <c r="V73" s="16"/>
    </row>
    <row r="74" customFormat="false" ht="15" hidden="false" customHeight="true" outlineLevel="0" collapsed="false">
      <c r="A74" s="4" t="str">
        <f aca="false">IF(B74="","",ROW()-1)</f>
        <v/>
      </c>
      <c r="B74" s="15"/>
      <c r="C74" s="16"/>
      <c r="D74" s="17"/>
      <c r="E74" s="17"/>
      <c r="F74" s="17"/>
      <c r="G74" s="18"/>
      <c r="H74" s="17"/>
      <c r="I74" s="16"/>
      <c r="J74" s="16"/>
      <c r="K74" s="17"/>
      <c r="L74" s="19"/>
      <c r="M74" s="20" t="b">
        <f aca="false">AND(B74&lt;&gt;"",B74&gt;='Read Me'!$B$5,H74&lt;&gt;"")</f>
        <v>0</v>
      </c>
      <c r="N74" s="21" t="str">
        <f aca="false">IF(OR(D74="",E74=""),"",ABS(D74-E74))</f>
        <v/>
      </c>
      <c r="O74" s="22" t="str">
        <f aca="false">IF(OR(H74="",N74="",N74=0),"",IF(C74="BUY",1,-1)*(H74-D74)/N74)</f>
        <v/>
      </c>
      <c r="P74" s="23" t="str">
        <f aca="false">IF(OR(H74="",D74="",K74=""),"",IF(C74="BUY",1,-1)*(H74-D74)*K74*'Read Me'!$B$10-L74)</f>
        <v/>
      </c>
      <c r="Q74" s="4" t="str">
        <f aca="false">IF(O74="","",IF(O74&gt;0,"WIN","LOSS"))</f>
        <v/>
      </c>
      <c r="R74" s="22" t="str">
        <f aca="false">IF(AND(M74,O74&lt;&gt;""),O74,"")</f>
        <v/>
      </c>
      <c r="S74" s="22" t="n">
        <f aca="false">S73+IF(R74="",0,R74)</f>
        <v>0</v>
      </c>
      <c r="T74" s="22" t="n">
        <f aca="false">MAX(T73,S74)</f>
        <v>0</v>
      </c>
      <c r="U74" s="22" t="n">
        <f aca="false">T74-S74</f>
        <v>0</v>
      </c>
      <c r="V74" s="16"/>
    </row>
    <row r="75" customFormat="false" ht="15" hidden="false" customHeight="true" outlineLevel="0" collapsed="false">
      <c r="A75" s="4" t="str">
        <f aca="false">IF(B75="","",ROW()-1)</f>
        <v/>
      </c>
      <c r="B75" s="15"/>
      <c r="C75" s="16"/>
      <c r="D75" s="17"/>
      <c r="E75" s="17"/>
      <c r="F75" s="17"/>
      <c r="G75" s="18"/>
      <c r="H75" s="17"/>
      <c r="I75" s="16"/>
      <c r="J75" s="16"/>
      <c r="K75" s="17"/>
      <c r="L75" s="19"/>
      <c r="M75" s="20" t="b">
        <f aca="false">AND(B75&lt;&gt;"",B75&gt;='Read Me'!$B$5,H75&lt;&gt;"")</f>
        <v>0</v>
      </c>
      <c r="N75" s="21" t="str">
        <f aca="false">IF(OR(D75="",E75=""),"",ABS(D75-E75))</f>
        <v/>
      </c>
      <c r="O75" s="22" t="str">
        <f aca="false">IF(OR(H75="",N75="",N75=0),"",IF(C75="BUY",1,-1)*(H75-D75)/N75)</f>
        <v/>
      </c>
      <c r="P75" s="23" t="str">
        <f aca="false">IF(OR(H75="",D75="",K75=""),"",IF(C75="BUY",1,-1)*(H75-D75)*K75*'Read Me'!$B$10-L75)</f>
        <v/>
      </c>
      <c r="Q75" s="4" t="str">
        <f aca="false">IF(O75="","",IF(O75&gt;0,"WIN","LOSS"))</f>
        <v/>
      </c>
      <c r="R75" s="22" t="str">
        <f aca="false">IF(AND(M75,O75&lt;&gt;""),O75,"")</f>
        <v/>
      </c>
      <c r="S75" s="22" t="n">
        <f aca="false">S74+IF(R75="",0,R75)</f>
        <v>0</v>
      </c>
      <c r="T75" s="22" t="n">
        <f aca="false">MAX(T74,S75)</f>
        <v>0</v>
      </c>
      <c r="U75" s="22" t="n">
        <f aca="false">T75-S75</f>
        <v>0</v>
      </c>
      <c r="V75" s="16"/>
    </row>
    <row r="76" customFormat="false" ht="15" hidden="false" customHeight="true" outlineLevel="0" collapsed="false">
      <c r="A76" s="4" t="str">
        <f aca="false">IF(B76="","",ROW()-1)</f>
        <v/>
      </c>
      <c r="B76" s="15"/>
      <c r="C76" s="16"/>
      <c r="D76" s="17"/>
      <c r="E76" s="17"/>
      <c r="F76" s="17"/>
      <c r="G76" s="18"/>
      <c r="H76" s="17"/>
      <c r="I76" s="16"/>
      <c r="J76" s="16"/>
      <c r="K76" s="17"/>
      <c r="L76" s="19"/>
      <c r="M76" s="20" t="b">
        <f aca="false">AND(B76&lt;&gt;"",B76&gt;='Read Me'!$B$5,H76&lt;&gt;"")</f>
        <v>0</v>
      </c>
      <c r="N76" s="21" t="str">
        <f aca="false">IF(OR(D76="",E76=""),"",ABS(D76-E76))</f>
        <v/>
      </c>
      <c r="O76" s="22" t="str">
        <f aca="false">IF(OR(H76="",N76="",N76=0),"",IF(C76="BUY",1,-1)*(H76-D76)/N76)</f>
        <v/>
      </c>
      <c r="P76" s="23" t="str">
        <f aca="false">IF(OR(H76="",D76="",K76=""),"",IF(C76="BUY",1,-1)*(H76-D76)*K76*'Read Me'!$B$10-L76)</f>
        <v/>
      </c>
      <c r="Q76" s="4" t="str">
        <f aca="false">IF(O76="","",IF(O76&gt;0,"WIN","LOSS"))</f>
        <v/>
      </c>
      <c r="R76" s="22" t="str">
        <f aca="false">IF(AND(M76,O76&lt;&gt;""),O76,"")</f>
        <v/>
      </c>
      <c r="S76" s="22" t="n">
        <f aca="false">S75+IF(R76="",0,R76)</f>
        <v>0</v>
      </c>
      <c r="T76" s="22" t="n">
        <f aca="false">MAX(T75,S76)</f>
        <v>0</v>
      </c>
      <c r="U76" s="22" t="n">
        <f aca="false">T76-S76</f>
        <v>0</v>
      </c>
      <c r="V76" s="16"/>
    </row>
    <row r="77" customFormat="false" ht="15" hidden="false" customHeight="true" outlineLevel="0" collapsed="false">
      <c r="A77" s="4" t="str">
        <f aca="false">IF(B77="","",ROW()-1)</f>
        <v/>
      </c>
      <c r="B77" s="15"/>
      <c r="C77" s="16"/>
      <c r="D77" s="17"/>
      <c r="E77" s="17"/>
      <c r="F77" s="17"/>
      <c r="G77" s="18"/>
      <c r="H77" s="17"/>
      <c r="I77" s="16"/>
      <c r="J77" s="16"/>
      <c r="K77" s="17"/>
      <c r="L77" s="19"/>
      <c r="M77" s="20" t="b">
        <f aca="false">AND(B77&lt;&gt;"",B77&gt;='Read Me'!$B$5,H77&lt;&gt;"")</f>
        <v>0</v>
      </c>
      <c r="N77" s="21" t="str">
        <f aca="false">IF(OR(D77="",E77=""),"",ABS(D77-E77))</f>
        <v/>
      </c>
      <c r="O77" s="22" t="str">
        <f aca="false">IF(OR(H77="",N77="",N77=0),"",IF(C77="BUY",1,-1)*(H77-D77)/N77)</f>
        <v/>
      </c>
      <c r="P77" s="23" t="str">
        <f aca="false">IF(OR(H77="",D77="",K77=""),"",IF(C77="BUY",1,-1)*(H77-D77)*K77*'Read Me'!$B$10-L77)</f>
        <v/>
      </c>
      <c r="Q77" s="4" t="str">
        <f aca="false">IF(O77="","",IF(O77&gt;0,"WIN","LOSS"))</f>
        <v/>
      </c>
      <c r="R77" s="22" t="str">
        <f aca="false">IF(AND(M77,O77&lt;&gt;""),O77,"")</f>
        <v/>
      </c>
      <c r="S77" s="22" t="n">
        <f aca="false">S76+IF(R77="",0,R77)</f>
        <v>0</v>
      </c>
      <c r="T77" s="22" t="n">
        <f aca="false">MAX(T76,S77)</f>
        <v>0</v>
      </c>
      <c r="U77" s="22" t="n">
        <f aca="false">T77-S77</f>
        <v>0</v>
      </c>
      <c r="V77" s="16"/>
    </row>
    <row r="78" customFormat="false" ht="15" hidden="false" customHeight="true" outlineLevel="0" collapsed="false">
      <c r="A78" s="4" t="str">
        <f aca="false">IF(B78="","",ROW()-1)</f>
        <v/>
      </c>
      <c r="B78" s="15"/>
      <c r="C78" s="16"/>
      <c r="D78" s="17"/>
      <c r="E78" s="17"/>
      <c r="F78" s="17"/>
      <c r="G78" s="18"/>
      <c r="H78" s="17"/>
      <c r="I78" s="16"/>
      <c r="J78" s="16"/>
      <c r="K78" s="17"/>
      <c r="L78" s="19"/>
      <c r="M78" s="20" t="b">
        <f aca="false">AND(B78&lt;&gt;"",B78&gt;='Read Me'!$B$5,H78&lt;&gt;"")</f>
        <v>0</v>
      </c>
      <c r="N78" s="21" t="str">
        <f aca="false">IF(OR(D78="",E78=""),"",ABS(D78-E78))</f>
        <v/>
      </c>
      <c r="O78" s="22" t="str">
        <f aca="false">IF(OR(H78="",N78="",N78=0),"",IF(C78="BUY",1,-1)*(H78-D78)/N78)</f>
        <v/>
      </c>
      <c r="P78" s="23" t="str">
        <f aca="false">IF(OR(H78="",D78="",K78=""),"",IF(C78="BUY",1,-1)*(H78-D78)*K78*'Read Me'!$B$10-L78)</f>
        <v/>
      </c>
      <c r="Q78" s="4" t="str">
        <f aca="false">IF(O78="","",IF(O78&gt;0,"WIN","LOSS"))</f>
        <v/>
      </c>
      <c r="R78" s="22" t="str">
        <f aca="false">IF(AND(M78,O78&lt;&gt;""),O78,"")</f>
        <v/>
      </c>
      <c r="S78" s="22" t="n">
        <f aca="false">S77+IF(R78="",0,R78)</f>
        <v>0</v>
      </c>
      <c r="T78" s="22" t="n">
        <f aca="false">MAX(T77,S78)</f>
        <v>0</v>
      </c>
      <c r="U78" s="22" t="n">
        <f aca="false">T78-S78</f>
        <v>0</v>
      </c>
      <c r="V78" s="16"/>
    </row>
    <row r="79" customFormat="false" ht="15" hidden="false" customHeight="true" outlineLevel="0" collapsed="false">
      <c r="A79" s="4" t="str">
        <f aca="false">IF(B79="","",ROW()-1)</f>
        <v/>
      </c>
      <c r="B79" s="15"/>
      <c r="C79" s="16"/>
      <c r="D79" s="17"/>
      <c r="E79" s="17"/>
      <c r="F79" s="17"/>
      <c r="G79" s="18"/>
      <c r="H79" s="17"/>
      <c r="I79" s="16"/>
      <c r="J79" s="16"/>
      <c r="K79" s="17"/>
      <c r="L79" s="19"/>
      <c r="M79" s="20" t="b">
        <f aca="false">AND(B79&lt;&gt;"",B79&gt;='Read Me'!$B$5,H79&lt;&gt;"")</f>
        <v>0</v>
      </c>
      <c r="N79" s="21" t="str">
        <f aca="false">IF(OR(D79="",E79=""),"",ABS(D79-E79))</f>
        <v/>
      </c>
      <c r="O79" s="22" t="str">
        <f aca="false">IF(OR(H79="",N79="",N79=0),"",IF(C79="BUY",1,-1)*(H79-D79)/N79)</f>
        <v/>
      </c>
      <c r="P79" s="23" t="str">
        <f aca="false">IF(OR(H79="",D79="",K79=""),"",IF(C79="BUY",1,-1)*(H79-D79)*K79*'Read Me'!$B$10-L79)</f>
        <v/>
      </c>
      <c r="Q79" s="4" t="str">
        <f aca="false">IF(O79="","",IF(O79&gt;0,"WIN","LOSS"))</f>
        <v/>
      </c>
      <c r="R79" s="22" t="str">
        <f aca="false">IF(AND(M79,O79&lt;&gt;""),O79,"")</f>
        <v/>
      </c>
      <c r="S79" s="22" t="n">
        <f aca="false">S78+IF(R79="",0,R79)</f>
        <v>0</v>
      </c>
      <c r="T79" s="22" t="n">
        <f aca="false">MAX(T78,S79)</f>
        <v>0</v>
      </c>
      <c r="U79" s="22" t="n">
        <f aca="false">T79-S79</f>
        <v>0</v>
      </c>
      <c r="V79" s="16"/>
    </row>
    <row r="80" customFormat="false" ht="15" hidden="false" customHeight="true" outlineLevel="0" collapsed="false">
      <c r="A80" s="4" t="str">
        <f aca="false">IF(B80="","",ROW()-1)</f>
        <v/>
      </c>
      <c r="B80" s="15"/>
      <c r="C80" s="16"/>
      <c r="D80" s="17"/>
      <c r="E80" s="17"/>
      <c r="F80" s="17"/>
      <c r="G80" s="18"/>
      <c r="H80" s="17"/>
      <c r="I80" s="16"/>
      <c r="J80" s="16"/>
      <c r="K80" s="17"/>
      <c r="L80" s="19"/>
      <c r="M80" s="20" t="b">
        <f aca="false">AND(B80&lt;&gt;"",B80&gt;='Read Me'!$B$5,H80&lt;&gt;"")</f>
        <v>0</v>
      </c>
      <c r="N80" s="21" t="str">
        <f aca="false">IF(OR(D80="",E80=""),"",ABS(D80-E80))</f>
        <v/>
      </c>
      <c r="O80" s="22" t="str">
        <f aca="false">IF(OR(H80="",N80="",N80=0),"",IF(C80="BUY",1,-1)*(H80-D80)/N80)</f>
        <v/>
      </c>
      <c r="P80" s="23" t="str">
        <f aca="false">IF(OR(H80="",D80="",K80=""),"",IF(C80="BUY",1,-1)*(H80-D80)*K80*'Read Me'!$B$10-L80)</f>
        <v/>
      </c>
      <c r="Q80" s="4" t="str">
        <f aca="false">IF(O80="","",IF(O80&gt;0,"WIN","LOSS"))</f>
        <v/>
      </c>
      <c r="R80" s="22" t="str">
        <f aca="false">IF(AND(M80,O80&lt;&gt;""),O80,"")</f>
        <v/>
      </c>
      <c r="S80" s="22" t="n">
        <f aca="false">S79+IF(R80="",0,R80)</f>
        <v>0</v>
      </c>
      <c r="T80" s="22" t="n">
        <f aca="false">MAX(T79,S80)</f>
        <v>0</v>
      </c>
      <c r="U80" s="22" t="n">
        <f aca="false">T80-S80</f>
        <v>0</v>
      </c>
      <c r="V80" s="16"/>
    </row>
    <row r="81" customFormat="false" ht="15" hidden="false" customHeight="true" outlineLevel="0" collapsed="false">
      <c r="A81" s="4" t="str">
        <f aca="false">IF(B81="","",ROW()-1)</f>
        <v/>
      </c>
      <c r="B81" s="15"/>
      <c r="C81" s="16"/>
      <c r="D81" s="17"/>
      <c r="E81" s="17"/>
      <c r="F81" s="17"/>
      <c r="G81" s="18"/>
      <c r="H81" s="17"/>
      <c r="I81" s="16"/>
      <c r="J81" s="16"/>
      <c r="K81" s="17"/>
      <c r="L81" s="19"/>
      <c r="M81" s="20" t="b">
        <f aca="false">AND(B81&lt;&gt;"",B81&gt;='Read Me'!$B$5,H81&lt;&gt;"")</f>
        <v>0</v>
      </c>
      <c r="N81" s="21" t="str">
        <f aca="false">IF(OR(D81="",E81=""),"",ABS(D81-E81))</f>
        <v/>
      </c>
      <c r="O81" s="22" t="str">
        <f aca="false">IF(OR(H81="",N81="",N81=0),"",IF(C81="BUY",1,-1)*(H81-D81)/N81)</f>
        <v/>
      </c>
      <c r="P81" s="23" t="str">
        <f aca="false">IF(OR(H81="",D81="",K81=""),"",IF(C81="BUY",1,-1)*(H81-D81)*K81*'Read Me'!$B$10-L81)</f>
        <v/>
      </c>
      <c r="Q81" s="4" t="str">
        <f aca="false">IF(O81="","",IF(O81&gt;0,"WIN","LOSS"))</f>
        <v/>
      </c>
      <c r="R81" s="22" t="str">
        <f aca="false">IF(AND(M81,O81&lt;&gt;""),O81,"")</f>
        <v/>
      </c>
      <c r="S81" s="22" t="n">
        <f aca="false">S80+IF(R81="",0,R81)</f>
        <v>0</v>
      </c>
      <c r="T81" s="22" t="n">
        <f aca="false">MAX(T80,S81)</f>
        <v>0</v>
      </c>
      <c r="U81" s="22" t="n">
        <f aca="false">T81-S81</f>
        <v>0</v>
      </c>
      <c r="V81" s="16"/>
    </row>
    <row r="82" customFormat="false" ht="15" hidden="false" customHeight="true" outlineLevel="0" collapsed="false">
      <c r="A82" s="4" t="str">
        <f aca="false">IF(B82="","",ROW()-1)</f>
        <v/>
      </c>
      <c r="B82" s="15"/>
      <c r="C82" s="16"/>
      <c r="D82" s="17"/>
      <c r="E82" s="17"/>
      <c r="F82" s="17"/>
      <c r="G82" s="18"/>
      <c r="H82" s="17"/>
      <c r="I82" s="16"/>
      <c r="J82" s="16"/>
      <c r="K82" s="17"/>
      <c r="L82" s="19"/>
      <c r="M82" s="20" t="b">
        <f aca="false">AND(B82&lt;&gt;"",B82&gt;='Read Me'!$B$5,H82&lt;&gt;"")</f>
        <v>0</v>
      </c>
      <c r="N82" s="21" t="str">
        <f aca="false">IF(OR(D82="",E82=""),"",ABS(D82-E82))</f>
        <v/>
      </c>
      <c r="O82" s="22" t="str">
        <f aca="false">IF(OR(H82="",N82="",N82=0),"",IF(C82="BUY",1,-1)*(H82-D82)/N82)</f>
        <v/>
      </c>
      <c r="P82" s="23" t="str">
        <f aca="false">IF(OR(H82="",D82="",K82=""),"",IF(C82="BUY",1,-1)*(H82-D82)*K82*'Read Me'!$B$10-L82)</f>
        <v/>
      </c>
      <c r="Q82" s="4" t="str">
        <f aca="false">IF(O82="","",IF(O82&gt;0,"WIN","LOSS"))</f>
        <v/>
      </c>
      <c r="R82" s="22" t="str">
        <f aca="false">IF(AND(M82,O82&lt;&gt;""),O82,"")</f>
        <v/>
      </c>
      <c r="S82" s="22" t="n">
        <f aca="false">S81+IF(R82="",0,R82)</f>
        <v>0</v>
      </c>
      <c r="T82" s="22" t="n">
        <f aca="false">MAX(T81,S82)</f>
        <v>0</v>
      </c>
      <c r="U82" s="22" t="n">
        <f aca="false">T82-S82</f>
        <v>0</v>
      </c>
      <c r="V82" s="16"/>
    </row>
    <row r="83" customFormat="false" ht="15" hidden="false" customHeight="true" outlineLevel="0" collapsed="false">
      <c r="A83" s="4" t="str">
        <f aca="false">IF(B83="","",ROW()-1)</f>
        <v/>
      </c>
      <c r="B83" s="15"/>
      <c r="C83" s="16"/>
      <c r="D83" s="17"/>
      <c r="E83" s="17"/>
      <c r="F83" s="17"/>
      <c r="G83" s="18"/>
      <c r="H83" s="17"/>
      <c r="I83" s="16"/>
      <c r="J83" s="16"/>
      <c r="K83" s="17"/>
      <c r="L83" s="19"/>
      <c r="M83" s="20" t="b">
        <f aca="false">AND(B83&lt;&gt;"",B83&gt;='Read Me'!$B$5,H83&lt;&gt;"")</f>
        <v>0</v>
      </c>
      <c r="N83" s="21" t="str">
        <f aca="false">IF(OR(D83="",E83=""),"",ABS(D83-E83))</f>
        <v/>
      </c>
      <c r="O83" s="22" t="str">
        <f aca="false">IF(OR(H83="",N83="",N83=0),"",IF(C83="BUY",1,-1)*(H83-D83)/N83)</f>
        <v/>
      </c>
      <c r="P83" s="23" t="str">
        <f aca="false">IF(OR(H83="",D83="",K83=""),"",IF(C83="BUY",1,-1)*(H83-D83)*K83*'Read Me'!$B$10-L83)</f>
        <v/>
      </c>
      <c r="Q83" s="4" t="str">
        <f aca="false">IF(O83="","",IF(O83&gt;0,"WIN","LOSS"))</f>
        <v/>
      </c>
      <c r="R83" s="22" t="str">
        <f aca="false">IF(AND(M83,O83&lt;&gt;""),O83,"")</f>
        <v/>
      </c>
      <c r="S83" s="22" t="n">
        <f aca="false">S82+IF(R83="",0,R83)</f>
        <v>0</v>
      </c>
      <c r="T83" s="22" t="n">
        <f aca="false">MAX(T82,S83)</f>
        <v>0</v>
      </c>
      <c r="U83" s="22" t="n">
        <f aca="false">T83-S83</f>
        <v>0</v>
      </c>
      <c r="V83" s="16"/>
    </row>
    <row r="84" customFormat="false" ht="15" hidden="false" customHeight="true" outlineLevel="0" collapsed="false">
      <c r="A84" s="4" t="str">
        <f aca="false">IF(B84="","",ROW()-1)</f>
        <v/>
      </c>
      <c r="B84" s="15"/>
      <c r="C84" s="16"/>
      <c r="D84" s="17"/>
      <c r="E84" s="17"/>
      <c r="F84" s="17"/>
      <c r="G84" s="18"/>
      <c r="H84" s="17"/>
      <c r="I84" s="16"/>
      <c r="J84" s="16"/>
      <c r="K84" s="17"/>
      <c r="L84" s="19"/>
      <c r="M84" s="20" t="b">
        <f aca="false">AND(B84&lt;&gt;"",B84&gt;='Read Me'!$B$5,H84&lt;&gt;"")</f>
        <v>0</v>
      </c>
      <c r="N84" s="21" t="str">
        <f aca="false">IF(OR(D84="",E84=""),"",ABS(D84-E84))</f>
        <v/>
      </c>
      <c r="O84" s="22" t="str">
        <f aca="false">IF(OR(H84="",N84="",N84=0),"",IF(C84="BUY",1,-1)*(H84-D84)/N84)</f>
        <v/>
      </c>
      <c r="P84" s="23" t="str">
        <f aca="false">IF(OR(H84="",D84="",K84=""),"",IF(C84="BUY",1,-1)*(H84-D84)*K84*'Read Me'!$B$10-L84)</f>
        <v/>
      </c>
      <c r="Q84" s="4" t="str">
        <f aca="false">IF(O84="","",IF(O84&gt;0,"WIN","LOSS"))</f>
        <v/>
      </c>
      <c r="R84" s="22" t="str">
        <f aca="false">IF(AND(M84,O84&lt;&gt;""),O84,"")</f>
        <v/>
      </c>
      <c r="S84" s="22" t="n">
        <f aca="false">S83+IF(R84="",0,R84)</f>
        <v>0</v>
      </c>
      <c r="T84" s="22" t="n">
        <f aca="false">MAX(T83,S84)</f>
        <v>0</v>
      </c>
      <c r="U84" s="22" t="n">
        <f aca="false">T84-S84</f>
        <v>0</v>
      </c>
      <c r="V84" s="16"/>
    </row>
    <row r="85" customFormat="false" ht="15" hidden="false" customHeight="true" outlineLevel="0" collapsed="false">
      <c r="A85" s="4" t="str">
        <f aca="false">IF(B85="","",ROW()-1)</f>
        <v/>
      </c>
      <c r="B85" s="15"/>
      <c r="C85" s="16"/>
      <c r="D85" s="17"/>
      <c r="E85" s="17"/>
      <c r="F85" s="17"/>
      <c r="G85" s="18"/>
      <c r="H85" s="17"/>
      <c r="I85" s="16"/>
      <c r="J85" s="16"/>
      <c r="K85" s="17"/>
      <c r="L85" s="19"/>
      <c r="M85" s="20" t="b">
        <f aca="false">AND(B85&lt;&gt;"",B85&gt;='Read Me'!$B$5,H85&lt;&gt;"")</f>
        <v>0</v>
      </c>
      <c r="N85" s="21" t="str">
        <f aca="false">IF(OR(D85="",E85=""),"",ABS(D85-E85))</f>
        <v/>
      </c>
      <c r="O85" s="22" t="str">
        <f aca="false">IF(OR(H85="",N85="",N85=0),"",IF(C85="BUY",1,-1)*(H85-D85)/N85)</f>
        <v/>
      </c>
      <c r="P85" s="23" t="str">
        <f aca="false">IF(OR(H85="",D85="",K85=""),"",IF(C85="BUY",1,-1)*(H85-D85)*K85*'Read Me'!$B$10-L85)</f>
        <v/>
      </c>
      <c r="Q85" s="4" t="str">
        <f aca="false">IF(O85="","",IF(O85&gt;0,"WIN","LOSS"))</f>
        <v/>
      </c>
      <c r="R85" s="22" t="str">
        <f aca="false">IF(AND(M85,O85&lt;&gt;""),O85,"")</f>
        <v/>
      </c>
      <c r="S85" s="22" t="n">
        <f aca="false">S84+IF(R85="",0,R85)</f>
        <v>0</v>
      </c>
      <c r="T85" s="22" t="n">
        <f aca="false">MAX(T84,S85)</f>
        <v>0</v>
      </c>
      <c r="U85" s="22" t="n">
        <f aca="false">T85-S85</f>
        <v>0</v>
      </c>
      <c r="V85" s="16"/>
    </row>
    <row r="86" customFormat="false" ht="15" hidden="false" customHeight="true" outlineLevel="0" collapsed="false">
      <c r="A86" s="4" t="str">
        <f aca="false">IF(B86="","",ROW()-1)</f>
        <v/>
      </c>
      <c r="B86" s="15"/>
      <c r="C86" s="16"/>
      <c r="D86" s="17"/>
      <c r="E86" s="17"/>
      <c r="F86" s="17"/>
      <c r="G86" s="18"/>
      <c r="H86" s="17"/>
      <c r="I86" s="16"/>
      <c r="J86" s="16"/>
      <c r="K86" s="17"/>
      <c r="L86" s="19"/>
      <c r="M86" s="20" t="b">
        <f aca="false">AND(B86&lt;&gt;"",B86&gt;='Read Me'!$B$5,H86&lt;&gt;"")</f>
        <v>0</v>
      </c>
      <c r="N86" s="21" t="str">
        <f aca="false">IF(OR(D86="",E86=""),"",ABS(D86-E86))</f>
        <v/>
      </c>
      <c r="O86" s="22" t="str">
        <f aca="false">IF(OR(H86="",N86="",N86=0),"",IF(C86="BUY",1,-1)*(H86-D86)/N86)</f>
        <v/>
      </c>
      <c r="P86" s="23" t="str">
        <f aca="false">IF(OR(H86="",D86="",K86=""),"",IF(C86="BUY",1,-1)*(H86-D86)*K86*'Read Me'!$B$10-L86)</f>
        <v/>
      </c>
      <c r="Q86" s="4" t="str">
        <f aca="false">IF(O86="","",IF(O86&gt;0,"WIN","LOSS"))</f>
        <v/>
      </c>
      <c r="R86" s="22" t="str">
        <f aca="false">IF(AND(M86,O86&lt;&gt;""),O86,"")</f>
        <v/>
      </c>
      <c r="S86" s="22" t="n">
        <f aca="false">S85+IF(R86="",0,R86)</f>
        <v>0</v>
      </c>
      <c r="T86" s="22" t="n">
        <f aca="false">MAX(T85,S86)</f>
        <v>0</v>
      </c>
      <c r="U86" s="22" t="n">
        <f aca="false">T86-S86</f>
        <v>0</v>
      </c>
      <c r="V86" s="16"/>
    </row>
    <row r="87" customFormat="false" ht="15" hidden="false" customHeight="true" outlineLevel="0" collapsed="false">
      <c r="A87" s="4" t="str">
        <f aca="false">IF(B87="","",ROW()-1)</f>
        <v/>
      </c>
      <c r="B87" s="15"/>
      <c r="C87" s="16"/>
      <c r="D87" s="17"/>
      <c r="E87" s="17"/>
      <c r="F87" s="17"/>
      <c r="G87" s="18"/>
      <c r="H87" s="17"/>
      <c r="I87" s="16"/>
      <c r="J87" s="16"/>
      <c r="K87" s="17"/>
      <c r="L87" s="19"/>
      <c r="M87" s="20" t="b">
        <f aca="false">AND(B87&lt;&gt;"",B87&gt;='Read Me'!$B$5,H87&lt;&gt;"")</f>
        <v>0</v>
      </c>
      <c r="N87" s="21" t="str">
        <f aca="false">IF(OR(D87="",E87=""),"",ABS(D87-E87))</f>
        <v/>
      </c>
      <c r="O87" s="22" t="str">
        <f aca="false">IF(OR(H87="",N87="",N87=0),"",IF(C87="BUY",1,-1)*(H87-D87)/N87)</f>
        <v/>
      </c>
      <c r="P87" s="23" t="str">
        <f aca="false">IF(OR(H87="",D87="",K87=""),"",IF(C87="BUY",1,-1)*(H87-D87)*K87*'Read Me'!$B$10-L87)</f>
        <v/>
      </c>
      <c r="Q87" s="4" t="str">
        <f aca="false">IF(O87="","",IF(O87&gt;0,"WIN","LOSS"))</f>
        <v/>
      </c>
      <c r="R87" s="22" t="str">
        <f aca="false">IF(AND(M87,O87&lt;&gt;""),O87,"")</f>
        <v/>
      </c>
      <c r="S87" s="22" t="n">
        <f aca="false">S86+IF(R87="",0,R87)</f>
        <v>0</v>
      </c>
      <c r="T87" s="22" t="n">
        <f aca="false">MAX(T86,S87)</f>
        <v>0</v>
      </c>
      <c r="U87" s="22" t="n">
        <f aca="false">T87-S87</f>
        <v>0</v>
      </c>
      <c r="V87" s="16"/>
    </row>
    <row r="88" customFormat="false" ht="15" hidden="false" customHeight="true" outlineLevel="0" collapsed="false">
      <c r="A88" s="4" t="str">
        <f aca="false">IF(B88="","",ROW()-1)</f>
        <v/>
      </c>
      <c r="B88" s="15"/>
      <c r="C88" s="16"/>
      <c r="D88" s="17"/>
      <c r="E88" s="17"/>
      <c r="F88" s="17"/>
      <c r="G88" s="18"/>
      <c r="H88" s="17"/>
      <c r="I88" s="16"/>
      <c r="J88" s="16"/>
      <c r="K88" s="17"/>
      <c r="L88" s="19"/>
      <c r="M88" s="20" t="b">
        <f aca="false">AND(B88&lt;&gt;"",B88&gt;='Read Me'!$B$5,H88&lt;&gt;"")</f>
        <v>0</v>
      </c>
      <c r="N88" s="21" t="str">
        <f aca="false">IF(OR(D88="",E88=""),"",ABS(D88-E88))</f>
        <v/>
      </c>
      <c r="O88" s="22" t="str">
        <f aca="false">IF(OR(H88="",N88="",N88=0),"",IF(C88="BUY",1,-1)*(H88-D88)/N88)</f>
        <v/>
      </c>
      <c r="P88" s="23" t="str">
        <f aca="false">IF(OR(H88="",D88="",K88=""),"",IF(C88="BUY",1,-1)*(H88-D88)*K88*'Read Me'!$B$10-L88)</f>
        <v/>
      </c>
      <c r="Q88" s="4" t="str">
        <f aca="false">IF(O88="","",IF(O88&gt;0,"WIN","LOSS"))</f>
        <v/>
      </c>
      <c r="R88" s="22" t="str">
        <f aca="false">IF(AND(M88,O88&lt;&gt;""),O88,"")</f>
        <v/>
      </c>
      <c r="S88" s="22" t="n">
        <f aca="false">S87+IF(R88="",0,R88)</f>
        <v>0</v>
      </c>
      <c r="T88" s="22" t="n">
        <f aca="false">MAX(T87,S88)</f>
        <v>0</v>
      </c>
      <c r="U88" s="22" t="n">
        <f aca="false">T88-S88</f>
        <v>0</v>
      </c>
      <c r="V88" s="16"/>
    </row>
    <row r="89" customFormat="false" ht="15" hidden="false" customHeight="true" outlineLevel="0" collapsed="false">
      <c r="A89" s="4" t="str">
        <f aca="false">IF(B89="","",ROW()-1)</f>
        <v/>
      </c>
      <c r="B89" s="15"/>
      <c r="C89" s="16"/>
      <c r="D89" s="17"/>
      <c r="E89" s="17"/>
      <c r="F89" s="17"/>
      <c r="G89" s="18"/>
      <c r="H89" s="17"/>
      <c r="I89" s="16"/>
      <c r="J89" s="16"/>
      <c r="K89" s="17"/>
      <c r="L89" s="19"/>
      <c r="M89" s="20" t="b">
        <f aca="false">AND(B89&lt;&gt;"",B89&gt;='Read Me'!$B$5,H89&lt;&gt;"")</f>
        <v>0</v>
      </c>
      <c r="N89" s="21" t="str">
        <f aca="false">IF(OR(D89="",E89=""),"",ABS(D89-E89))</f>
        <v/>
      </c>
      <c r="O89" s="22" t="str">
        <f aca="false">IF(OR(H89="",N89="",N89=0),"",IF(C89="BUY",1,-1)*(H89-D89)/N89)</f>
        <v/>
      </c>
      <c r="P89" s="23" t="str">
        <f aca="false">IF(OR(H89="",D89="",K89=""),"",IF(C89="BUY",1,-1)*(H89-D89)*K89*'Read Me'!$B$10-L89)</f>
        <v/>
      </c>
      <c r="Q89" s="4" t="str">
        <f aca="false">IF(O89="","",IF(O89&gt;0,"WIN","LOSS"))</f>
        <v/>
      </c>
      <c r="R89" s="22" t="str">
        <f aca="false">IF(AND(M89,O89&lt;&gt;""),O89,"")</f>
        <v/>
      </c>
      <c r="S89" s="22" t="n">
        <f aca="false">S88+IF(R89="",0,R89)</f>
        <v>0</v>
      </c>
      <c r="T89" s="22" t="n">
        <f aca="false">MAX(T88,S89)</f>
        <v>0</v>
      </c>
      <c r="U89" s="22" t="n">
        <f aca="false">T89-S89</f>
        <v>0</v>
      </c>
      <c r="V89" s="16"/>
    </row>
    <row r="90" customFormat="false" ht="15" hidden="false" customHeight="true" outlineLevel="0" collapsed="false">
      <c r="A90" s="4" t="str">
        <f aca="false">IF(B90="","",ROW()-1)</f>
        <v/>
      </c>
      <c r="B90" s="15"/>
      <c r="C90" s="16"/>
      <c r="D90" s="17"/>
      <c r="E90" s="17"/>
      <c r="F90" s="17"/>
      <c r="G90" s="18"/>
      <c r="H90" s="17"/>
      <c r="I90" s="16"/>
      <c r="J90" s="16"/>
      <c r="K90" s="17"/>
      <c r="L90" s="19"/>
      <c r="M90" s="20" t="b">
        <f aca="false">AND(B90&lt;&gt;"",B90&gt;='Read Me'!$B$5,H90&lt;&gt;"")</f>
        <v>0</v>
      </c>
      <c r="N90" s="21" t="str">
        <f aca="false">IF(OR(D90="",E90=""),"",ABS(D90-E90))</f>
        <v/>
      </c>
      <c r="O90" s="22" t="str">
        <f aca="false">IF(OR(H90="",N90="",N90=0),"",IF(C90="BUY",1,-1)*(H90-D90)/N90)</f>
        <v/>
      </c>
      <c r="P90" s="23" t="str">
        <f aca="false">IF(OR(H90="",D90="",K90=""),"",IF(C90="BUY",1,-1)*(H90-D90)*K90*'Read Me'!$B$10-L90)</f>
        <v/>
      </c>
      <c r="Q90" s="4" t="str">
        <f aca="false">IF(O90="","",IF(O90&gt;0,"WIN","LOSS"))</f>
        <v/>
      </c>
      <c r="R90" s="22" t="str">
        <f aca="false">IF(AND(M90,O90&lt;&gt;""),O90,"")</f>
        <v/>
      </c>
      <c r="S90" s="22" t="n">
        <f aca="false">S89+IF(R90="",0,R90)</f>
        <v>0</v>
      </c>
      <c r="T90" s="22" t="n">
        <f aca="false">MAX(T89,S90)</f>
        <v>0</v>
      </c>
      <c r="U90" s="22" t="n">
        <f aca="false">T90-S90</f>
        <v>0</v>
      </c>
      <c r="V90" s="16"/>
    </row>
    <row r="91" customFormat="false" ht="15" hidden="false" customHeight="true" outlineLevel="0" collapsed="false">
      <c r="A91" s="4" t="str">
        <f aca="false">IF(B91="","",ROW()-1)</f>
        <v/>
      </c>
      <c r="B91" s="15"/>
      <c r="C91" s="16"/>
      <c r="D91" s="17"/>
      <c r="E91" s="17"/>
      <c r="F91" s="17"/>
      <c r="G91" s="18"/>
      <c r="H91" s="17"/>
      <c r="I91" s="16"/>
      <c r="J91" s="16"/>
      <c r="K91" s="17"/>
      <c r="L91" s="19"/>
      <c r="M91" s="20" t="b">
        <f aca="false">AND(B91&lt;&gt;"",B91&gt;='Read Me'!$B$5,H91&lt;&gt;"")</f>
        <v>0</v>
      </c>
      <c r="N91" s="21" t="str">
        <f aca="false">IF(OR(D91="",E91=""),"",ABS(D91-E91))</f>
        <v/>
      </c>
      <c r="O91" s="22" t="str">
        <f aca="false">IF(OR(H91="",N91="",N91=0),"",IF(C91="BUY",1,-1)*(H91-D91)/N91)</f>
        <v/>
      </c>
      <c r="P91" s="23" t="str">
        <f aca="false">IF(OR(H91="",D91="",K91=""),"",IF(C91="BUY",1,-1)*(H91-D91)*K91*'Read Me'!$B$10-L91)</f>
        <v/>
      </c>
      <c r="Q91" s="4" t="str">
        <f aca="false">IF(O91="","",IF(O91&gt;0,"WIN","LOSS"))</f>
        <v/>
      </c>
      <c r="R91" s="22" t="str">
        <f aca="false">IF(AND(M91,O91&lt;&gt;""),O91,"")</f>
        <v/>
      </c>
      <c r="S91" s="22" t="n">
        <f aca="false">S90+IF(R91="",0,R91)</f>
        <v>0</v>
      </c>
      <c r="T91" s="22" t="n">
        <f aca="false">MAX(T90,S91)</f>
        <v>0</v>
      </c>
      <c r="U91" s="22" t="n">
        <f aca="false">T91-S91</f>
        <v>0</v>
      </c>
      <c r="V91" s="16"/>
    </row>
    <row r="92" customFormat="false" ht="15" hidden="false" customHeight="true" outlineLevel="0" collapsed="false">
      <c r="A92" s="4" t="str">
        <f aca="false">IF(B92="","",ROW()-1)</f>
        <v/>
      </c>
      <c r="B92" s="15"/>
      <c r="C92" s="16"/>
      <c r="D92" s="17"/>
      <c r="E92" s="17"/>
      <c r="F92" s="17"/>
      <c r="G92" s="18"/>
      <c r="H92" s="17"/>
      <c r="I92" s="16"/>
      <c r="J92" s="16"/>
      <c r="K92" s="17"/>
      <c r="L92" s="19"/>
      <c r="M92" s="20" t="b">
        <f aca="false">AND(B92&lt;&gt;"",B92&gt;='Read Me'!$B$5,H92&lt;&gt;"")</f>
        <v>0</v>
      </c>
      <c r="N92" s="21" t="str">
        <f aca="false">IF(OR(D92="",E92=""),"",ABS(D92-E92))</f>
        <v/>
      </c>
      <c r="O92" s="22" t="str">
        <f aca="false">IF(OR(H92="",N92="",N92=0),"",IF(C92="BUY",1,-1)*(H92-D92)/N92)</f>
        <v/>
      </c>
      <c r="P92" s="23" t="str">
        <f aca="false">IF(OR(H92="",D92="",K92=""),"",IF(C92="BUY",1,-1)*(H92-D92)*K92*'Read Me'!$B$10-L92)</f>
        <v/>
      </c>
      <c r="Q92" s="4" t="str">
        <f aca="false">IF(O92="","",IF(O92&gt;0,"WIN","LOSS"))</f>
        <v/>
      </c>
      <c r="R92" s="22" t="str">
        <f aca="false">IF(AND(M92,O92&lt;&gt;""),O92,"")</f>
        <v/>
      </c>
      <c r="S92" s="22" t="n">
        <f aca="false">S91+IF(R92="",0,R92)</f>
        <v>0</v>
      </c>
      <c r="T92" s="22" t="n">
        <f aca="false">MAX(T91,S92)</f>
        <v>0</v>
      </c>
      <c r="U92" s="22" t="n">
        <f aca="false">T92-S92</f>
        <v>0</v>
      </c>
      <c r="V92" s="16"/>
    </row>
    <row r="93" customFormat="false" ht="15" hidden="false" customHeight="true" outlineLevel="0" collapsed="false">
      <c r="A93" s="4" t="str">
        <f aca="false">IF(B93="","",ROW()-1)</f>
        <v/>
      </c>
      <c r="B93" s="15"/>
      <c r="C93" s="16"/>
      <c r="D93" s="17"/>
      <c r="E93" s="17"/>
      <c r="F93" s="17"/>
      <c r="G93" s="18"/>
      <c r="H93" s="17"/>
      <c r="I93" s="16"/>
      <c r="J93" s="16"/>
      <c r="K93" s="17"/>
      <c r="L93" s="19"/>
      <c r="M93" s="20" t="b">
        <f aca="false">AND(B93&lt;&gt;"",B93&gt;='Read Me'!$B$5,H93&lt;&gt;"")</f>
        <v>0</v>
      </c>
      <c r="N93" s="21" t="str">
        <f aca="false">IF(OR(D93="",E93=""),"",ABS(D93-E93))</f>
        <v/>
      </c>
      <c r="O93" s="22" t="str">
        <f aca="false">IF(OR(H93="",N93="",N93=0),"",IF(C93="BUY",1,-1)*(H93-D93)/N93)</f>
        <v/>
      </c>
      <c r="P93" s="23" t="str">
        <f aca="false">IF(OR(H93="",D93="",K93=""),"",IF(C93="BUY",1,-1)*(H93-D93)*K93*'Read Me'!$B$10-L93)</f>
        <v/>
      </c>
      <c r="Q93" s="4" t="str">
        <f aca="false">IF(O93="","",IF(O93&gt;0,"WIN","LOSS"))</f>
        <v/>
      </c>
      <c r="R93" s="22" t="str">
        <f aca="false">IF(AND(M93,O93&lt;&gt;""),O93,"")</f>
        <v/>
      </c>
      <c r="S93" s="22" t="n">
        <f aca="false">S92+IF(R93="",0,R93)</f>
        <v>0</v>
      </c>
      <c r="T93" s="22" t="n">
        <f aca="false">MAX(T92,S93)</f>
        <v>0</v>
      </c>
      <c r="U93" s="22" t="n">
        <f aca="false">T93-S93</f>
        <v>0</v>
      </c>
      <c r="V93" s="16"/>
    </row>
    <row r="94" customFormat="false" ht="15" hidden="false" customHeight="true" outlineLevel="0" collapsed="false">
      <c r="A94" s="4" t="str">
        <f aca="false">IF(B94="","",ROW()-1)</f>
        <v/>
      </c>
      <c r="B94" s="15"/>
      <c r="C94" s="16"/>
      <c r="D94" s="17"/>
      <c r="E94" s="17"/>
      <c r="F94" s="17"/>
      <c r="G94" s="18"/>
      <c r="H94" s="17"/>
      <c r="I94" s="16"/>
      <c r="J94" s="16"/>
      <c r="K94" s="17"/>
      <c r="L94" s="19"/>
      <c r="M94" s="20" t="b">
        <f aca="false">AND(B94&lt;&gt;"",B94&gt;='Read Me'!$B$5,H94&lt;&gt;"")</f>
        <v>0</v>
      </c>
      <c r="N94" s="21" t="str">
        <f aca="false">IF(OR(D94="",E94=""),"",ABS(D94-E94))</f>
        <v/>
      </c>
      <c r="O94" s="22" t="str">
        <f aca="false">IF(OR(H94="",N94="",N94=0),"",IF(C94="BUY",1,-1)*(H94-D94)/N94)</f>
        <v/>
      </c>
      <c r="P94" s="23" t="str">
        <f aca="false">IF(OR(H94="",D94="",K94=""),"",IF(C94="BUY",1,-1)*(H94-D94)*K94*'Read Me'!$B$10-L94)</f>
        <v/>
      </c>
      <c r="Q94" s="4" t="str">
        <f aca="false">IF(O94="","",IF(O94&gt;0,"WIN","LOSS"))</f>
        <v/>
      </c>
      <c r="R94" s="22" t="str">
        <f aca="false">IF(AND(M94,O94&lt;&gt;""),O94,"")</f>
        <v/>
      </c>
      <c r="S94" s="22" t="n">
        <f aca="false">S93+IF(R94="",0,R94)</f>
        <v>0</v>
      </c>
      <c r="T94" s="22" t="n">
        <f aca="false">MAX(T93,S94)</f>
        <v>0</v>
      </c>
      <c r="U94" s="22" t="n">
        <f aca="false">T94-S94</f>
        <v>0</v>
      </c>
      <c r="V94" s="16"/>
    </row>
    <row r="95" customFormat="false" ht="15" hidden="false" customHeight="true" outlineLevel="0" collapsed="false">
      <c r="A95" s="4" t="str">
        <f aca="false">IF(B95="","",ROW()-1)</f>
        <v/>
      </c>
      <c r="B95" s="15"/>
      <c r="C95" s="16"/>
      <c r="D95" s="17"/>
      <c r="E95" s="17"/>
      <c r="F95" s="17"/>
      <c r="G95" s="18"/>
      <c r="H95" s="17"/>
      <c r="I95" s="16"/>
      <c r="J95" s="16"/>
      <c r="K95" s="17"/>
      <c r="L95" s="19"/>
      <c r="M95" s="20" t="b">
        <f aca="false">AND(B95&lt;&gt;"",B95&gt;='Read Me'!$B$5,H95&lt;&gt;"")</f>
        <v>0</v>
      </c>
      <c r="N95" s="21" t="str">
        <f aca="false">IF(OR(D95="",E95=""),"",ABS(D95-E95))</f>
        <v/>
      </c>
      <c r="O95" s="22" t="str">
        <f aca="false">IF(OR(H95="",N95="",N95=0),"",IF(C95="BUY",1,-1)*(H95-D95)/N95)</f>
        <v/>
      </c>
      <c r="P95" s="23" t="str">
        <f aca="false">IF(OR(H95="",D95="",K95=""),"",IF(C95="BUY",1,-1)*(H95-D95)*K95*'Read Me'!$B$10-L95)</f>
        <v/>
      </c>
      <c r="Q95" s="4" t="str">
        <f aca="false">IF(O95="","",IF(O95&gt;0,"WIN","LOSS"))</f>
        <v/>
      </c>
      <c r="R95" s="22" t="str">
        <f aca="false">IF(AND(M95,O95&lt;&gt;""),O95,"")</f>
        <v/>
      </c>
      <c r="S95" s="22" t="n">
        <f aca="false">S94+IF(R95="",0,R95)</f>
        <v>0</v>
      </c>
      <c r="T95" s="22" t="n">
        <f aca="false">MAX(T94,S95)</f>
        <v>0</v>
      </c>
      <c r="U95" s="22" t="n">
        <f aca="false">T95-S95</f>
        <v>0</v>
      </c>
      <c r="V95" s="16"/>
    </row>
    <row r="96" customFormat="false" ht="15" hidden="false" customHeight="true" outlineLevel="0" collapsed="false">
      <c r="A96" s="4" t="str">
        <f aca="false">IF(B96="","",ROW()-1)</f>
        <v/>
      </c>
      <c r="B96" s="15"/>
      <c r="C96" s="16"/>
      <c r="D96" s="17"/>
      <c r="E96" s="17"/>
      <c r="F96" s="17"/>
      <c r="G96" s="18"/>
      <c r="H96" s="17"/>
      <c r="I96" s="16"/>
      <c r="J96" s="16"/>
      <c r="K96" s="17"/>
      <c r="L96" s="19"/>
      <c r="M96" s="20" t="b">
        <f aca="false">AND(B96&lt;&gt;"",B96&gt;='Read Me'!$B$5,H96&lt;&gt;"")</f>
        <v>0</v>
      </c>
      <c r="N96" s="21" t="str">
        <f aca="false">IF(OR(D96="",E96=""),"",ABS(D96-E96))</f>
        <v/>
      </c>
      <c r="O96" s="22" t="str">
        <f aca="false">IF(OR(H96="",N96="",N96=0),"",IF(C96="BUY",1,-1)*(H96-D96)/N96)</f>
        <v/>
      </c>
      <c r="P96" s="23" t="str">
        <f aca="false">IF(OR(H96="",D96="",K96=""),"",IF(C96="BUY",1,-1)*(H96-D96)*K96*'Read Me'!$B$10-L96)</f>
        <v/>
      </c>
      <c r="Q96" s="4" t="str">
        <f aca="false">IF(O96="","",IF(O96&gt;0,"WIN","LOSS"))</f>
        <v/>
      </c>
      <c r="R96" s="22" t="str">
        <f aca="false">IF(AND(M96,O96&lt;&gt;""),O96,"")</f>
        <v/>
      </c>
      <c r="S96" s="22" t="n">
        <f aca="false">S95+IF(R96="",0,R96)</f>
        <v>0</v>
      </c>
      <c r="T96" s="22" t="n">
        <f aca="false">MAX(T95,S96)</f>
        <v>0</v>
      </c>
      <c r="U96" s="22" t="n">
        <f aca="false">T96-S96</f>
        <v>0</v>
      </c>
      <c r="V96" s="16"/>
    </row>
    <row r="97" customFormat="false" ht="15" hidden="false" customHeight="true" outlineLevel="0" collapsed="false">
      <c r="A97" s="4" t="str">
        <f aca="false">IF(B97="","",ROW()-1)</f>
        <v/>
      </c>
      <c r="B97" s="15"/>
      <c r="C97" s="16"/>
      <c r="D97" s="17"/>
      <c r="E97" s="17"/>
      <c r="F97" s="17"/>
      <c r="G97" s="18"/>
      <c r="H97" s="17"/>
      <c r="I97" s="16"/>
      <c r="J97" s="16"/>
      <c r="K97" s="17"/>
      <c r="L97" s="19"/>
      <c r="M97" s="20" t="b">
        <f aca="false">AND(B97&lt;&gt;"",B97&gt;='Read Me'!$B$5,H97&lt;&gt;"")</f>
        <v>0</v>
      </c>
      <c r="N97" s="21" t="str">
        <f aca="false">IF(OR(D97="",E97=""),"",ABS(D97-E97))</f>
        <v/>
      </c>
      <c r="O97" s="22" t="str">
        <f aca="false">IF(OR(H97="",N97="",N97=0),"",IF(C97="BUY",1,-1)*(H97-D97)/N97)</f>
        <v/>
      </c>
      <c r="P97" s="23" t="str">
        <f aca="false">IF(OR(H97="",D97="",K97=""),"",IF(C97="BUY",1,-1)*(H97-D97)*K97*'Read Me'!$B$10-L97)</f>
        <v/>
      </c>
      <c r="Q97" s="4" t="str">
        <f aca="false">IF(O97="","",IF(O97&gt;0,"WIN","LOSS"))</f>
        <v/>
      </c>
      <c r="R97" s="22" t="str">
        <f aca="false">IF(AND(M97,O97&lt;&gt;""),O97,"")</f>
        <v/>
      </c>
      <c r="S97" s="22" t="n">
        <f aca="false">S96+IF(R97="",0,R97)</f>
        <v>0</v>
      </c>
      <c r="T97" s="22" t="n">
        <f aca="false">MAX(T96,S97)</f>
        <v>0</v>
      </c>
      <c r="U97" s="22" t="n">
        <f aca="false">T97-S97</f>
        <v>0</v>
      </c>
      <c r="V97" s="16"/>
    </row>
    <row r="98" customFormat="false" ht="15" hidden="false" customHeight="true" outlineLevel="0" collapsed="false">
      <c r="A98" s="4" t="str">
        <f aca="false">IF(B98="","",ROW()-1)</f>
        <v/>
      </c>
      <c r="B98" s="15"/>
      <c r="C98" s="16"/>
      <c r="D98" s="17"/>
      <c r="E98" s="17"/>
      <c r="F98" s="17"/>
      <c r="G98" s="18"/>
      <c r="H98" s="17"/>
      <c r="I98" s="16"/>
      <c r="J98" s="16"/>
      <c r="K98" s="17"/>
      <c r="L98" s="19"/>
      <c r="M98" s="20" t="b">
        <f aca="false">AND(B98&lt;&gt;"",B98&gt;='Read Me'!$B$5,H98&lt;&gt;"")</f>
        <v>0</v>
      </c>
      <c r="N98" s="21" t="str">
        <f aca="false">IF(OR(D98="",E98=""),"",ABS(D98-E98))</f>
        <v/>
      </c>
      <c r="O98" s="22" t="str">
        <f aca="false">IF(OR(H98="",N98="",N98=0),"",IF(C98="BUY",1,-1)*(H98-D98)/N98)</f>
        <v/>
      </c>
      <c r="P98" s="23" t="str">
        <f aca="false">IF(OR(H98="",D98="",K98=""),"",IF(C98="BUY",1,-1)*(H98-D98)*K98*'Read Me'!$B$10-L98)</f>
        <v/>
      </c>
      <c r="Q98" s="4" t="str">
        <f aca="false">IF(O98="","",IF(O98&gt;0,"WIN","LOSS"))</f>
        <v/>
      </c>
      <c r="R98" s="22" t="str">
        <f aca="false">IF(AND(M98,O98&lt;&gt;""),O98,"")</f>
        <v/>
      </c>
      <c r="S98" s="22" t="n">
        <f aca="false">S97+IF(R98="",0,R98)</f>
        <v>0</v>
      </c>
      <c r="T98" s="22" t="n">
        <f aca="false">MAX(T97,S98)</f>
        <v>0</v>
      </c>
      <c r="U98" s="22" t="n">
        <f aca="false">T98-S98</f>
        <v>0</v>
      </c>
      <c r="V98" s="16"/>
    </row>
    <row r="99" customFormat="false" ht="15" hidden="false" customHeight="true" outlineLevel="0" collapsed="false">
      <c r="A99" s="4" t="str">
        <f aca="false">IF(B99="","",ROW()-1)</f>
        <v/>
      </c>
      <c r="B99" s="15"/>
      <c r="C99" s="16"/>
      <c r="D99" s="17"/>
      <c r="E99" s="17"/>
      <c r="F99" s="17"/>
      <c r="G99" s="18"/>
      <c r="H99" s="17"/>
      <c r="I99" s="16"/>
      <c r="J99" s="16"/>
      <c r="K99" s="17"/>
      <c r="L99" s="19"/>
      <c r="M99" s="20" t="b">
        <f aca="false">AND(B99&lt;&gt;"",B99&gt;='Read Me'!$B$5,H99&lt;&gt;"")</f>
        <v>0</v>
      </c>
      <c r="N99" s="21" t="str">
        <f aca="false">IF(OR(D99="",E99=""),"",ABS(D99-E99))</f>
        <v/>
      </c>
      <c r="O99" s="22" t="str">
        <f aca="false">IF(OR(H99="",N99="",N99=0),"",IF(C99="BUY",1,-1)*(H99-D99)/N99)</f>
        <v/>
      </c>
      <c r="P99" s="23" t="str">
        <f aca="false">IF(OR(H99="",D99="",K99=""),"",IF(C99="BUY",1,-1)*(H99-D99)*K99*'Read Me'!$B$10-L99)</f>
        <v/>
      </c>
      <c r="Q99" s="4" t="str">
        <f aca="false">IF(O99="","",IF(O99&gt;0,"WIN","LOSS"))</f>
        <v/>
      </c>
      <c r="R99" s="22" t="str">
        <f aca="false">IF(AND(M99,O99&lt;&gt;""),O99,"")</f>
        <v/>
      </c>
      <c r="S99" s="22" t="n">
        <f aca="false">S98+IF(R99="",0,R99)</f>
        <v>0</v>
      </c>
      <c r="T99" s="22" t="n">
        <f aca="false">MAX(T98,S99)</f>
        <v>0</v>
      </c>
      <c r="U99" s="22" t="n">
        <f aca="false">T99-S99</f>
        <v>0</v>
      </c>
      <c r="V99" s="16"/>
    </row>
    <row r="100" customFormat="false" ht="15" hidden="false" customHeight="true" outlineLevel="0" collapsed="false">
      <c r="A100" s="4" t="str">
        <f aca="false">IF(B100="","",ROW()-1)</f>
        <v/>
      </c>
      <c r="B100" s="15"/>
      <c r="C100" s="16"/>
      <c r="D100" s="17"/>
      <c r="E100" s="17"/>
      <c r="F100" s="17"/>
      <c r="G100" s="18"/>
      <c r="H100" s="17"/>
      <c r="I100" s="16"/>
      <c r="J100" s="16"/>
      <c r="K100" s="17"/>
      <c r="L100" s="19"/>
      <c r="M100" s="20" t="b">
        <f aca="false">AND(B100&lt;&gt;"",B100&gt;='Read Me'!$B$5,H100&lt;&gt;"")</f>
        <v>0</v>
      </c>
      <c r="N100" s="21" t="str">
        <f aca="false">IF(OR(D100="",E100=""),"",ABS(D100-E100))</f>
        <v/>
      </c>
      <c r="O100" s="22" t="str">
        <f aca="false">IF(OR(H100="",N100="",N100=0),"",IF(C100="BUY",1,-1)*(H100-D100)/N100)</f>
        <v/>
      </c>
      <c r="P100" s="23" t="str">
        <f aca="false">IF(OR(H100="",D100="",K100=""),"",IF(C100="BUY",1,-1)*(H100-D100)*K100*'Read Me'!$B$10-L100)</f>
        <v/>
      </c>
      <c r="Q100" s="4" t="str">
        <f aca="false">IF(O100="","",IF(O100&gt;0,"WIN","LOSS"))</f>
        <v/>
      </c>
      <c r="R100" s="22" t="str">
        <f aca="false">IF(AND(M100,O100&lt;&gt;""),O100,"")</f>
        <v/>
      </c>
      <c r="S100" s="22" t="n">
        <f aca="false">S99+IF(R100="",0,R100)</f>
        <v>0</v>
      </c>
      <c r="T100" s="22" t="n">
        <f aca="false">MAX(T99,S100)</f>
        <v>0</v>
      </c>
      <c r="U100" s="22" t="n">
        <f aca="false">T100-S100</f>
        <v>0</v>
      </c>
      <c r="V100" s="16"/>
    </row>
    <row r="101" customFormat="false" ht="15" hidden="false" customHeight="true" outlineLevel="0" collapsed="false">
      <c r="A101" s="4" t="str">
        <f aca="false">IF(B101="","",ROW()-1)</f>
        <v/>
      </c>
      <c r="B101" s="15"/>
      <c r="C101" s="16"/>
      <c r="D101" s="17"/>
      <c r="E101" s="17"/>
      <c r="F101" s="17"/>
      <c r="G101" s="18"/>
      <c r="H101" s="17"/>
      <c r="I101" s="16"/>
      <c r="J101" s="16"/>
      <c r="K101" s="17"/>
      <c r="L101" s="19"/>
      <c r="M101" s="20" t="b">
        <f aca="false">AND(B101&lt;&gt;"",B101&gt;='Read Me'!$B$5,H101&lt;&gt;"")</f>
        <v>0</v>
      </c>
      <c r="N101" s="21" t="str">
        <f aca="false">IF(OR(D101="",E101=""),"",ABS(D101-E101))</f>
        <v/>
      </c>
      <c r="O101" s="22" t="str">
        <f aca="false">IF(OR(H101="",N101="",N101=0),"",IF(C101="BUY",1,-1)*(H101-D101)/N101)</f>
        <v/>
      </c>
      <c r="P101" s="23" t="str">
        <f aca="false">IF(OR(H101="",D101="",K101=""),"",IF(C101="BUY",1,-1)*(H101-D101)*K101*'Read Me'!$B$10-L101)</f>
        <v/>
      </c>
      <c r="Q101" s="4" t="str">
        <f aca="false">IF(O101="","",IF(O101&gt;0,"WIN","LOSS"))</f>
        <v/>
      </c>
      <c r="R101" s="22" t="str">
        <f aca="false">IF(AND(M101,O101&lt;&gt;""),O101,"")</f>
        <v/>
      </c>
      <c r="S101" s="22" t="n">
        <f aca="false">S100+IF(R101="",0,R101)</f>
        <v>0</v>
      </c>
      <c r="T101" s="22" t="n">
        <f aca="false">MAX(T100,S101)</f>
        <v>0</v>
      </c>
      <c r="U101" s="22" t="n">
        <f aca="false">T101-S101</f>
        <v>0</v>
      </c>
      <c r="V101" s="16"/>
    </row>
    <row r="102" customFormat="false" ht="15" hidden="false" customHeight="true" outlineLevel="0" collapsed="false">
      <c r="A102" s="4" t="str">
        <f aca="false">IF(B102="","",ROW()-1)</f>
        <v/>
      </c>
      <c r="B102" s="15"/>
      <c r="C102" s="16"/>
      <c r="D102" s="17"/>
      <c r="E102" s="17"/>
      <c r="F102" s="17"/>
      <c r="G102" s="18"/>
      <c r="H102" s="17"/>
      <c r="I102" s="16"/>
      <c r="J102" s="16"/>
      <c r="K102" s="17"/>
      <c r="L102" s="19"/>
      <c r="M102" s="20" t="b">
        <f aca="false">AND(B102&lt;&gt;"",B102&gt;='Read Me'!$B$5,H102&lt;&gt;"")</f>
        <v>0</v>
      </c>
      <c r="N102" s="21" t="str">
        <f aca="false">IF(OR(D102="",E102=""),"",ABS(D102-E102))</f>
        <v/>
      </c>
      <c r="O102" s="22" t="str">
        <f aca="false">IF(OR(H102="",N102="",N102=0),"",IF(C102="BUY",1,-1)*(H102-D102)/N102)</f>
        <v/>
      </c>
      <c r="P102" s="23" t="str">
        <f aca="false">IF(OR(H102="",D102="",K102=""),"",IF(C102="BUY",1,-1)*(H102-D102)*K102*'Read Me'!$B$10-L102)</f>
        <v/>
      </c>
      <c r="Q102" s="4" t="str">
        <f aca="false">IF(O102="","",IF(O102&gt;0,"WIN","LOSS"))</f>
        <v/>
      </c>
      <c r="R102" s="22" t="str">
        <f aca="false">IF(AND(M102,O102&lt;&gt;""),O102,"")</f>
        <v/>
      </c>
      <c r="S102" s="22" t="n">
        <f aca="false">S101+IF(R102="",0,R102)</f>
        <v>0</v>
      </c>
      <c r="T102" s="22" t="n">
        <f aca="false">MAX(T101,S102)</f>
        <v>0</v>
      </c>
      <c r="U102" s="22" t="n">
        <f aca="false">T102-S102</f>
        <v>0</v>
      </c>
      <c r="V102" s="16"/>
    </row>
    <row r="103" customFormat="false" ht="15" hidden="false" customHeight="true" outlineLevel="0" collapsed="false">
      <c r="A103" s="4" t="str">
        <f aca="false">IF(B103="","",ROW()-1)</f>
        <v/>
      </c>
      <c r="B103" s="15"/>
      <c r="C103" s="16"/>
      <c r="D103" s="17"/>
      <c r="E103" s="17"/>
      <c r="F103" s="17"/>
      <c r="G103" s="18"/>
      <c r="H103" s="17"/>
      <c r="I103" s="16"/>
      <c r="J103" s="16"/>
      <c r="K103" s="17"/>
      <c r="L103" s="19"/>
      <c r="M103" s="20" t="b">
        <f aca="false">AND(B103&lt;&gt;"",B103&gt;='Read Me'!$B$5,H103&lt;&gt;"")</f>
        <v>0</v>
      </c>
      <c r="N103" s="21" t="str">
        <f aca="false">IF(OR(D103="",E103=""),"",ABS(D103-E103))</f>
        <v/>
      </c>
      <c r="O103" s="22" t="str">
        <f aca="false">IF(OR(H103="",N103="",N103=0),"",IF(C103="BUY",1,-1)*(H103-D103)/N103)</f>
        <v/>
      </c>
      <c r="P103" s="23" t="str">
        <f aca="false">IF(OR(H103="",D103="",K103=""),"",IF(C103="BUY",1,-1)*(H103-D103)*K103*'Read Me'!$B$10-L103)</f>
        <v/>
      </c>
      <c r="Q103" s="4" t="str">
        <f aca="false">IF(O103="","",IF(O103&gt;0,"WIN","LOSS"))</f>
        <v/>
      </c>
      <c r="R103" s="22" t="str">
        <f aca="false">IF(AND(M103,O103&lt;&gt;""),O103,"")</f>
        <v/>
      </c>
      <c r="S103" s="22" t="n">
        <f aca="false">S102+IF(R103="",0,R103)</f>
        <v>0</v>
      </c>
      <c r="T103" s="22" t="n">
        <f aca="false">MAX(T102,S103)</f>
        <v>0</v>
      </c>
      <c r="U103" s="22" t="n">
        <f aca="false">T103-S103</f>
        <v>0</v>
      </c>
      <c r="V103" s="16"/>
    </row>
    <row r="104" customFormat="false" ht="15" hidden="false" customHeight="true" outlineLevel="0" collapsed="false">
      <c r="A104" s="4" t="str">
        <f aca="false">IF(B104="","",ROW()-1)</f>
        <v/>
      </c>
      <c r="B104" s="15"/>
      <c r="C104" s="16"/>
      <c r="D104" s="17"/>
      <c r="E104" s="17"/>
      <c r="F104" s="17"/>
      <c r="G104" s="18"/>
      <c r="H104" s="17"/>
      <c r="I104" s="16"/>
      <c r="J104" s="16"/>
      <c r="K104" s="17"/>
      <c r="L104" s="19"/>
      <c r="M104" s="20" t="b">
        <f aca="false">AND(B104&lt;&gt;"",B104&gt;='Read Me'!$B$5,H104&lt;&gt;"")</f>
        <v>0</v>
      </c>
      <c r="N104" s="21" t="str">
        <f aca="false">IF(OR(D104="",E104=""),"",ABS(D104-E104))</f>
        <v/>
      </c>
      <c r="O104" s="22" t="str">
        <f aca="false">IF(OR(H104="",N104="",N104=0),"",IF(C104="BUY",1,-1)*(H104-D104)/N104)</f>
        <v/>
      </c>
      <c r="P104" s="23" t="str">
        <f aca="false">IF(OR(H104="",D104="",K104=""),"",IF(C104="BUY",1,-1)*(H104-D104)*K104*'Read Me'!$B$10-L104)</f>
        <v/>
      </c>
      <c r="Q104" s="4" t="str">
        <f aca="false">IF(O104="","",IF(O104&gt;0,"WIN","LOSS"))</f>
        <v/>
      </c>
      <c r="R104" s="22" t="str">
        <f aca="false">IF(AND(M104,O104&lt;&gt;""),O104,"")</f>
        <v/>
      </c>
      <c r="S104" s="22" t="n">
        <f aca="false">S103+IF(R104="",0,R104)</f>
        <v>0</v>
      </c>
      <c r="T104" s="22" t="n">
        <f aca="false">MAX(T103,S104)</f>
        <v>0</v>
      </c>
      <c r="U104" s="22" t="n">
        <f aca="false">T104-S104</f>
        <v>0</v>
      </c>
      <c r="V104" s="16"/>
    </row>
    <row r="105" customFormat="false" ht="15" hidden="false" customHeight="true" outlineLevel="0" collapsed="false">
      <c r="A105" s="4" t="str">
        <f aca="false">IF(B105="","",ROW()-1)</f>
        <v/>
      </c>
      <c r="B105" s="15"/>
      <c r="C105" s="16"/>
      <c r="D105" s="17"/>
      <c r="E105" s="17"/>
      <c r="F105" s="17"/>
      <c r="G105" s="18"/>
      <c r="H105" s="17"/>
      <c r="I105" s="16"/>
      <c r="J105" s="16"/>
      <c r="K105" s="17"/>
      <c r="L105" s="19"/>
      <c r="M105" s="20" t="b">
        <f aca="false">AND(B105&lt;&gt;"",B105&gt;='Read Me'!$B$5,H105&lt;&gt;"")</f>
        <v>0</v>
      </c>
      <c r="N105" s="21" t="str">
        <f aca="false">IF(OR(D105="",E105=""),"",ABS(D105-E105))</f>
        <v/>
      </c>
      <c r="O105" s="22" t="str">
        <f aca="false">IF(OR(H105="",N105="",N105=0),"",IF(C105="BUY",1,-1)*(H105-D105)/N105)</f>
        <v/>
      </c>
      <c r="P105" s="23" t="str">
        <f aca="false">IF(OR(H105="",D105="",K105=""),"",IF(C105="BUY",1,-1)*(H105-D105)*K105*'Read Me'!$B$10-L105)</f>
        <v/>
      </c>
      <c r="Q105" s="4" t="str">
        <f aca="false">IF(O105="","",IF(O105&gt;0,"WIN","LOSS"))</f>
        <v/>
      </c>
      <c r="R105" s="22" t="str">
        <f aca="false">IF(AND(M105,O105&lt;&gt;""),O105,"")</f>
        <v/>
      </c>
      <c r="S105" s="22" t="n">
        <f aca="false">S104+IF(R105="",0,R105)</f>
        <v>0</v>
      </c>
      <c r="T105" s="22" t="n">
        <f aca="false">MAX(T104,S105)</f>
        <v>0</v>
      </c>
      <c r="U105" s="22" t="n">
        <f aca="false">T105-S105</f>
        <v>0</v>
      </c>
      <c r="V105" s="16"/>
    </row>
    <row r="106" customFormat="false" ht="15" hidden="false" customHeight="true" outlineLevel="0" collapsed="false">
      <c r="A106" s="4" t="str">
        <f aca="false">IF(B106="","",ROW()-1)</f>
        <v/>
      </c>
      <c r="B106" s="15"/>
      <c r="C106" s="16"/>
      <c r="D106" s="17"/>
      <c r="E106" s="17"/>
      <c r="F106" s="17"/>
      <c r="G106" s="18"/>
      <c r="H106" s="17"/>
      <c r="I106" s="16"/>
      <c r="J106" s="16"/>
      <c r="K106" s="17"/>
      <c r="L106" s="19"/>
      <c r="M106" s="20" t="b">
        <f aca="false">AND(B106&lt;&gt;"",B106&gt;='Read Me'!$B$5,H106&lt;&gt;"")</f>
        <v>0</v>
      </c>
      <c r="N106" s="21" t="str">
        <f aca="false">IF(OR(D106="",E106=""),"",ABS(D106-E106))</f>
        <v/>
      </c>
      <c r="O106" s="22" t="str">
        <f aca="false">IF(OR(H106="",N106="",N106=0),"",IF(C106="BUY",1,-1)*(H106-D106)/N106)</f>
        <v/>
      </c>
      <c r="P106" s="23" t="str">
        <f aca="false">IF(OR(H106="",D106="",K106=""),"",IF(C106="BUY",1,-1)*(H106-D106)*K106*'Read Me'!$B$10-L106)</f>
        <v/>
      </c>
      <c r="Q106" s="4" t="str">
        <f aca="false">IF(O106="","",IF(O106&gt;0,"WIN","LOSS"))</f>
        <v/>
      </c>
      <c r="R106" s="22" t="str">
        <f aca="false">IF(AND(M106,O106&lt;&gt;""),O106,"")</f>
        <v/>
      </c>
      <c r="S106" s="22" t="n">
        <f aca="false">S105+IF(R106="",0,R106)</f>
        <v>0</v>
      </c>
      <c r="T106" s="22" t="n">
        <f aca="false">MAX(T105,S106)</f>
        <v>0</v>
      </c>
      <c r="U106" s="22" t="n">
        <f aca="false">T106-S106</f>
        <v>0</v>
      </c>
      <c r="V106" s="16"/>
    </row>
    <row r="107" customFormat="false" ht="15" hidden="false" customHeight="true" outlineLevel="0" collapsed="false">
      <c r="A107" s="4" t="str">
        <f aca="false">IF(B107="","",ROW()-1)</f>
        <v/>
      </c>
      <c r="B107" s="15"/>
      <c r="C107" s="16"/>
      <c r="D107" s="17"/>
      <c r="E107" s="17"/>
      <c r="F107" s="17"/>
      <c r="G107" s="18"/>
      <c r="H107" s="17"/>
      <c r="I107" s="16"/>
      <c r="J107" s="16"/>
      <c r="K107" s="17"/>
      <c r="L107" s="19"/>
      <c r="M107" s="20" t="b">
        <f aca="false">AND(B107&lt;&gt;"",B107&gt;='Read Me'!$B$5,H107&lt;&gt;"")</f>
        <v>0</v>
      </c>
      <c r="N107" s="21" t="str">
        <f aca="false">IF(OR(D107="",E107=""),"",ABS(D107-E107))</f>
        <v/>
      </c>
      <c r="O107" s="22" t="str">
        <f aca="false">IF(OR(H107="",N107="",N107=0),"",IF(C107="BUY",1,-1)*(H107-D107)/N107)</f>
        <v/>
      </c>
      <c r="P107" s="23" t="str">
        <f aca="false">IF(OR(H107="",D107="",K107=""),"",IF(C107="BUY",1,-1)*(H107-D107)*K107*'Read Me'!$B$10-L107)</f>
        <v/>
      </c>
      <c r="Q107" s="4" t="str">
        <f aca="false">IF(O107="","",IF(O107&gt;0,"WIN","LOSS"))</f>
        <v/>
      </c>
      <c r="R107" s="22" t="str">
        <f aca="false">IF(AND(M107,O107&lt;&gt;""),O107,"")</f>
        <v/>
      </c>
      <c r="S107" s="22" t="n">
        <f aca="false">S106+IF(R107="",0,R107)</f>
        <v>0</v>
      </c>
      <c r="T107" s="22" t="n">
        <f aca="false">MAX(T106,S107)</f>
        <v>0</v>
      </c>
      <c r="U107" s="22" t="n">
        <f aca="false">T107-S107</f>
        <v>0</v>
      </c>
      <c r="V107" s="16"/>
    </row>
    <row r="108" customFormat="false" ht="15" hidden="false" customHeight="true" outlineLevel="0" collapsed="false">
      <c r="A108" s="4" t="str">
        <f aca="false">IF(B108="","",ROW()-1)</f>
        <v/>
      </c>
      <c r="B108" s="15"/>
      <c r="C108" s="16"/>
      <c r="D108" s="17"/>
      <c r="E108" s="17"/>
      <c r="F108" s="17"/>
      <c r="G108" s="18"/>
      <c r="H108" s="17"/>
      <c r="I108" s="16"/>
      <c r="J108" s="16"/>
      <c r="K108" s="17"/>
      <c r="L108" s="19"/>
      <c r="M108" s="20" t="b">
        <f aca="false">AND(B108&lt;&gt;"",B108&gt;='Read Me'!$B$5,H108&lt;&gt;"")</f>
        <v>0</v>
      </c>
      <c r="N108" s="21" t="str">
        <f aca="false">IF(OR(D108="",E108=""),"",ABS(D108-E108))</f>
        <v/>
      </c>
      <c r="O108" s="22" t="str">
        <f aca="false">IF(OR(H108="",N108="",N108=0),"",IF(C108="BUY",1,-1)*(H108-D108)/N108)</f>
        <v/>
      </c>
      <c r="P108" s="23" t="str">
        <f aca="false">IF(OR(H108="",D108="",K108=""),"",IF(C108="BUY",1,-1)*(H108-D108)*K108*'Read Me'!$B$10-L108)</f>
        <v/>
      </c>
      <c r="Q108" s="4" t="str">
        <f aca="false">IF(O108="","",IF(O108&gt;0,"WIN","LOSS"))</f>
        <v/>
      </c>
      <c r="R108" s="22" t="str">
        <f aca="false">IF(AND(M108,O108&lt;&gt;""),O108,"")</f>
        <v/>
      </c>
      <c r="S108" s="22" t="n">
        <f aca="false">S107+IF(R108="",0,R108)</f>
        <v>0</v>
      </c>
      <c r="T108" s="22" t="n">
        <f aca="false">MAX(T107,S108)</f>
        <v>0</v>
      </c>
      <c r="U108" s="22" t="n">
        <f aca="false">T108-S108</f>
        <v>0</v>
      </c>
      <c r="V108" s="16"/>
    </row>
    <row r="109" customFormat="false" ht="15" hidden="false" customHeight="true" outlineLevel="0" collapsed="false">
      <c r="A109" s="4" t="str">
        <f aca="false">IF(B109="","",ROW()-1)</f>
        <v/>
      </c>
      <c r="B109" s="15"/>
      <c r="C109" s="16"/>
      <c r="D109" s="17"/>
      <c r="E109" s="17"/>
      <c r="F109" s="17"/>
      <c r="G109" s="18"/>
      <c r="H109" s="17"/>
      <c r="I109" s="16"/>
      <c r="J109" s="16"/>
      <c r="K109" s="17"/>
      <c r="L109" s="19"/>
      <c r="M109" s="20" t="b">
        <f aca="false">AND(B109&lt;&gt;"",B109&gt;='Read Me'!$B$5,H109&lt;&gt;"")</f>
        <v>0</v>
      </c>
      <c r="N109" s="21" t="str">
        <f aca="false">IF(OR(D109="",E109=""),"",ABS(D109-E109))</f>
        <v/>
      </c>
      <c r="O109" s="22" t="str">
        <f aca="false">IF(OR(H109="",N109="",N109=0),"",IF(C109="BUY",1,-1)*(H109-D109)/N109)</f>
        <v/>
      </c>
      <c r="P109" s="23" t="str">
        <f aca="false">IF(OR(H109="",D109="",K109=""),"",IF(C109="BUY",1,-1)*(H109-D109)*K109*'Read Me'!$B$10-L109)</f>
        <v/>
      </c>
      <c r="Q109" s="4" t="str">
        <f aca="false">IF(O109="","",IF(O109&gt;0,"WIN","LOSS"))</f>
        <v/>
      </c>
      <c r="R109" s="22" t="str">
        <f aca="false">IF(AND(M109,O109&lt;&gt;""),O109,"")</f>
        <v/>
      </c>
      <c r="S109" s="22" t="n">
        <f aca="false">S108+IF(R109="",0,R109)</f>
        <v>0</v>
      </c>
      <c r="T109" s="22" t="n">
        <f aca="false">MAX(T108,S109)</f>
        <v>0</v>
      </c>
      <c r="U109" s="22" t="n">
        <f aca="false">T109-S109</f>
        <v>0</v>
      </c>
      <c r="V109" s="16"/>
    </row>
    <row r="110" customFormat="false" ht="15" hidden="false" customHeight="true" outlineLevel="0" collapsed="false">
      <c r="A110" s="4" t="str">
        <f aca="false">IF(B110="","",ROW()-1)</f>
        <v/>
      </c>
      <c r="B110" s="15"/>
      <c r="C110" s="16"/>
      <c r="D110" s="17"/>
      <c r="E110" s="17"/>
      <c r="F110" s="17"/>
      <c r="G110" s="18"/>
      <c r="H110" s="17"/>
      <c r="I110" s="16"/>
      <c r="J110" s="16"/>
      <c r="K110" s="17"/>
      <c r="L110" s="19"/>
      <c r="M110" s="20" t="b">
        <f aca="false">AND(B110&lt;&gt;"",B110&gt;='Read Me'!$B$5,H110&lt;&gt;"")</f>
        <v>0</v>
      </c>
      <c r="N110" s="21" t="str">
        <f aca="false">IF(OR(D110="",E110=""),"",ABS(D110-E110))</f>
        <v/>
      </c>
      <c r="O110" s="22" t="str">
        <f aca="false">IF(OR(H110="",N110="",N110=0),"",IF(C110="BUY",1,-1)*(H110-D110)/N110)</f>
        <v/>
      </c>
      <c r="P110" s="23" t="str">
        <f aca="false">IF(OR(H110="",D110="",K110=""),"",IF(C110="BUY",1,-1)*(H110-D110)*K110*'Read Me'!$B$10-L110)</f>
        <v/>
      </c>
      <c r="Q110" s="4" t="str">
        <f aca="false">IF(O110="","",IF(O110&gt;0,"WIN","LOSS"))</f>
        <v/>
      </c>
      <c r="R110" s="22" t="str">
        <f aca="false">IF(AND(M110,O110&lt;&gt;""),O110,"")</f>
        <v/>
      </c>
      <c r="S110" s="22" t="n">
        <f aca="false">S109+IF(R110="",0,R110)</f>
        <v>0</v>
      </c>
      <c r="T110" s="22" t="n">
        <f aca="false">MAX(T109,S110)</f>
        <v>0</v>
      </c>
      <c r="U110" s="22" t="n">
        <f aca="false">T110-S110</f>
        <v>0</v>
      </c>
      <c r="V110" s="16"/>
    </row>
    <row r="111" customFormat="false" ht="15" hidden="false" customHeight="true" outlineLevel="0" collapsed="false">
      <c r="A111" s="4" t="str">
        <f aca="false">IF(B111="","",ROW()-1)</f>
        <v/>
      </c>
      <c r="B111" s="15"/>
      <c r="C111" s="16"/>
      <c r="D111" s="17"/>
      <c r="E111" s="17"/>
      <c r="F111" s="17"/>
      <c r="G111" s="18"/>
      <c r="H111" s="17"/>
      <c r="I111" s="16"/>
      <c r="J111" s="16"/>
      <c r="K111" s="17"/>
      <c r="L111" s="19"/>
      <c r="M111" s="20" t="b">
        <f aca="false">AND(B111&lt;&gt;"",B111&gt;='Read Me'!$B$5,H111&lt;&gt;"")</f>
        <v>0</v>
      </c>
      <c r="N111" s="21" t="str">
        <f aca="false">IF(OR(D111="",E111=""),"",ABS(D111-E111))</f>
        <v/>
      </c>
      <c r="O111" s="22" t="str">
        <f aca="false">IF(OR(H111="",N111="",N111=0),"",IF(C111="BUY",1,-1)*(H111-D111)/N111)</f>
        <v/>
      </c>
      <c r="P111" s="23" t="str">
        <f aca="false">IF(OR(H111="",D111="",K111=""),"",IF(C111="BUY",1,-1)*(H111-D111)*K111*'Read Me'!$B$10-L111)</f>
        <v/>
      </c>
      <c r="Q111" s="4" t="str">
        <f aca="false">IF(O111="","",IF(O111&gt;0,"WIN","LOSS"))</f>
        <v/>
      </c>
      <c r="R111" s="22" t="str">
        <f aca="false">IF(AND(M111,O111&lt;&gt;""),O111,"")</f>
        <v/>
      </c>
      <c r="S111" s="22" t="n">
        <f aca="false">S110+IF(R111="",0,R111)</f>
        <v>0</v>
      </c>
      <c r="T111" s="22" t="n">
        <f aca="false">MAX(T110,S111)</f>
        <v>0</v>
      </c>
      <c r="U111" s="22" t="n">
        <f aca="false">T111-S111</f>
        <v>0</v>
      </c>
      <c r="V111" s="16"/>
    </row>
    <row r="112" customFormat="false" ht="15" hidden="false" customHeight="true" outlineLevel="0" collapsed="false">
      <c r="A112" s="4" t="str">
        <f aca="false">IF(B112="","",ROW()-1)</f>
        <v/>
      </c>
      <c r="B112" s="15"/>
      <c r="C112" s="16"/>
      <c r="D112" s="17"/>
      <c r="E112" s="17"/>
      <c r="F112" s="17"/>
      <c r="G112" s="18"/>
      <c r="H112" s="17"/>
      <c r="I112" s="16"/>
      <c r="J112" s="16"/>
      <c r="K112" s="17"/>
      <c r="L112" s="19"/>
      <c r="M112" s="20" t="b">
        <f aca="false">AND(B112&lt;&gt;"",B112&gt;='Read Me'!$B$5,H112&lt;&gt;"")</f>
        <v>0</v>
      </c>
      <c r="N112" s="21" t="str">
        <f aca="false">IF(OR(D112="",E112=""),"",ABS(D112-E112))</f>
        <v/>
      </c>
      <c r="O112" s="22" t="str">
        <f aca="false">IF(OR(H112="",N112="",N112=0),"",IF(C112="BUY",1,-1)*(H112-D112)/N112)</f>
        <v/>
      </c>
      <c r="P112" s="23" t="str">
        <f aca="false">IF(OR(H112="",D112="",K112=""),"",IF(C112="BUY",1,-1)*(H112-D112)*K112*'Read Me'!$B$10-L112)</f>
        <v/>
      </c>
      <c r="Q112" s="4" t="str">
        <f aca="false">IF(O112="","",IF(O112&gt;0,"WIN","LOSS"))</f>
        <v/>
      </c>
      <c r="R112" s="22" t="str">
        <f aca="false">IF(AND(M112,O112&lt;&gt;""),O112,"")</f>
        <v/>
      </c>
      <c r="S112" s="22" t="n">
        <f aca="false">S111+IF(R112="",0,R112)</f>
        <v>0</v>
      </c>
      <c r="T112" s="22" t="n">
        <f aca="false">MAX(T111,S112)</f>
        <v>0</v>
      </c>
      <c r="U112" s="22" t="n">
        <f aca="false">T112-S112</f>
        <v>0</v>
      </c>
      <c r="V112" s="16"/>
    </row>
    <row r="113" customFormat="false" ht="15" hidden="false" customHeight="true" outlineLevel="0" collapsed="false">
      <c r="A113" s="4" t="str">
        <f aca="false">IF(B113="","",ROW()-1)</f>
        <v/>
      </c>
      <c r="B113" s="15"/>
      <c r="C113" s="16"/>
      <c r="D113" s="17"/>
      <c r="E113" s="17"/>
      <c r="F113" s="17"/>
      <c r="G113" s="18"/>
      <c r="H113" s="17"/>
      <c r="I113" s="16"/>
      <c r="J113" s="16"/>
      <c r="K113" s="17"/>
      <c r="L113" s="19"/>
      <c r="M113" s="20" t="b">
        <f aca="false">AND(B113&lt;&gt;"",B113&gt;='Read Me'!$B$5,H113&lt;&gt;"")</f>
        <v>0</v>
      </c>
      <c r="N113" s="21" t="str">
        <f aca="false">IF(OR(D113="",E113=""),"",ABS(D113-E113))</f>
        <v/>
      </c>
      <c r="O113" s="22" t="str">
        <f aca="false">IF(OR(H113="",N113="",N113=0),"",IF(C113="BUY",1,-1)*(H113-D113)/N113)</f>
        <v/>
      </c>
      <c r="P113" s="23" t="str">
        <f aca="false">IF(OR(H113="",D113="",K113=""),"",IF(C113="BUY",1,-1)*(H113-D113)*K113*'Read Me'!$B$10-L113)</f>
        <v/>
      </c>
      <c r="Q113" s="4" t="str">
        <f aca="false">IF(O113="","",IF(O113&gt;0,"WIN","LOSS"))</f>
        <v/>
      </c>
      <c r="R113" s="22" t="str">
        <f aca="false">IF(AND(M113,O113&lt;&gt;""),O113,"")</f>
        <v/>
      </c>
      <c r="S113" s="22" t="n">
        <f aca="false">S112+IF(R113="",0,R113)</f>
        <v>0</v>
      </c>
      <c r="T113" s="22" t="n">
        <f aca="false">MAX(T112,S113)</f>
        <v>0</v>
      </c>
      <c r="U113" s="22" t="n">
        <f aca="false">T113-S113</f>
        <v>0</v>
      </c>
      <c r="V113" s="16"/>
    </row>
    <row r="114" customFormat="false" ht="15" hidden="false" customHeight="true" outlineLevel="0" collapsed="false">
      <c r="A114" s="4" t="str">
        <f aca="false">IF(B114="","",ROW()-1)</f>
        <v/>
      </c>
      <c r="B114" s="15"/>
      <c r="C114" s="16"/>
      <c r="D114" s="17"/>
      <c r="E114" s="17"/>
      <c r="F114" s="17"/>
      <c r="G114" s="18"/>
      <c r="H114" s="17"/>
      <c r="I114" s="16"/>
      <c r="J114" s="16"/>
      <c r="K114" s="17"/>
      <c r="L114" s="19"/>
      <c r="M114" s="20" t="b">
        <f aca="false">AND(B114&lt;&gt;"",B114&gt;='Read Me'!$B$5,H114&lt;&gt;"")</f>
        <v>0</v>
      </c>
      <c r="N114" s="21" t="str">
        <f aca="false">IF(OR(D114="",E114=""),"",ABS(D114-E114))</f>
        <v/>
      </c>
      <c r="O114" s="22" t="str">
        <f aca="false">IF(OR(H114="",N114="",N114=0),"",IF(C114="BUY",1,-1)*(H114-D114)/N114)</f>
        <v/>
      </c>
      <c r="P114" s="23" t="str">
        <f aca="false">IF(OR(H114="",D114="",K114=""),"",IF(C114="BUY",1,-1)*(H114-D114)*K114*'Read Me'!$B$10-L114)</f>
        <v/>
      </c>
      <c r="Q114" s="4" t="str">
        <f aca="false">IF(O114="","",IF(O114&gt;0,"WIN","LOSS"))</f>
        <v/>
      </c>
      <c r="R114" s="22" t="str">
        <f aca="false">IF(AND(M114,O114&lt;&gt;""),O114,"")</f>
        <v/>
      </c>
      <c r="S114" s="22" t="n">
        <f aca="false">S113+IF(R114="",0,R114)</f>
        <v>0</v>
      </c>
      <c r="T114" s="22" t="n">
        <f aca="false">MAX(T113,S114)</f>
        <v>0</v>
      </c>
      <c r="U114" s="22" t="n">
        <f aca="false">T114-S114</f>
        <v>0</v>
      </c>
      <c r="V114" s="16"/>
    </row>
    <row r="115" customFormat="false" ht="15" hidden="false" customHeight="true" outlineLevel="0" collapsed="false">
      <c r="A115" s="4" t="str">
        <f aca="false">IF(B115="","",ROW()-1)</f>
        <v/>
      </c>
      <c r="B115" s="15"/>
      <c r="C115" s="16"/>
      <c r="D115" s="17"/>
      <c r="E115" s="17"/>
      <c r="F115" s="17"/>
      <c r="G115" s="18"/>
      <c r="H115" s="17"/>
      <c r="I115" s="16"/>
      <c r="J115" s="16"/>
      <c r="K115" s="17"/>
      <c r="L115" s="19"/>
      <c r="M115" s="20" t="b">
        <f aca="false">AND(B115&lt;&gt;"",B115&gt;='Read Me'!$B$5,H115&lt;&gt;"")</f>
        <v>0</v>
      </c>
      <c r="N115" s="21" t="str">
        <f aca="false">IF(OR(D115="",E115=""),"",ABS(D115-E115))</f>
        <v/>
      </c>
      <c r="O115" s="22" t="str">
        <f aca="false">IF(OR(H115="",N115="",N115=0),"",IF(C115="BUY",1,-1)*(H115-D115)/N115)</f>
        <v/>
      </c>
      <c r="P115" s="23" t="str">
        <f aca="false">IF(OR(H115="",D115="",K115=""),"",IF(C115="BUY",1,-1)*(H115-D115)*K115*'Read Me'!$B$10-L115)</f>
        <v/>
      </c>
      <c r="Q115" s="4" t="str">
        <f aca="false">IF(O115="","",IF(O115&gt;0,"WIN","LOSS"))</f>
        <v/>
      </c>
      <c r="R115" s="22" t="str">
        <f aca="false">IF(AND(M115,O115&lt;&gt;""),O115,"")</f>
        <v/>
      </c>
      <c r="S115" s="22" t="n">
        <f aca="false">S114+IF(R115="",0,R115)</f>
        <v>0</v>
      </c>
      <c r="T115" s="22" t="n">
        <f aca="false">MAX(T114,S115)</f>
        <v>0</v>
      </c>
      <c r="U115" s="22" t="n">
        <f aca="false">T115-S115</f>
        <v>0</v>
      </c>
      <c r="V115" s="16"/>
    </row>
    <row r="116" customFormat="false" ht="15" hidden="false" customHeight="true" outlineLevel="0" collapsed="false">
      <c r="A116" s="4" t="str">
        <f aca="false">IF(B116="","",ROW()-1)</f>
        <v/>
      </c>
      <c r="B116" s="15"/>
      <c r="C116" s="16"/>
      <c r="D116" s="17"/>
      <c r="E116" s="17"/>
      <c r="F116" s="17"/>
      <c r="G116" s="18"/>
      <c r="H116" s="17"/>
      <c r="I116" s="16"/>
      <c r="J116" s="16"/>
      <c r="K116" s="17"/>
      <c r="L116" s="19"/>
      <c r="M116" s="20" t="b">
        <f aca="false">AND(B116&lt;&gt;"",B116&gt;='Read Me'!$B$5,H116&lt;&gt;"")</f>
        <v>0</v>
      </c>
      <c r="N116" s="21" t="str">
        <f aca="false">IF(OR(D116="",E116=""),"",ABS(D116-E116))</f>
        <v/>
      </c>
      <c r="O116" s="22" t="str">
        <f aca="false">IF(OR(H116="",N116="",N116=0),"",IF(C116="BUY",1,-1)*(H116-D116)/N116)</f>
        <v/>
      </c>
      <c r="P116" s="23" t="str">
        <f aca="false">IF(OR(H116="",D116="",K116=""),"",IF(C116="BUY",1,-1)*(H116-D116)*K116*'Read Me'!$B$10-L116)</f>
        <v/>
      </c>
      <c r="Q116" s="4" t="str">
        <f aca="false">IF(O116="","",IF(O116&gt;0,"WIN","LOSS"))</f>
        <v/>
      </c>
      <c r="R116" s="22" t="str">
        <f aca="false">IF(AND(M116,O116&lt;&gt;""),O116,"")</f>
        <v/>
      </c>
      <c r="S116" s="22" t="n">
        <f aca="false">S115+IF(R116="",0,R116)</f>
        <v>0</v>
      </c>
      <c r="T116" s="22" t="n">
        <f aca="false">MAX(T115,S116)</f>
        <v>0</v>
      </c>
      <c r="U116" s="22" t="n">
        <f aca="false">T116-S116</f>
        <v>0</v>
      </c>
      <c r="V116" s="16"/>
    </row>
    <row r="117" customFormat="false" ht="15" hidden="false" customHeight="true" outlineLevel="0" collapsed="false">
      <c r="A117" s="4" t="str">
        <f aca="false">IF(B117="","",ROW()-1)</f>
        <v/>
      </c>
      <c r="B117" s="15"/>
      <c r="C117" s="16"/>
      <c r="D117" s="17"/>
      <c r="E117" s="17"/>
      <c r="F117" s="17"/>
      <c r="G117" s="18"/>
      <c r="H117" s="17"/>
      <c r="I117" s="16"/>
      <c r="J117" s="16"/>
      <c r="K117" s="17"/>
      <c r="L117" s="19"/>
      <c r="M117" s="20" t="b">
        <f aca="false">AND(B117&lt;&gt;"",B117&gt;='Read Me'!$B$5,H117&lt;&gt;"")</f>
        <v>0</v>
      </c>
      <c r="N117" s="21" t="str">
        <f aca="false">IF(OR(D117="",E117=""),"",ABS(D117-E117))</f>
        <v/>
      </c>
      <c r="O117" s="22" t="str">
        <f aca="false">IF(OR(H117="",N117="",N117=0),"",IF(C117="BUY",1,-1)*(H117-D117)/N117)</f>
        <v/>
      </c>
      <c r="P117" s="23" t="str">
        <f aca="false">IF(OR(H117="",D117="",K117=""),"",IF(C117="BUY",1,-1)*(H117-D117)*K117*'Read Me'!$B$10-L117)</f>
        <v/>
      </c>
      <c r="Q117" s="4" t="str">
        <f aca="false">IF(O117="","",IF(O117&gt;0,"WIN","LOSS"))</f>
        <v/>
      </c>
      <c r="R117" s="22" t="str">
        <f aca="false">IF(AND(M117,O117&lt;&gt;""),O117,"")</f>
        <v/>
      </c>
      <c r="S117" s="22" t="n">
        <f aca="false">S116+IF(R117="",0,R117)</f>
        <v>0</v>
      </c>
      <c r="T117" s="22" t="n">
        <f aca="false">MAX(T116,S117)</f>
        <v>0</v>
      </c>
      <c r="U117" s="22" t="n">
        <f aca="false">T117-S117</f>
        <v>0</v>
      </c>
      <c r="V117" s="16"/>
    </row>
    <row r="118" customFormat="false" ht="15" hidden="false" customHeight="true" outlineLevel="0" collapsed="false">
      <c r="A118" s="4" t="str">
        <f aca="false">IF(B118="","",ROW()-1)</f>
        <v/>
      </c>
      <c r="B118" s="15"/>
      <c r="C118" s="16"/>
      <c r="D118" s="17"/>
      <c r="E118" s="17"/>
      <c r="F118" s="17"/>
      <c r="G118" s="18"/>
      <c r="H118" s="17"/>
      <c r="I118" s="16"/>
      <c r="J118" s="16"/>
      <c r="K118" s="17"/>
      <c r="L118" s="19"/>
      <c r="M118" s="20" t="b">
        <f aca="false">AND(B118&lt;&gt;"",B118&gt;='Read Me'!$B$5,H118&lt;&gt;"")</f>
        <v>0</v>
      </c>
      <c r="N118" s="21" t="str">
        <f aca="false">IF(OR(D118="",E118=""),"",ABS(D118-E118))</f>
        <v/>
      </c>
      <c r="O118" s="22" t="str">
        <f aca="false">IF(OR(H118="",N118="",N118=0),"",IF(C118="BUY",1,-1)*(H118-D118)/N118)</f>
        <v/>
      </c>
      <c r="P118" s="23" t="str">
        <f aca="false">IF(OR(H118="",D118="",K118=""),"",IF(C118="BUY",1,-1)*(H118-D118)*K118*'Read Me'!$B$10-L118)</f>
        <v/>
      </c>
      <c r="Q118" s="4" t="str">
        <f aca="false">IF(O118="","",IF(O118&gt;0,"WIN","LOSS"))</f>
        <v/>
      </c>
      <c r="R118" s="22" t="str">
        <f aca="false">IF(AND(M118,O118&lt;&gt;""),O118,"")</f>
        <v/>
      </c>
      <c r="S118" s="22" t="n">
        <f aca="false">S117+IF(R118="",0,R118)</f>
        <v>0</v>
      </c>
      <c r="T118" s="22" t="n">
        <f aca="false">MAX(T117,S118)</f>
        <v>0</v>
      </c>
      <c r="U118" s="22" t="n">
        <f aca="false">T118-S118</f>
        <v>0</v>
      </c>
      <c r="V118" s="16"/>
    </row>
    <row r="119" customFormat="false" ht="15" hidden="false" customHeight="true" outlineLevel="0" collapsed="false">
      <c r="A119" s="4" t="str">
        <f aca="false">IF(B119="","",ROW()-1)</f>
        <v/>
      </c>
      <c r="B119" s="15"/>
      <c r="C119" s="16"/>
      <c r="D119" s="17"/>
      <c r="E119" s="17"/>
      <c r="F119" s="17"/>
      <c r="G119" s="18"/>
      <c r="H119" s="17"/>
      <c r="I119" s="16"/>
      <c r="J119" s="16"/>
      <c r="K119" s="17"/>
      <c r="L119" s="19"/>
      <c r="M119" s="20" t="b">
        <f aca="false">AND(B119&lt;&gt;"",B119&gt;='Read Me'!$B$5,H119&lt;&gt;"")</f>
        <v>0</v>
      </c>
      <c r="N119" s="21" t="str">
        <f aca="false">IF(OR(D119="",E119=""),"",ABS(D119-E119))</f>
        <v/>
      </c>
      <c r="O119" s="22" t="str">
        <f aca="false">IF(OR(H119="",N119="",N119=0),"",IF(C119="BUY",1,-1)*(H119-D119)/N119)</f>
        <v/>
      </c>
      <c r="P119" s="23" t="str">
        <f aca="false">IF(OR(H119="",D119="",K119=""),"",IF(C119="BUY",1,-1)*(H119-D119)*K119*'Read Me'!$B$10-L119)</f>
        <v/>
      </c>
      <c r="Q119" s="4" t="str">
        <f aca="false">IF(O119="","",IF(O119&gt;0,"WIN","LOSS"))</f>
        <v/>
      </c>
      <c r="R119" s="22" t="str">
        <f aca="false">IF(AND(M119,O119&lt;&gt;""),O119,"")</f>
        <v/>
      </c>
      <c r="S119" s="22" t="n">
        <f aca="false">S118+IF(R119="",0,R119)</f>
        <v>0</v>
      </c>
      <c r="T119" s="22" t="n">
        <f aca="false">MAX(T118,S119)</f>
        <v>0</v>
      </c>
      <c r="U119" s="22" t="n">
        <f aca="false">T119-S119</f>
        <v>0</v>
      </c>
      <c r="V119" s="16"/>
    </row>
    <row r="120" customFormat="false" ht="15" hidden="false" customHeight="true" outlineLevel="0" collapsed="false">
      <c r="A120" s="4" t="str">
        <f aca="false">IF(B120="","",ROW()-1)</f>
        <v/>
      </c>
      <c r="B120" s="15"/>
      <c r="C120" s="16"/>
      <c r="D120" s="17"/>
      <c r="E120" s="17"/>
      <c r="F120" s="17"/>
      <c r="G120" s="18"/>
      <c r="H120" s="17"/>
      <c r="I120" s="16"/>
      <c r="J120" s="16"/>
      <c r="K120" s="17"/>
      <c r="L120" s="19"/>
      <c r="M120" s="20" t="b">
        <f aca="false">AND(B120&lt;&gt;"",B120&gt;='Read Me'!$B$5,H120&lt;&gt;"")</f>
        <v>0</v>
      </c>
      <c r="N120" s="21" t="str">
        <f aca="false">IF(OR(D120="",E120=""),"",ABS(D120-E120))</f>
        <v/>
      </c>
      <c r="O120" s="22" t="str">
        <f aca="false">IF(OR(H120="",N120="",N120=0),"",IF(C120="BUY",1,-1)*(H120-D120)/N120)</f>
        <v/>
      </c>
      <c r="P120" s="23" t="str">
        <f aca="false">IF(OR(H120="",D120="",K120=""),"",IF(C120="BUY",1,-1)*(H120-D120)*K120*'Read Me'!$B$10-L120)</f>
        <v/>
      </c>
      <c r="Q120" s="4" t="str">
        <f aca="false">IF(O120="","",IF(O120&gt;0,"WIN","LOSS"))</f>
        <v/>
      </c>
      <c r="R120" s="22" t="str">
        <f aca="false">IF(AND(M120,O120&lt;&gt;""),O120,"")</f>
        <v/>
      </c>
      <c r="S120" s="22" t="n">
        <f aca="false">S119+IF(R120="",0,R120)</f>
        <v>0</v>
      </c>
      <c r="T120" s="22" t="n">
        <f aca="false">MAX(T119,S120)</f>
        <v>0</v>
      </c>
      <c r="U120" s="22" t="n">
        <f aca="false">T120-S120</f>
        <v>0</v>
      </c>
      <c r="V120" s="16"/>
    </row>
    <row r="121" customFormat="false" ht="15" hidden="false" customHeight="true" outlineLevel="0" collapsed="false">
      <c r="A121" s="4" t="str">
        <f aca="false">IF(B121="","",ROW()-1)</f>
        <v/>
      </c>
      <c r="B121" s="15"/>
      <c r="C121" s="16"/>
      <c r="D121" s="17"/>
      <c r="E121" s="17"/>
      <c r="F121" s="17"/>
      <c r="G121" s="18"/>
      <c r="H121" s="17"/>
      <c r="I121" s="16"/>
      <c r="J121" s="16"/>
      <c r="K121" s="17"/>
      <c r="L121" s="19"/>
      <c r="M121" s="20" t="b">
        <f aca="false">AND(B121&lt;&gt;"",B121&gt;='Read Me'!$B$5,H121&lt;&gt;"")</f>
        <v>0</v>
      </c>
      <c r="N121" s="21" t="str">
        <f aca="false">IF(OR(D121="",E121=""),"",ABS(D121-E121))</f>
        <v/>
      </c>
      <c r="O121" s="22" t="str">
        <f aca="false">IF(OR(H121="",N121="",N121=0),"",IF(C121="BUY",1,-1)*(H121-D121)/N121)</f>
        <v/>
      </c>
      <c r="P121" s="23" t="str">
        <f aca="false">IF(OR(H121="",D121="",K121=""),"",IF(C121="BUY",1,-1)*(H121-D121)*K121*'Read Me'!$B$10-L121)</f>
        <v/>
      </c>
      <c r="Q121" s="4" t="str">
        <f aca="false">IF(O121="","",IF(O121&gt;0,"WIN","LOSS"))</f>
        <v/>
      </c>
      <c r="R121" s="22" t="str">
        <f aca="false">IF(AND(M121,O121&lt;&gt;""),O121,"")</f>
        <v/>
      </c>
      <c r="S121" s="22" t="n">
        <f aca="false">S120+IF(R121="",0,R121)</f>
        <v>0</v>
      </c>
      <c r="T121" s="22" t="n">
        <f aca="false">MAX(T120,S121)</f>
        <v>0</v>
      </c>
      <c r="U121" s="22" t="n">
        <f aca="false">T121-S121</f>
        <v>0</v>
      </c>
      <c r="V121" s="16"/>
    </row>
    <row r="122" customFormat="false" ht="15" hidden="false" customHeight="true" outlineLevel="0" collapsed="false">
      <c r="A122" s="4" t="str">
        <f aca="false">IF(B122="","",ROW()-1)</f>
        <v/>
      </c>
      <c r="B122" s="15"/>
      <c r="C122" s="16"/>
      <c r="D122" s="17"/>
      <c r="E122" s="17"/>
      <c r="F122" s="17"/>
      <c r="G122" s="18"/>
      <c r="H122" s="17"/>
      <c r="I122" s="16"/>
      <c r="J122" s="16"/>
      <c r="K122" s="17"/>
      <c r="L122" s="19"/>
      <c r="M122" s="20" t="b">
        <f aca="false">AND(B122&lt;&gt;"",B122&gt;='Read Me'!$B$5,H122&lt;&gt;"")</f>
        <v>0</v>
      </c>
      <c r="N122" s="21" t="str">
        <f aca="false">IF(OR(D122="",E122=""),"",ABS(D122-E122))</f>
        <v/>
      </c>
      <c r="O122" s="22" t="str">
        <f aca="false">IF(OR(H122="",N122="",N122=0),"",IF(C122="BUY",1,-1)*(H122-D122)/N122)</f>
        <v/>
      </c>
      <c r="P122" s="23" t="str">
        <f aca="false">IF(OR(H122="",D122="",K122=""),"",IF(C122="BUY",1,-1)*(H122-D122)*K122*'Read Me'!$B$10-L122)</f>
        <v/>
      </c>
      <c r="Q122" s="4" t="str">
        <f aca="false">IF(O122="","",IF(O122&gt;0,"WIN","LOSS"))</f>
        <v/>
      </c>
      <c r="R122" s="22" t="str">
        <f aca="false">IF(AND(M122,O122&lt;&gt;""),O122,"")</f>
        <v/>
      </c>
      <c r="S122" s="22" t="n">
        <f aca="false">S121+IF(R122="",0,R122)</f>
        <v>0</v>
      </c>
      <c r="T122" s="22" t="n">
        <f aca="false">MAX(T121,S122)</f>
        <v>0</v>
      </c>
      <c r="U122" s="22" t="n">
        <f aca="false">T122-S122</f>
        <v>0</v>
      </c>
      <c r="V122" s="16"/>
    </row>
    <row r="123" customFormat="false" ht="15" hidden="false" customHeight="true" outlineLevel="0" collapsed="false">
      <c r="A123" s="4" t="str">
        <f aca="false">IF(B123="","",ROW()-1)</f>
        <v/>
      </c>
      <c r="B123" s="15"/>
      <c r="C123" s="16"/>
      <c r="D123" s="17"/>
      <c r="E123" s="17"/>
      <c r="F123" s="17"/>
      <c r="G123" s="18"/>
      <c r="H123" s="17"/>
      <c r="I123" s="16"/>
      <c r="J123" s="16"/>
      <c r="K123" s="17"/>
      <c r="L123" s="19"/>
      <c r="M123" s="20" t="b">
        <f aca="false">AND(B123&lt;&gt;"",B123&gt;='Read Me'!$B$5,H123&lt;&gt;"")</f>
        <v>0</v>
      </c>
      <c r="N123" s="21" t="str">
        <f aca="false">IF(OR(D123="",E123=""),"",ABS(D123-E123))</f>
        <v/>
      </c>
      <c r="O123" s="22" t="str">
        <f aca="false">IF(OR(H123="",N123="",N123=0),"",IF(C123="BUY",1,-1)*(H123-D123)/N123)</f>
        <v/>
      </c>
      <c r="P123" s="23" t="str">
        <f aca="false">IF(OR(H123="",D123="",K123=""),"",IF(C123="BUY",1,-1)*(H123-D123)*K123*'Read Me'!$B$10-L123)</f>
        <v/>
      </c>
      <c r="Q123" s="4" t="str">
        <f aca="false">IF(O123="","",IF(O123&gt;0,"WIN","LOSS"))</f>
        <v/>
      </c>
      <c r="R123" s="22" t="str">
        <f aca="false">IF(AND(M123,O123&lt;&gt;""),O123,"")</f>
        <v/>
      </c>
      <c r="S123" s="22" t="n">
        <f aca="false">S122+IF(R123="",0,R123)</f>
        <v>0</v>
      </c>
      <c r="T123" s="22" t="n">
        <f aca="false">MAX(T122,S123)</f>
        <v>0</v>
      </c>
      <c r="U123" s="22" t="n">
        <f aca="false">T123-S123</f>
        <v>0</v>
      </c>
      <c r="V123" s="16"/>
    </row>
    <row r="124" customFormat="false" ht="15" hidden="false" customHeight="true" outlineLevel="0" collapsed="false">
      <c r="A124" s="4" t="str">
        <f aca="false">IF(B124="","",ROW()-1)</f>
        <v/>
      </c>
      <c r="B124" s="15"/>
      <c r="C124" s="16"/>
      <c r="D124" s="17"/>
      <c r="E124" s="17"/>
      <c r="F124" s="17"/>
      <c r="G124" s="18"/>
      <c r="H124" s="17"/>
      <c r="I124" s="16"/>
      <c r="J124" s="16"/>
      <c r="K124" s="17"/>
      <c r="L124" s="19"/>
      <c r="M124" s="20" t="b">
        <f aca="false">AND(B124&lt;&gt;"",B124&gt;='Read Me'!$B$5,H124&lt;&gt;"")</f>
        <v>0</v>
      </c>
      <c r="N124" s="21" t="str">
        <f aca="false">IF(OR(D124="",E124=""),"",ABS(D124-E124))</f>
        <v/>
      </c>
      <c r="O124" s="22" t="str">
        <f aca="false">IF(OR(H124="",N124="",N124=0),"",IF(C124="BUY",1,-1)*(H124-D124)/N124)</f>
        <v/>
      </c>
      <c r="P124" s="23" t="str">
        <f aca="false">IF(OR(H124="",D124="",K124=""),"",IF(C124="BUY",1,-1)*(H124-D124)*K124*'Read Me'!$B$10-L124)</f>
        <v/>
      </c>
      <c r="Q124" s="4" t="str">
        <f aca="false">IF(O124="","",IF(O124&gt;0,"WIN","LOSS"))</f>
        <v/>
      </c>
      <c r="R124" s="22" t="str">
        <f aca="false">IF(AND(M124,O124&lt;&gt;""),O124,"")</f>
        <v/>
      </c>
      <c r="S124" s="22" t="n">
        <f aca="false">S123+IF(R124="",0,R124)</f>
        <v>0</v>
      </c>
      <c r="T124" s="22" t="n">
        <f aca="false">MAX(T123,S124)</f>
        <v>0</v>
      </c>
      <c r="U124" s="22" t="n">
        <f aca="false">T124-S124</f>
        <v>0</v>
      </c>
      <c r="V124" s="16"/>
    </row>
    <row r="125" customFormat="false" ht="15" hidden="false" customHeight="true" outlineLevel="0" collapsed="false">
      <c r="A125" s="4" t="str">
        <f aca="false">IF(B125="","",ROW()-1)</f>
        <v/>
      </c>
      <c r="B125" s="15"/>
      <c r="C125" s="16"/>
      <c r="D125" s="17"/>
      <c r="E125" s="17"/>
      <c r="F125" s="17"/>
      <c r="G125" s="18"/>
      <c r="H125" s="17"/>
      <c r="I125" s="16"/>
      <c r="J125" s="16"/>
      <c r="K125" s="17"/>
      <c r="L125" s="19"/>
      <c r="M125" s="20" t="b">
        <f aca="false">AND(B125&lt;&gt;"",B125&gt;='Read Me'!$B$5,H125&lt;&gt;"")</f>
        <v>0</v>
      </c>
      <c r="N125" s="21" t="str">
        <f aca="false">IF(OR(D125="",E125=""),"",ABS(D125-E125))</f>
        <v/>
      </c>
      <c r="O125" s="22" t="str">
        <f aca="false">IF(OR(H125="",N125="",N125=0),"",IF(C125="BUY",1,-1)*(H125-D125)/N125)</f>
        <v/>
      </c>
      <c r="P125" s="23" t="str">
        <f aca="false">IF(OR(H125="",D125="",K125=""),"",IF(C125="BUY",1,-1)*(H125-D125)*K125*'Read Me'!$B$10-L125)</f>
        <v/>
      </c>
      <c r="Q125" s="4" t="str">
        <f aca="false">IF(O125="","",IF(O125&gt;0,"WIN","LOSS"))</f>
        <v/>
      </c>
      <c r="R125" s="22" t="str">
        <f aca="false">IF(AND(M125,O125&lt;&gt;""),O125,"")</f>
        <v/>
      </c>
      <c r="S125" s="22" t="n">
        <f aca="false">S124+IF(R125="",0,R125)</f>
        <v>0</v>
      </c>
      <c r="T125" s="22" t="n">
        <f aca="false">MAX(T124,S125)</f>
        <v>0</v>
      </c>
      <c r="U125" s="22" t="n">
        <f aca="false">T125-S125</f>
        <v>0</v>
      </c>
      <c r="V125" s="16"/>
    </row>
    <row r="126" customFormat="false" ht="15" hidden="false" customHeight="true" outlineLevel="0" collapsed="false">
      <c r="A126" s="4" t="str">
        <f aca="false">IF(B126="","",ROW()-1)</f>
        <v/>
      </c>
      <c r="B126" s="15"/>
      <c r="C126" s="16"/>
      <c r="D126" s="17"/>
      <c r="E126" s="17"/>
      <c r="F126" s="17"/>
      <c r="G126" s="18"/>
      <c r="H126" s="17"/>
      <c r="I126" s="16"/>
      <c r="J126" s="16"/>
      <c r="K126" s="17"/>
      <c r="L126" s="19"/>
      <c r="M126" s="20" t="b">
        <f aca="false">AND(B126&lt;&gt;"",B126&gt;='Read Me'!$B$5,H126&lt;&gt;"")</f>
        <v>0</v>
      </c>
      <c r="N126" s="21" t="str">
        <f aca="false">IF(OR(D126="",E126=""),"",ABS(D126-E126))</f>
        <v/>
      </c>
      <c r="O126" s="22" t="str">
        <f aca="false">IF(OR(H126="",N126="",N126=0),"",IF(C126="BUY",1,-1)*(H126-D126)/N126)</f>
        <v/>
      </c>
      <c r="P126" s="23" t="str">
        <f aca="false">IF(OR(H126="",D126="",K126=""),"",IF(C126="BUY",1,-1)*(H126-D126)*K126*'Read Me'!$B$10-L126)</f>
        <v/>
      </c>
      <c r="Q126" s="4" t="str">
        <f aca="false">IF(O126="","",IF(O126&gt;0,"WIN","LOSS"))</f>
        <v/>
      </c>
      <c r="R126" s="22" t="str">
        <f aca="false">IF(AND(M126,O126&lt;&gt;""),O126,"")</f>
        <v/>
      </c>
      <c r="S126" s="22" t="n">
        <f aca="false">S125+IF(R126="",0,R126)</f>
        <v>0</v>
      </c>
      <c r="T126" s="22" t="n">
        <f aca="false">MAX(T125,S126)</f>
        <v>0</v>
      </c>
      <c r="U126" s="22" t="n">
        <f aca="false">T126-S126</f>
        <v>0</v>
      </c>
      <c r="V126" s="16"/>
    </row>
    <row r="127" customFormat="false" ht="15" hidden="false" customHeight="true" outlineLevel="0" collapsed="false">
      <c r="A127" s="4" t="str">
        <f aca="false">IF(B127="","",ROW()-1)</f>
        <v/>
      </c>
      <c r="B127" s="15"/>
      <c r="C127" s="16"/>
      <c r="D127" s="17"/>
      <c r="E127" s="17"/>
      <c r="F127" s="17"/>
      <c r="G127" s="18"/>
      <c r="H127" s="17"/>
      <c r="I127" s="16"/>
      <c r="J127" s="16"/>
      <c r="K127" s="17"/>
      <c r="L127" s="19"/>
      <c r="M127" s="20" t="b">
        <f aca="false">AND(B127&lt;&gt;"",B127&gt;='Read Me'!$B$5,H127&lt;&gt;"")</f>
        <v>0</v>
      </c>
      <c r="N127" s="21" t="str">
        <f aca="false">IF(OR(D127="",E127=""),"",ABS(D127-E127))</f>
        <v/>
      </c>
      <c r="O127" s="22" t="str">
        <f aca="false">IF(OR(H127="",N127="",N127=0),"",IF(C127="BUY",1,-1)*(H127-D127)/N127)</f>
        <v/>
      </c>
      <c r="P127" s="23" t="str">
        <f aca="false">IF(OR(H127="",D127="",K127=""),"",IF(C127="BUY",1,-1)*(H127-D127)*K127*'Read Me'!$B$10-L127)</f>
        <v/>
      </c>
      <c r="Q127" s="4" t="str">
        <f aca="false">IF(O127="","",IF(O127&gt;0,"WIN","LOSS"))</f>
        <v/>
      </c>
      <c r="R127" s="22" t="str">
        <f aca="false">IF(AND(M127,O127&lt;&gt;""),O127,"")</f>
        <v/>
      </c>
      <c r="S127" s="22" t="n">
        <f aca="false">S126+IF(R127="",0,R127)</f>
        <v>0</v>
      </c>
      <c r="T127" s="22" t="n">
        <f aca="false">MAX(T126,S127)</f>
        <v>0</v>
      </c>
      <c r="U127" s="22" t="n">
        <f aca="false">T127-S127</f>
        <v>0</v>
      </c>
      <c r="V127" s="16"/>
    </row>
    <row r="128" customFormat="false" ht="15" hidden="false" customHeight="true" outlineLevel="0" collapsed="false">
      <c r="A128" s="4" t="str">
        <f aca="false">IF(B128="","",ROW()-1)</f>
        <v/>
      </c>
      <c r="B128" s="15"/>
      <c r="C128" s="16"/>
      <c r="D128" s="17"/>
      <c r="E128" s="17"/>
      <c r="F128" s="17"/>
      <c r="G128" s="18"/>
      <c r="H128" s="17"/>
      <c r="I128" s="16"/>
      <c r="J128" s="16"/>
      <c r="K128" s="17"/>
      <c r="L128" s="19"/>
      <c r="M128" s="20" t="b">
        <f aca="false">AND(B128&lt;&gt;"",B128&gt;='Read Me'!$B$5,H128&lt;&gt;"")</f>
        <v>0</v>
      </c>
      <c r="N128" s="21" t="str">
        <f aca="false">IF(OR(D128="",E128=""),"",ABS(D128-E128))</f>
        <v/>
      </c>
      <c r="O128" s="22" t="str">
        <f aca="false">IF(OR(H128="",N128="",N128=0),"",IF(C128="BUY",1,-1)*(H128-D128)/N128)</f>
        <v/>
      </c>
      <c r="P128" s="23" t="str">
        <f aca="false">IF(OR(H128="",D128="",K128=""),"",IF(C128="BUY",1,-1)*(H128-D128)*K128*'Read Me'!$B$10-L128)</f>
        <v/>
      </c>
      <c r="Q128" s="4" t="str">
        <f aca="false">IF(O128="","",IF(O128&gt;0,"WIN","LOSS"))</f>
        <v/>
      </c>
      <c r="R128" s="22" t="str">
        <f aca="false">IF(AND(M128,O128&lt;&gt;""),O128,"")</f>
        <v/>
      </c>
      <c r="S128" s="22" t="n">
        <f aca="false">S127+IF(R128="",0,R128)</f>
        <v>0</v>
      </c>
      <c r="T128" s="22" t="n">
        <f aca="false">MAX(T127,S128)</f>
        <v>0</v>
      </c>
      <c r="U128" s="22" t="n">
        <f aca="false">T128-S128</f>
        <v>0</v>
      </c>
      <c r="V128" s="16"/>
    </row>
    <row r="129" customFormat="false" ht="15" hidden="false" customHeight="true" outlineLevel="0" collapsed="false">
      <c r="A129" s="4" t="str">
        <f aca="false">IF(B129="","",ROW()-1)</f>
        <v/>
      </c>
      <c r="B129" s="15"/>
      <c r="C129" s="16"/>
      <c r="D129" s="17"/>
      <c r="E129" s="17"/>
      <c r="F129" s="17"/>
      <c r="G129" s="18"/>
      <c r="H129" s="17"/>
      <c r="I129" s="16"/>
      <c r="J129" s="16"/>
      <c r="K129" s="17"/>
      <c r="L129" s="19"/>
      <c r="M129" s="20" t="b">
        <f aca="false">AND(B129&lt;&gt;"",B129&gt;='Read Me'!$B$5,H129&lt;&gt;"")</f>
        <v>0</v>
      </c>
      <c r="N129" s="21" t="str">
        <f aca="false">IF(OR(D129="",E129=""),"",ABS(D129-E129))</f>
        <v/>
      </c>
      <c r="O129" s="22" t="str">
        <f aca="false">IF(OR(H129="",N129="",N129=0),"",IF(C129="BUY",1,-1)*(H129-D129)/N129)</f>
        <v/>
      </c>
      <c r="P129" s="23" t="str">
        <f aca="false">IF(OR(H129="",D129="",K129=""),"",IF(C129="BUY",1,-1)*(H129-D129)*K129*'Read Me'!$B$10-L129)</f>
        <v/>
      </c>
      <c r="Q129" s="4" t="str">
        <f aca="false">IF(O129="","",IF(O129&gt;0,"WIN","LOSS"))</f>
        <v/>
      </c>
      <c r="R129" s="22" t="str">
        <f aca="false">IF(AND(M129,O129&lt;&gt;""),O129,"")</f>
        <v/>
      </c>
      <c r="S129" s="22" t="n">
        <f aca="false">S128+IF(R129="",0,R129)</f>
        <v>0</v>
      </c>
      <c r="T129" s="22" t="n">
        <f aca="false">MAX(T128,S129)</f>
        <v>0</v>
      </c>
      <c r="U129" s="22" t="n">
        <f aca="false">T129-S129</f>
        <v>0</v>
      </c>
      <c r="V129" s="16"/>
    </row>
    <row r="130" customFormat="false" ht="15" hidden="false" customHeight="true" outlineLevel="0" collapsed="false">
      <c r="A130" s="4" t="str">
        <f aca="false">IF(B130="","",ROW()-1)</f>
        <v/>
      </c>
      <c r="B130" s="15"/>
      <c r="C130" s="16"/>
      <c r="D130" s="17"/>
      <c r="E130" s="17"/>
      <c r="F130" s="17"/>
      <c r="G130" s="18"/>
      <c r="H130" s="17"/>
      <c r="I130" s="16"/>
      <c r="J130" s="16"/>
      <c r="K130" s="17"/>
      <c r="L130" s="19"/>
      <c r="M130" s="20" t="b">
        <f aca="false">AND(B130&lt;&gt;"",B130&gt;='Read Me'!$B$5,H130&lt;&gt;"")</f>
        <v>0</v>
      </c>
      <c r="N130" s="21" t="str">
        <f aca="false">IF(OR(D130="",E130=""),"",ABS(D130-E130))</f>
        <v/>
      </c>
      <c r="O130" s="22" t="str">
        <f aca="false">IF(OR(H130="",N130="",N130=0),"",IF(C130="BUY",1,-1)*(H130-D130)/N130)</f>
        <v/>
      </c>
      <c r="P130" s="23" t="str">
        <f aca="false">IF(OR(H130="",D130="",K130=""),"",IF(C130="BUY",1,-1)*(H130-D130)*K130*'Read Me'!$B$10-L130)</f>
        <v/>
      </c>
      <c r="Q130" s="4" t="str">
        <f aca="false">IF(O130="","",IF(O130&gt;0,"WIN","LOSS"))</f>
        <v/>
      </c>
      <c r="R130" s="22" t="str">
        <f aca="false">IF(AND(M130,O130&lt;&gt;""),O130,"")</f>
        <v/>
      </c>
      <c r="S130" s="22" t="n">
        <f aca="false">S129+IF(R130="",0,R130)</f>
        <v>0</v>
      </c>
      <c r="T130" s="22" t="n">
        <f aca="false">MAX(T129,S130)</f>
        <v>0</v>
      </c>
      <c r="U130" s="22" t="n">
        <f aca="false">T130-S130</f>
        <v>0</v>
      </c>
      <c r="V130" s="16"/>
    </row>
    <row r="131" customFormat="false" ht="15" hidden="false" customHeight="true" outlineLevel="0" collapsed="false">
      <c r="A131" s="4" t="str">
        <f aca="false">IF(B131="","",ROW()-1)</f>
        <v/>
      </c>
      <c r="B131" s="15"/>
      <c r="C131" s="16"/>
      <c r="D131" s="17"/>
      <c r="E131" s="17"/>
      <c r="F131" s="17"/>
      <c r="G131" s="18"/>
      <c r="H131" s="17"/>
      <c r="I131" s="16"/>
      <c r="J131" s="16"/>
      <c r="K131" s="17"/>
      <c r="L131" s="19"/>
      <c r="M131" s="20" t="b">
        <f aca="false">AND(B131&lt;&gt;"",B131&gt;='Read Me'!$B$5,H131&lt;&gt;"")</f>
        <v>0</v>
      </c>
      <c r="N131" s="21" t="str">
        <f aca="false">IF(OR(D131="",E131=""),"",ABS(D131-E131))</f>
        <v/>
      </c>
      <c r="O131" s="22" t="str">
        <f aca="false">IF(OR(H131="",N131="",N131=0),"",IF(C131="BUY",1,-1)*(H131-D131)/N131)</f>
        <v/>
      </c>
      <c r="P131" s="23" t="str">
        <f aca="false">IF(OR(H131="",D131="",K131=""),"",IF(C131="BUY",1,-1)*(H131-D131)*K131*'Read Me'!$B$10-L131)</f>
        <v/>
      </c>
      <c r="Q131" s="4" t="str">
        <f aca="false">IF(O131="","",IF(O131&gt;0,"WIN","LOSS"))</f>
        <v/>
      </c>
      <c r="R131" s="22" t="str">
        <f aca="false">IF(AND(M131,O131&lt;&gt;""),O131,"")</f>
        <v/>
      </c>
      <c r="S131" s="22" t="n">
        <f aca="false">S130+IF(R131="",0,R131)</f>
        <v>0</v>
      </c>
      <c r="T131" s="22" t="n">
        <f aca="false">MAX(T130,S131)</f>
        <v>0</v>
      </c>
      <c r="U131" s="22" t="n">
        <f aca="false">T131-S131</f>
        <v>0</v>
      </c>
      <c r="V131" s="16"/>
    </row>
    <row r="132" customFormat="false" ht="15" hidden="false" customHeight="true" outlineLevel="0" collapsed="false">
      <c r="A132" s="4" t="str">
        <f aca="false">IF(B132="","",ROW()-1)</f>
        <v/>
      </c>
      <c r="B132" s="15"/>
      <c r="C132" s="16"/>
      <c r="D132" s="17"/>
      <c r="E132" s="17"/>
      <c r="F132" s="17"/>
      <c r="G132" s="18"/>
      <c r="H132" s="17"/>
      <c r="I132" s="16"/>
      <c r="J132" s="16"/>
      <c r="K132" s="17"/>
      <c r="L132" s="19"/>
      <c r="M132" s="20" t="b">
        <f aca="false">AND(B132&lt;&gt;"",B132&gt;='Read Me'!$B$5,H132&lt;&gt;"")</f>
        <v>0</v>
      </c>
      <c r="N132" s="21" t="str">
        <f aca="false">IF(OR(D132="",E132=""),"",ABS(D132-E132))</f>
        <v/>
      </c>
      <c r="O132" s="22" t="str">
        <f aca="false">IF(OR(H132="",N132="",N132=0),"",IF(C132="BUY",1,-1)*(H132-D132)/N132)</f>
        <v/>
      </c>
      <c r="P132" s="23" t="str">
        <f aca="false">IF(OR(H132="",D132="",K132=""),"",IF(C132="BUY",1,-1)*(H132-D132)*K132*'Read Me'!$B$10-L132)</f>
        <v/>
      </c>
      <c r="Q132" s="4" t="str">
        <f aca="false">IF(O132="","",IF(O132&gt;0,"WIN","LOSS"))</f>
        <v/>
      </c>
      <c r="R132" s="22" t="str">
        <f aca="false">IF(AND(M132,O132&lt;&gt;""),O132,"")</f>
        <v/>
      </c>
      <c r="S132" s="22" t="n">
        <f aca="false">S131+IF(R132="",0,R132)</f>
        <v>0</v>
      </c>
      <c r="T132" s="22" t="n">
        <f aca="false">MAX(T131,S132)</f>
        <v>0</v>
      </c>
      <c r="U132" s="22" t="n">
        <f aca="false">T132-S132</f>
        <v>0</v>
      </c>
      <c r="V132" s="16"/>
    </row>
    <row r="133" customFormat="false" ht="15" hidden="false" customHeight="true" outlineLevel="0" collapsed="false">
      <c r="A133" s="4" t="str">
        <f aca="false">IF(B133="","",ROW()-1)</f>
        <v/>
      </c>
      <c r="B133" s="15"/>
      <c r="C133" s="16"/>
      <c r="D133" s="17"/>
      <c r="E133" s="17"/>
      <c r="F133" s="17"/>
      <c r="G133" s="18"/>
      <c r="H133" s="17"/>
      <c r="I133" s="16"/>
      <c r="J133" s="16"/>
      <c r="K133" s="17"/>
      <c r="L133" s="19"/>
      <c r="M133" s="20" t="b">
        <f aca="false">AND(B133&lt;&gt;"",B133&gt;='Read Me'!$B$5,H133&lt;&gt;"")</f>
        <v>0</v>
      </c>
      <c r="N133" s="21" t="str">
        <f aca="false">IF(OR(D133="",E133=""),"",ABS(D133-E133))</f>
        <v/>
      </c>
      <c r="O133" s="22" t="str">
        <f aca="false">IF(OR(H133="",N133="",N133=0),"",IF(C133="BUY",1,-1)*(H133-D133)/N133)</f>
        <v/>
      </c>
      <c r="P133" s="23" t="str">
        <f aca="false">IF(OR(H133="",D133="",K133=""),"",IF(C133="BUY",1,-1)*(H133-D133)*K133*'Read Me'!$B$10-L133)</f>
        <v/>
      </c>
      <c r="Q133" s="4" t="str">
        <f aca="false">IF(O133="","",IF(O133&gt;0,"WIN","LOSS"))</f>
        <v/>
      </c>
      <c r="R133" s="22" t="str">
        <f aca="false">IF(AND(M133,O133&lt;&gt;""),O133,"")</f>
        <v/>
      </c>
      <c r="S133" s="22" t="n">
        <f aca="false">S132+IF(R133="",0,R133)</f>
        <v>0</v>
      </c>
      <c r="T133" s="22" t="n">
        <f aca="false">MAX(T132,S133)</f>
        <v>0</v>
      </c>
      <c r="U133" s="22" t="n">
        <f aca="false">T133-S133</f>
        <v>0</v>
      </c>
      <c r="V133" s="16"/>
    </row>
    <row r="134" customFormat="false" ht="15" hidden="false" customHeight="true" outlineLevel="0" collapsed="false">
      <c r="A134" s="4" t="str">
        <f aca="false">IF(B134="","",ROW()-1)</f>
        <v/>
      </c>
      <c r="B134" s="15"/>
      <c r="C134" s="16"/>
      <c r="D134" s="17"/>
      <c r="E134" s="17"/>
      <c r="F134" s="17"/>
      <c r="G134" s="18"/>
      <c r="H134" s="17"/>
      <c r="I134" s="16"/>
      <c r="J134" s="16"/>
      <c r="K134" s="17"/>
      <c r="L134" s="19"/>
      <c r="M134" s="20" t="b">
        <f aca="false">AND(B134&lt;&gt;"",B134&gt;='Read Me'!$B$5,H134&lt;&gt;"")</f>
        <v>0</v>
      </c>
      <c r="N134" s="21" t="str">
        <f aca="false">IF(OR(D134="",E134=""),"",ABS(D134-E134))</f>
        <v/>
      </c>
      <c r="O134" s="22" t="str">
        <f aca="false">IF(OR(H134="",N134="",N134=0),"",IF(C134="BUY",1,-1)*(H134-D134)/N134)</f>
        <v/>
      </c>
      <c r="P134" s="23" t="str">
        <f aca="false">IF(OR(H134="",D134="",K134=""),"",IF(C134="BUY",1,-1)*(H134-D134)*K134*'Read Me'!$B$10-L134)</f>
        <v/>
      </c>
      <c r="Q134" s="4" t="str">
        <f aca="false">IF(O134="","",IF(O134&gt;0,"WIN","LOSS"))</f>
        <v/>
      </c>
      <c r="R134" s="22" t="str">
        <f aca="false">IF(AND(M134,O134&lt;&gt;""),O134,"")</f>
        <v/>
      </c>
      <c r="S134" s="22" t="n">
        <f aca="false">S133+IF(R134="",0,R134)</f>
        <v>0</v>
      </c>
      <c r="T134" s="22" t="n">
        <f aca="false">MAX(T133,S134)</f>
        <v>0</v>
      </c>
      <c r="U134" s="22" t="n">
        <f aca="false">T134-S134</f>
        <v>0</v>
      </c>
      <c r="V134" s="16"/>
    </row>
    <row r="135" customFormat="false" ht="15" hidden="false" customHeight="true" outlineLevel="0" collapsed="false">
      <c r="A135" s="4" t="str">
        <f aca="false">IF(B135="","",ROW()-1)</f>
        <v/>
      </c>
      <c r="B135" s="15"/>
      <c r="C135" s="16"/>
      <c r="D135" s="17"/>
      <c r="E135" s="17"/>
      <c r="F135" s="17"/>
      <c r="G135" s="18"/>
      <c r="H135" s="17"/>
      <c r="I135" s="16"/>
      <c r="J135" s="16"/>
      <c r="K135" s="17"/>
      <c r="L135" s="19"/>
      <c r="M135" s="20" t="b">
        <f aca="false">AND(B135&lt;&gt;"",B135&gt;='Read Me'!$B$5,H135&lt;&gt;"")</f>
        <v>0</v>
      </c>
      <c r="N135" s="21" t="str">
        <f aca="false">IF(OR(D135="",E135=""),"",ABS(D135-E135))</f>
        <v/>
      </c>
      <c r="O135" s="22" t="str">
        <f aca="false">IF(OR(H135="",N135="",N135=0),"",IF(C135="BUY",1,-1)*(H135-D135)/N135)</f>
        <v/>
      </c>
      <c r="P135" s="23" t="str">
        <f aca="false">IF(OR(H135="",D135="",K135=""),"",IF(C135="BUY",1,-1)*(H135-D135)*K135*'Read Me'!$B$10-L135)</f>
        <v/>
      </c>
      <c r="Q135" s="4" t="str">
        <f aca="false">IF(O135="","",IF(O135&gt;0,"WIN","LOSS"))</f>
        <v/>
      </c>
      <c r="R135" s="22" t="str">
        <f aca="false">IF(AND(M135,O135&lt;&gt;""),O135,"")</f>
        <v/>
      </c>
      <c r="S135" s="22" t="n">
        <f aca="false">S134+IF(R135="",0,R135)</f>
        <v>0</v>
      </c>
      <c r="T135" s="22" t="n">
        <f aca="false">MAX(T134,S135)</f>
        <v>0</v>
      </c>
      <c r="U135" s="22" t="n">
        <f aca="false">T135-S135</f>
        <v>0</v>
      </c>
      <c r="V135" s="16"/>
    </row>
    <row r="136" customFormat="false" ht="15" hidden="false" customHeight="true" outlineLevel="0" collapsed="false">
      <c r="A136" s="4" t="str">
        <f aca="false">IF(B136="","",ROW()-1)</f>
        <v/>
      </c>
      <c r="B136" s="15"/>
      <c r="C136" s="16"/>
      <c r="D136" s="17"/>
      <c r="E136" s="17"/>
      <c r="F136" s="17"/>
      <c r="G136" s="18"/>
      <c r="H136" s="17"/>
      <c r="I136" s="16"/>
      <c r="J136" s="16"/>
      <c r="K136" s="17"/>
      <c r="L136" s="19"/>
      <c r="M136" s="20" t="b">
        <f aca="false">AND(B136&lt;&gt;"",B136&gt;='Read Me'!$B$5,H136&lt;&gt;"")</f>
        <v>0</v>
      </c>
      <c r="N136" s="21" t="str">
        <f aca="false">IF(OR(D136="",E136=""),"",ABS(D136-E136))</f>
        <v/>
      </c>
      <c r="O136" s="22" t="str">
        <f aca="false">IF(OR(H136="",N136="",N136=0),"",IF(C136="BUY",1,-1)*(H136-D136)/N136)</f>
        <v/>
      </c>
      <c r="P136" s="23" t="str">
        <f aca="false">IF(OR(H136="",D136="",K136=""),"",IF(C136="BUY",1,-1)*(H136-D136)*K136*'Read Me'!$B$10-L136)</f>
        <v/>
      </c>
      <c r="Q136" s="4" t="str">
        <f aca="false">IF(O136="","",IF(O136&gt;0,"WIN","LOSS"))</f>
        <v/>
      </c>
      <c r="R136" s="22" t="str">
        <f aca="false">IF(AND(M136,O136&lt;&gt;""),O136,"")</f>
        <v/>
      </c>
      <c r="S136" s="22" t="n">
        <f aca="false">S135+IF(R136="",0,R136)</f>
        <v>0</v>
      </c>
      <c r="T136" s="22" t="n">
        <f aca="false">MAX(T135,S136)</f>
        <v>0</v>
      </c>
      <c r="U136" s="22" t="n">
        <f aca="false">T136-S136</f>
        <v>0</v>
      </c>
      <c r="V136" s="16"/>
    </row>
    <row r="137" customFormat="false" ht="15" hidden="false" customHeight="true" outlineLevel="0" collapsed="false">
      <c r="A137" s="4" t="str">
        <f aca="false">IF(B137="","",ROW()-1)</f>
        <v/>
      </c>
      <c r="B137" s="15"/>
      <c r="C137" s="16"/>
      <c r="D137" s="17"/>
      <c r="E137" s="17"/>
      <c r="F137" s="17"/>
      <c r="G137" s="18"/>
      <c r="H137" s="17"/>
      <c r="I137" s="16"/>
      <c r="J137" s="16"/>
      <c r="K137" s="17"/>
      <c r="L137" s="19"/>
      <c r="M137" s="20" t="b">
        <f aca="false">AND(B137&lt;&gt;"",B137&gt;='Read Me'!$B$5,H137&lt;&gt;"")</f>
        <v>0</v>
      </c>
      <c r="N137" s="21" t="str">
        <f aca="false">IF(OR(D137="",E137=""),"",ABS(D137-E137))</f>
        <v/>
      </c>
      <c r="O137" s="22" t="str">
        <f aca="false">IF(OR(H137="",N137="",N137=0),"",IF(C137="BUY",1,-1)*(H137-D137)/N137)</f>
        <v/>
      </c>
      <c r="P137" s="23" t="str">
        <f aca="false">IF(OR(H137="",D137="",K137=""),"",IF(C137="BUY",1,-1)*(H137-D137)*K137*'Read Me'!$B$10-L137)</f>
        <v/>
      </c>
      <c r="Q137" s="4" t="str">
        <f aca="false">IF(O137="","",IF(O137&gt;0,"WIN","LOSS"))</f>
        <v/>
      </c>
      <c r="R137" s="22" t="str">
        <f aca="false">IF(AND(M137,O137&lt;&gt;""),O137,"")</f>
        <v/>
      </c>
      <c r="S137" s="22" t="n">
        <f aca="false">S136+IF(R137="",0,R137)</f>
        <v>0</v>
      </c>
      <c r="T137" s="22" t="n">
        <f aca="false">MAX(T136,S137)</f>
        <v>0</v>
      </c>
      <c r="U137" s="22" t="n">
        <f aca="false">T137-S137</f>
        <v>0</v>
      </c>
      <c r="V137" s="16"/>
    </row>
    <row r="138" customFormat="false" ht="15" hidden="false" customHeight="true" outlineLevel="0" collapsed="false">
      <c r="A138" s="4" t="str">
        <f aca="false">IF(B138="","",ROW()-1)</f>
        <v/>
      </c>
      <c r="B138" s="15"/>
      <c r="C138" s="16"/>
      <c r="D138" s="17"/>
      <c r="E138" s="17"/>
      <c r="F138" s="17"/>
      <c r="G138" s="18"/>
      <c r="H138" s="17"/>
      <c r="I138" s="16"/>
      <c r="J138" s="16"/>
      <c r="K138" s="17"/>
      <c r="L138" s="19"/>
      <c r="M138" s="20" t="b">
        <f aca="false">AND(B138&lt;&gt;"",B138&gt;='Read Me'!$B$5,H138&lt;&gt;"")</f>
        <v>0</v>
      </c>
      <c r="N138" s="21" t="str">
        <f aca="false">IF(OR(D138="",E138=""),"",ABS(D138-E138))</f>
        <v/>
      </c>
      <c r="O138" s="22" t="str">
        <f aca="false">IF(OR(H138="",N138="",N138=0),"",IF(C138="BUY",1,-1)*(H138-D138)/N138)</f>
        <v/>
      </c>
      <c r="P138" s="23" t="str">
        <f aca="false">IF(OR(H138="",D138="",K138=""),"",IF(C138="BUY",1,-1)*(H138-D138)*K138*'Read Me'!$B$10-L138)</f>
        <v/>
      </c>
      <c r="Q138" s="4" t="str">
        <f aca="false">IF(O138="","",IF(O138&gt;0,"WIN","LOSS"))</f>
        <v/>
      </c>
      <c r="R138" s="22" t="str">
        <f aca="false">IF(AND(M138,O138&lt;&gt;""),O138,"")</f>
        <v/>
      </c>
      <c r="S138" s="22" t="n">
        <f aca="false">S137+IF(R138="",0,R138)</f>
        <v>0</v>
      </c>
      <c r="T138" s="22" t="n">
        <f aca="false">MAX(T137,S138)</f>
        <v>0</v>
      </c>
      <c r="U138" s="22" t="n">
        <f aca="false">T138-S138</f>
        <v>0</v>
      </c>
      <c r="V138" s="16"/>
    </row>
    <row r="139" customFormat="false" ht="15" hidden="false" customHeight="true" outlineLevel="0" collapsed="false">
      <c r="A139" s="4" t="str">
        <f aca="false">IF(B139="","",ROW()-1)</f>
        <v/>
      </c>
      <c r="B139" s="15"/>
      <c r="C139" s="16"/>
      <c r="D139" s="17"/>
      <c r="E139" s="17"/>
      <c r="F139" s="17"/>
      <c r="G139" s="18"/>
      <c r="H139" s="17"/>
      <c r="I139" s="16"/>
      <c r="J139" s="16"/>
      <c r="K139" s="17"/>
      <c r="L139" s="19"/>
      <c r="M139" s="20" t="b">
        <f aca="false">AND(B139&lt;&gt;"",B139&gt;='Read Me'!$B$5,H139&lt;&gt;"")</f>
        <v>0</v>
      </c>
      <c r="N139" s="21" t="str">
        <f aca="false">IF(OR(D139="",E139=""),"",ABS(D139-E139))</f>
        <v/>
      </c>
      <c r="O139" s="22" t="str">
        <f aca="false">IF(OR(H139="",N139="",N139=0),"",IF(C139="BUY",1,-1)*(H139-D139)/N139)</f>
        <v/>
      </c>
      <c r="P139" s="23" t="str">
        <f aca="false">IF(OR(H139="",D139="",K139=""),"",IF(C139="BUY",1,-1)*(H139-D139)*K139*'Read Me'!$B$10-L139)</f>
        <v/>
      </c>
      <c r="Q139" s="4" t="str">
        <f aca="false">IF(O139="","",IF(O139&gt;0,"WIN","LOSS"))</f>
        <v/>
      </c>
      <c r="R139" s="22" t="str">
        <f aca="false">IF(AND(M139,O139&lt;&gt;""),O139,"")</f>
        <v/>
      </c>
      <c r="S139" s="22" t="n">
        <f aca="false">S138+IF(R139="",0,R139)</f>
        <v>0</v>
      </c>
      <c r="T139" s="22" t="n">
        <f aca="false">MAX(T138,S139)</f>
        <v>0</v>
      </c>
      <c r="U139" s="22" t="n">
        <f aca="false">T139-S139</f>
        <v>0</v>
      </c>
      <c r="V139" s="16"/>
    </row>
    <row r="140" customFormat="false" ht="15" hidden="false" customHeight="true" outlineLevel="0" collapsed="false">
      <c r="A140" s="4" t="str">
        <f aca="false">IF(B140="","",ROW()-1)</f>
        <v/>
      </c>
      <c r="B140" s="15"/>
      <c r="C140" s="16"/>
      <c r="D140" s="17"/>
      <c r="E140" s="17"/>
      <c r="F140" s="17"/>
      <c r="G140" s="18"/>
      <c r="H140" s="17"/>
      <c r="I140" s="16"/>
      <c r="J140" s="16"/>
      <c r="K140" s="17"/>
      <c r="L140" s="19"/>
      <c r="M140" s="20" t="b">
        <f aca="false">AND(B140&lt;&gt;"",B140&gt;='Read Me'!$B$5,H140&lt;&gt;"")</f>
        <v>0</v>
      </c>
      <c r="N140" s="21" t="str">
        <f aca="false">IF(OR(D140="",E140=""),"",ABS(D140-E140))</f>
        <v/>
      </c>
      <c r="O140" s="22" t="str">
        <f aca="false">IF(OR(H140="",N140="",N140=0),"",IF(C140="BUY",1,-1)*(H140-D140)/N140)</f>
        <v/>
      </c>
      <c r="P140" s="23" t="str">
        <f aca="false">IF(OR(H140="",D140="",K140=""),"",IF(C140="BUY",1,-1)*(H140-D140)*K140*'Read Me'!$B$10-L140)</f>
        <v/>
      </c>
      <c r="Q140" s="4" t="str">
        <f aca="false">IF(O140="","",IF(O140&gt;0,"WIN","LOSS"))</f>
        <v/>
      </c>
      <c r="R140" s="22" t="str">
        <f aca="false">IF(AND(M140,O140&lt;&gt;""),O140,"")</f>
        <v/>
      </c>
      <c r="S140" s="22" t="n">
        <f aca="false">S139+IF(R140="",0,R140)</f>
        <v>0</v>
      </c>
      <c r="T140" s="22" t="n">
        <f aca="false">MAX(T139,S140)</f>
        <v>0</v>
      </c>
      <c r="U140" s="22" t="n">
        <f aca="false">T140-S140</f>
        <v>0</v>
      </c>
      <c r="V140" s="16"/>
    </row>
    <row r="141" customFormat="false" ht="15" hidden="false" customHeight="true" outlineLevel="0" collapsed="false">
      <c r="A141" s="4" t="str">
        <f aca="false">IF(B141="","",ROW()-1)</f>
        <v/>
      </c>
      <c r="B141" s="15"/>
      <c r="C141" s="16"/>
      <c r="D141" s="17"/>
      <c r="E141" s="17"/>
      <c r="F141" s="17"/>
      <c r="G141" s="18"/>
      <c r="H141" s="17"/>
      <c r="I141" s="16"/>
      <c r="J141" s="16"/>
      <c r="K141" s="17"/>
      <c r="L141" s="19"/>
      <c r="M141" s="20" t="b">
        <f aca="false">AND(B141&lt;&gt;"",B141&gt;='Read Me'!$B$5,H141&lt;&gt;"")</f>
        <v>0</v>
      </c>
      <c r="N141" s="21" t="str">
        <f aca="false">IF(OR(D141="",E141=""),"",ABS(D141-E141))</f>
        <v/>
      </c>
      <c r="O141" s="22" t="str">
        <f aca="false">IF(OR(H141="",N141="",N141=0),"",IF(C141="BUY",1,-1)*(H141-D141)/N141)</f>
        <v/>
      </c>
      <c r="P141" s="23" t="str">
        <f aca="false">IF(OR(H141="",D141="",K141=""),"",IF(C141="BUY",1,-1)*(H141-D141)*K141*'Read Me'!$B$10-L141)</f>
        <v/>
      </c>
      <c r="Q141" s="4" t="str">
        <f aca="false">IF(O141="","",IF(O141&gt;0,"WIN","LOSS"))</f>
        <v/>
      </c>
      <c r="R141" s="22" t="str">
        <f aca="false">IF(AND(M141,O141&lt;&gt;""),O141,"")</f>
        <v/>
      </c>
      <c r="S141" s="22" t="n">
        <f aca="false">S140+IF(R141="",0,R141)</f>
        <v>0</v>
      </c>
      <c r="T141" s="22" t="n">
        <f aca="false">MAX(T140,S141)</f>
        <v>0</v>
      </c>
      <c r="U141" s="22" t="n">
        <f aca="false">T141-S141</f>
        <v>0</v>
      </c>
      <c r="V141" s="16"/>
    </row>
    <row r="142" customFormat="false" ht="15" hidden="false" customHeight="true" outlineLevel="0" collapsed="false">
      <c r="A142" s="4" t="str">
        <f aca="false">IF(B142="","",ROW()-1)</f>
        <v/>
      </c>
      <c r="B142" s="15"/>
      <c r="C142" s="16"/>
      <c r="D142" s="17"/>
      <c r="E142" s="17"/>
      <c r="F142" s="17"/>
      <c r="G142" s="18"/>
      <c r="H142" s="17"/>
      <c r="I142" s="16"/>
      <c r="J142" s="16"/>
      <c r="K142" s="17"/>
      <c r="L142" s="19"/>
      <c r="M142" s="20" t="b">
        <f aca="false">AND(B142&lt;&gt;"",B142&gt;='Read Me'!$B$5,H142&lt;&gt;"")</f>
        <v>0</v>
      </c>
      <c r="N142" s="21" t="str">
        <f aca="false">IF(OR(D142="",E142=""),"",ABS(D142-E142))</f>
        <v/>
      </c>
      <c r="O142" s="22" t="str">
        <f aca="false">IF(OR(H142="",N142="",N142=0),"",IF(C142="BUY",1,-1)*(H142-D142)/N142)</f>
        <v/>
      </c>
      <c r="P142" s="23" t="str">
        <f aca="false">IF(OR(H142="",D142="",K142=""),"",IF(C142="BUY",1,-1)*(H142-D142)*K142*'Read Me'!$B$10-L142)</f>
        <v/>
      </c>
      <c r="Q142" s="4" t="str">
        <f aca="false">IF(O142="","",IF(O142&gt;0,"WIN","LOSS"))</f>
        <v/>
      </c>
      <c r="R142" s="22" t="str">
        <f aca="false">IF(AND(M142,O142&lt;&gt;""),O142,"")</f>
        <v/>
      </c>
      <c r="S142" s="22" t="n">
        <f aca="false">S141+IF(R142="",0,R142)</f>
        <v>0</v>
      </c>
      <c r="T142" s="22" t="n">
        <f aca="false">MAX(T141,S142)</f>
        <v>0</v>
      </c>
      <c r="U142" s="22" t="n">
        <f aca="false">T142-S142</f>
        <v>0</v>
      </c>
      <c r="V142" s="16"/>
    </row>
    <row r="143" customFormat="false" ht="15" hidden="false" customHeight="true" outlineLevel="0" collapsed="false">
      <c r="A143" s="4" t="str">
        <f aca="false">IF(B143="","",ROW()-1)</f>
        <v/>
      </c>
      <c r="B143" s="15"/>
      <c r="C143" s="16"/>
      <c r="D143" s="17"/>
      <c r="E143" s="17"/>
      <c r="F143" s="17"/>
      <c r="G143" s="18"/>
      <c r="H143" s="17"/>
      <c r="I143" s="16"/>
      <c r="J143" s="16"/>
      <c r="K143" s="17"/>
      <c r="L143" s="19"/>
      <c r="M143" s="20" t="b">
        <f aca="false">AND(B143&lt;&gt;"",B143&gt;='Read Me'!$B$5,H143&lt;&gt;"")</f>
        <v>0</v>
      </c>
      <c r="N143" s="21" t="str">
        <f aca="false">IF(OR(D143="",E143=""),"",ABS(D143-E143))</f>
        <v/>
      </c>
      <c r="O143" s="22" t="str">
        <f aca="false">IF(OR(H143="",N143="",N143=0),"",IF(C143="BUY",1,-1)*(H143-D143)/N143)</f>
        <v/>
      </c>
      <c r="P143" s="23" t="str">
        <f aca="false">IF(OR(H143="",D143="",K143=""),"",IF(C143="BUY",1,-1)*(H143-D143)*K143*'Read Me'!$B$10-L143)</f>
        <v/>
      </c>
      <c r="Q143" s="4" t="str">
        <f aca="false">IF(O143="","",IF(O143&gt;0,"WIN","LOSS"))</f>
        <v/>
      </c>
      <c r="R143" s="22" t="str">
        <f aca="false">IF(AND(M143,O143&lt;&gt;""),O143,"")</f>
        <v/>
      </c>
      <c r="S143" s="22" t="n">
        <f aca="false">S142+IF(R143="",0,R143)</f>
        <v>0</v>
      </c>
      <c r="T143" s="22" t="n">
        <f aca="false">MAX(T142,S143)</f>
        <v>0</v>
      </c>
      <c r="U143" s="22" t="n">
        <f aca="false">T143-S143</f>
        <v>0</v>
      </c>
      <c r="V143" s="16"/>
    </row>
    <row r="144" customFormat="false" ht="15" hidden="false" customHeight="true" outlineLevel="0" collapsed="false">
      <c r="A144" s="4" t="str">
        <f aca="false">IF(B144="","",ROW()-1)</f>
        <v/>
      </c>
      <c r="B144" s="15"/>
      <c r="C144" s="16"/>
      <c r="D144" s="17"/>
      <c r="E144" s="17"/>
      <c r="F144" s="17"/>
      <c r="G144" s="18"/>
      <c r="H144" s="17"/>
      <c r="I144" s="16"/>
      <c r="J144" s="16"/>
      <c r="K144" s="17"/>
      <c r="L144" s="19"/>
      <c r="M144" s="20" t="b">
        <f aca="false">AND(B144&lt;&gt;"",B144&gt;='Read Me'!$B$5,H144&lt;&gt;"")</f>
        <v>0</v>
      </c>
      <c r="N144" s="21" t="str">
        <f aca="false">IF(OR(D144="",E144=""),"",ABS(D144-E144))</f>
        <v/>
      </c>
      <c r="O144" s="22" t="str">
        <f aca="false">IF(OR(H144="",N144="",N144=0),"",IF(C144="BUY",1,-1)*(H144-D144)/N144)</f>
        <v/>
      </c>
      <c r="P144" s="23" t="str">
        <f aca="false">IF(OR(H144="",D144="",K144=""),"",IF(C144="BUY",1,-1)*(H144-D144)*K144*'Read Me'!$B$10-L144)</f>
        <v/>
      </c>
      <c r="Q144" s="4" t="str">
        <f aca="false">IF(O144="","",IF(O144&gt;0,"WIN","LOSS"))</f>
        <v/>
      </c>
      <c r="R144" s="22" t="str">
        <f aca="false">IF(AND(M144,O144&lt;&gt;""),O144,"")</f>
        <v/>
      </c>
      <c r="S144" s="22" t="n">
        <f aca="false">S143+IF(R144="",0,R144)</f>
        <v>0</v>
      </c>
      <c r="T144" s="22" t="n">
        <f aca="false">MAX(T143,S144)</f>
        <v>0</v>
      </c>
      <c r="U144" s="22" t="n">
        <f aca="false">T144-S144</f>
        <v>0</v>
      </c>
      <c r="V144" s="16"/>
    </row>
    <row r="145" customFormat="false" ht="15" hidden="false" customHeight="true" outlineLevel="0" collapsed="false">
      <c r="A145" s="4" t="str">
        <f aca="false">IF(B145="","",ROW()-1)</f>
        <v/>
      </c>
      <c r="B145" s="15"/>
      <c r="C145" s="16"/>
      <c r="D145" s="17"/>
      <c r="E145" s="17"/>
      <c r="F145" s="17"/>
      <c r="G145" s="18"/>
      <c r="H145" s="17"/>
      <c r="I145" s="16"/>
      <c r="J145" s="16"/>
      <c r="K145" s="17"/>
      <c r="L145" s="19"/>
      <c r="M145" s="20" t="b">
        <f aca="false">AND(B145&lt;&gt;"",B145&gt;='Read Me'!$B$5,H145&lt;&gt;"")</f>
        <v>0</v>
      </c>
      <c r="N145" s="21" t="str">
        <f aca="false">IF(OR(D145="",E145=""),"",ABS(D145-E145))</f>
        <v/>
      </c>
      <c r="O145" s="22" t="str">
        <f aca="false">IF(OR(H145="",N145="",N145=0),"",IF(C145="BUY",1,-1)*(H145-D145)/N145)</f>
        <v/>
      </c>
      <c r="P145" s="23" t="str">
        <f aca="false">IF(OR(H145="",D145="",K145=""),"",IF(C145="BUY",1,-1)*(H145-D145)*K145*'Read Me'!$B$10-L145)</f>
        <v/>
      </c>
      <c r="Q145" s="4" t="str">
        <f aca="false">IF(O145="","",IF(O145&gt;0,"WIN","LOSS"))</f>
        <v/>
      </c>
      <c r="R145" s="22" t="str">
        <f aca="false">IF(AND(M145,O145&lt;&gt;""),O145,"")</f>
        <v/>
      </c>
      <c r="S145" s="22" t="n">
        <f aca="false">S144+IF(R145="",0,R145)</f>
        <v>0</v>
      </c>
      <c r="T145" s="22" t="n">
        <f aca="false">MAX(T144,S145)</f>
        <v>0</v>
      </c>
      <c r="U145" s="22" t="n">
        <f aca="false">T145-S145</f>
        <v>0</v>
      </c>
      <c r="V145" s="16"/>
    </row>
    <row r="146" customFormat="false" ht="15" hidden="false" customHeight="true" outlineLevel="0" collapsed="false">
      <c r="A146" s="4" t="str">
        <f aca="false">IF(B146="","",ROW()-1)</f>
        <v/>
      </c>
      <c r="B146" s="15"/>
      <c r="C146" s="16"/>
      <c r="D146" s="17"/>
      <c r="E146" s="17"/>
      <c r="F146" s="17"/>
      <c r="G146" s="18"/>
      <c r="H146" s="17"/>
      <c r="I146" s="16"/>
      <c r="J146" s="16"/>
      <c r="K146" s="17"/>
      <c r="L146" s="19"/>
      <c r="M146" s="20" t="b">
        <f aca="false">AND(B146&lt;&gt;"",B146&gt;='Read Me'!$B$5,H146&lt;&gt;"")</f>
        <v>0</v>
      </c>
      <c r="N146" s="21" t="str">
        <f aca="false">IF(OR(D146="",E146=""),"",ABS(D146-E146))</f>
        <v/>
      </c>
      <c r="O146" s="22" t="str">
        <f aca="false">IF(OR(H146="",N146="",N146=0),"",IF(C146="BUY",1,-1)*(H146-D146)/N146)</f>
        <v/>
      </c>
      <c r="P146" s="23" t="str">
        <f aca="false">IF(OR(H146="",D146="",K146=""),"",IF(C146="BUY",1,-1)*(H146-D146)*K146*'Read Me'!$B$10-L146)</f>
        <v/>
      </c>
      <c r="Q146" s="4" t="str">
        <f aca="false">IF(O146="","",IF(O146&gt;0,"WIN","LOSS"))</f>
        <v/>
      </c>
      <c r="R146" s="22" t="str">
        <f aca="false">IF(AND(M146,O146&lt;&gt;""),O146,"")</f>
        <v/>
      </c>
      <c r="S146" s="22" t="n">
        <f aca="false">S145+IF(R146="",0,R146)</f>
        <v>0</v>
      </c>
      <c r="T146" s="22" t="n">
        <f aca="false">MAX(T145,S146)</f>
        <v>0</v>
      </c>
      <c r="U146" s="22" t="n">
        <f aca="false">T146-S146</f>
        <v>0</v>
      </c>
      <c r="V146" s="16"/>
    </row>
    <row r="147" customFormat="false" ht="15" hidden="false" customHeight="true" outlineLevel="0" collapsed="false">
      <c r="A147" s="4" t="str">
        <f aca="false">IF(B147="","",ROW()-1)</f>
        <v/>
      </c>
      <c r="B147" s="15"/>
      <c r="C147" s="16"/>
      <c r="D147" s="17"/>
      <c r="E147" s="17"/>
      <c r="F147" s="17"/>
      <c r="G147" s="18"/>
      <c r="H147" s="17"/>
      <c r="I147" s="16"/>
      <c r="J147" s="16"/>
      <c r="K147" s="17"/>
      <c r="L147" s="19"/>
      <c r="M147" s="20" t="b">
        <f aca="false">AND(B147&lt;&gt;"",B147&gt;='Read Me'!$B$5,H147&lt;&gt;"")</f>
        <v>0</v>
      </c>
      <c r="N147" s="21" t="str">
        <f aca="false">IF(OR(D147="",E147=""),"",ABS(D147-E147))</f>
        <v/>
      </c>
      <c r="O147" s="22" t="str">
        <f aca="false">IF(OR(H147="",N147="",N147=0),"",IF(C147="BUY",1,-1)*(H147-D147)/N147)</f>
        <v/>
      </c>
      <c r="P147" s="23" t="str">
        <f aca="false">IF(OR(H147="",D147="",K147=""),"",IF(C147="BUY",1,-1)*(H147-D147)*K147*'Read Me'!$B$10-L147)</f>
        <v/>
      </c>
      <c r="Q147" s="4" t="str">
        <f aca="false">IF(O147="","",IF(O147&gt;0,"WIN","LOSS"))</f>
        <v/>
      </c>
      <c r="R147" s="22" t="str">
        <f aca="false">IF(AND(M147,O147&lt;&gt;""),O147,"")</f>
        <v/>
      </c>
      <c r="S147" s="22" t="n">
        <f aca="false">S146+IF(R147="",0,R147)</f>
        <v>0</v>
      </c>
      <c r="T147" s="22" t="n">
        <f aca="false">MAX(T146,S147)</f>
        <v>0</v>
      </c>
      <c r="U147" s="22" t="n">
        <f aca="false">T147-S147</f>
        <v>0</v>
      </c>
      <c r="V147" s="16"/>
    </row>
    <row r="148" customFormat="false" ht="15" hidden="false" customHeight="true" outlineLevel="0" collapsed="false">
      <c r="A148" s="4" t="str">
        <f aca="false">IF(B148="","",ROW()-1)</f>
        <v/>
      </c>
      <c r="B148" s="15"/>
      <c r="C148" s="16"/>
      <c r="D148" s="17"/>
      <c r="E148" s="17"/>
      <c r="F148" s="17"/>
      <c r="G148" s="18"/>
      <c r="H148" s="17"/>
      <c r="I148" s="16"/>
      <c r="J148" s="16"/>
      <c r="K148" s="17"/>
      <c r="L148" s="19"/>
      <c r="M148" s="20" t="b">
        <f aca="false">AND(B148&lt;&gt;"",B148&gt;='Read Me'!$B$5,H148&lt;&gt;"")</f>
        <v>0</v>
      </c>
      <c r="N148" s="21" t="str">
        <f aca="false">IF(OR(D148="",E148=""),"",ABS(D148-E148))</f>
        <v/>
      </c>
      <c r="O148" s="22" t="str">
        <f aca="false">IF(OR(H148="",N148="",N148=0),"",IF(C148="BUY",1,-1)*(H148-D148)/N148)</f>
        <v/>
      </c>
      <c r="P148" s="23" t="str">
        <f aca="false">IF(OR(H148="",D148="",K148=""),"",IF(C148="BUY",1,-1)*(H148-D148)*K148*'Read Me'!$B$10-L148)</f>
        <v/>
      </c>
      <c r="Q148" s="4" t="str">
        <f aca="false">IF(O148="","",IF(O148&gt;0,"WIN","LOSS"))</f>
        <v/>
      </c>
      <c r="R148" s="22" t="str">
        <f aca="false">IF(AND(M148,O148&lt;&gt;""),O148,"")</f>
        <v/>
      </c>
      <c r="S148" s="22" t="n">
        <f aca="false">S147+IF(R148="",0,R148)</f>
        <v>0</v>
      </c>
      <c r="T148" s="22" t="n">
        <f aca="false">MAX(T147,S148)</f>
        <v>0</v>
      </c>
      <c r="U148" s="22" t="n">
        <f aca="false">T148-S148</f>
        <v>0</v>
      </c>
      <c r="V148" s="16"/>
    </row>
    <row r="149" customFormat="false" ht="15" hidden="false" customHeight="true" outlineLevel="0" collapsed="false">
      <c r="A149" s="4" t="str">
        <f aca="false">IF(B149="","",ROW()-1)</f>
        <v/>
      </c>
      <c r="B149" s="15"/>
      <c r="C149" s="16"/>
      <c r="D149" s="17"/>
      <c r="E149" s="17"/>
      <c r="F149" s="17"/>
      <c r="G149" s="18"/>
      <c r="H149" s="17"/>
      <c r="I149" s="16"/>
      <c r="J149" s="16"/>
      <c r="K149" s="17"/>
      <c r="L149" s="19"/>
      <c r="M149" s="20" t="b">
        <f aca="false">AND(B149&lt;&gt;"",B149&gt;='Read Me'!$B$5,H149&lt;&gt;"")</f>
        <v>0</v>
      </c>
      <c r="N149" s="21" t="str">
        <f aca="false">IF(OR(D149="",E149=""),"",ABS(D149-E149))</f>
        <v/>
      </c>
      <c r="O149" s="22" t="str">
        <f aca="false">IF(OR(H149="",N149="",N149=0),"",IF(C149="BUY",1,-1)*(H149-D149)/N149)</f>
        <v/>
      </c>
      <c r="P149" s="23" t="str">
        <f aca="false">IF(OR(H149="",D149="",K149=""),"",IF(C149="BUY",1,-1)*(H149-D149)*K149*'Read Me'!$B$10-L149)</f>
        <v/>
      </c>
      <c r="Q149" s="4" t="str">
        <f aca="false">IF(O149="","",IF(O149&gt;0,"WIN","LOSS"))</f>
        <v/>
      </c>
      <c r="R149" s="22" t="str">
        <f aca="false">IF(AND(M149,O149&lt;&gt;""),O149,"")</f>
        <v/>
      </c>
      <c r="S149" s="22" t="n">
        <f aca="false">S148+IF(R149="",0,R149)</f>
        <v>0</v>
      </c>
      <c r="T149" s="22" t="n">
        <f aca="false">MAX(T148,S149)</f>
        <v>0</v>
      </c>
      <c r="U149" s="22" t="n">
        <f aca="false">T149-S149</f>
        <v>0</v>
      </c>
      <c r="V149" s="16"/>
    </row>
    <row r="150" customFormat="false" ht="15" hidden="false" customHeight="true" outlineLevel="0" collapsed="false">
      <c r="A150" s="4" t="str">
        <f aca="false">IF(B150="","",ROW()-1)</f>
        <v/>
      </c>
      <c r="B150" s="15"/>
      <c r="C150" s="16"/>
      <c r="D150" s="17"/>
      <c r="E150" s="17"/>
      <c r="F150" s="17"/>
      <c r="G150" s="18"/>
      <c r="H150" s="17"/>
      <c r="I150" s="16"/>
      <c r="J150" s="16"/>
      <c r="K150" s="17"/>
      <c r="L150" s="19"/>
      <c r="M150" s="20" t="b">
        <f aca="false">AND(B150&lt;&gt;"",B150&gt;='Read Me'!$B$5,H150&lt;&gt;"")</f>
        <v>0</v>
      </c>
      <c r="N150" s="21" t="str">
        <f aca="false">IF(OR(D150="",E150=""),"",ABS(D150-E150))</f>
        <v/>
      </c>
      <c r="O150" s="22" t="str">
        <f aca="false">IF(OR(H150="",N150="",N150=0),"",IF(C150="BUY",1,-1)*(H150-D150)/N150)</f>
        <v/>
      </c>
      <c r="P150" s="23" t="str">
        <f aca="false">IF(OR(H150="",D150="",K150=""),"",IF(C150="BUY",1,-1)*(H150-D150)*K150*'Read Me'!$B$10-L150)</f>
        <v/>
      </c>
      <c r="Q150" s="4" t="str">
        <f aca="false">IF(O150="","",IF(O150&gt;0,"WIN","LOSS"))</f>
        <v/>
      </c>
      <c r="R150" s="22" t="str">
        <f aca="false">IF(AND(M150,O150&lt;&gt;""),O150,"")</f>
        <v/>
      </c>
      <c r="S150" s="22" t="n">
        <f aca="false">S149+IF(R150="",0,R150)</f>
        <v>0</v>
      </c>
      <c r="T150" s="22" t="n">
        <f aca="false">MAX(T149,S150)</f>
        <v>0</v>
      </c>
      <c r="U150" s="22" t="n">
        <f aca="false">T150-S150</f>
        <v>0</v>
      </c>
      <c r="V150" s="16"/>
    </row>
    <row r="151" customFormat="false" ht="15" hidden="false" customHeight="true" outlineLevel="0" collapsed="false">
      <c r="A151" s="4" t="str">
        <f aca="false">IF(B151="","",ROW()-1)</f>
        <v/>
      </c>
      <c r="B151" s="15"/>
      <c r="C151" s="16"/>
      <c r="D151" s="17"/>
      <c r="E151" s="17"/>
      <c r="F151" s="17"/>
      <c r="G151" s="18"/>
      <c r="H151" s="17"/>
      <c r="I151" s="16"/>
      <c r="J151" s="16"/>
      <c r="K151" s="17"/>
      <c r="L151" s="19"/>
      <c r="M151" s="20" t="b">
        <f aca="false">AND(B151&lt;&gt;"",B151&gt;='Read Me'!$B$5,H151&lt;&gt;"")</f>
        <v>0</v>
      </c>
      <c r="N151" s="21" t="str">
        <f aca="false">IF(OR(D151="",E151=""),"",ABS(D151-E151))</f>
        <v/>
      </c>
      <c r="O151" s="22" t="str">
        <f aca="false">IF(OR(H151="",N151="",N151=0),"",IF(C151="BUY",1,-1)*(H151-D151)/N151)</f>
        <v/>
      </c>
      <c r="P151" s="23" t="str">
        <f aca="false">IF(OR(H151="",D151="",K151=""),"",IF(C151="BUY",1,-1)*(H151-D151)*K151*'Read Me'!$B$10-L151)</f>
        <v/>
      </c>
      <c r="Q151" s="4" t="str">
        <f aca="false">IF(O151="","",IF(O151&gt;0,"WIN","LOSS"))</f>
        <v/>
      </c>
      <c r="R151" s="22" t="str">
        <f aca="false">IF(AND(M151,O151&lt;&gt;""),O151,"")</f>
        <v/>
      </c>
      <c r="S151" s="22" t="n">
        <f aca="false">S150+IF(R151="",0,R151)</f>
        <v>0</v>
      </c>
      <c r="T151" s="22" t="n">
        <f aca="false">MAX(T150,S151)</f>
        <v>0</v>
      </c>
      <c r="U151" s="22" t="n">
        <f aca="false">T151-S151</f>
        <v>0</v>
      </c>
      <c r="V151" s="16"/>
    </row>
    <row r="152" customFormat="false" ht="15" hidden="false" customHeight="true" outlineLevel="0" collapsed="false">
      <c r="A152" s="4" t="str">
        <f aca="false">IF(B152="","",ROW()-1)</f>
        <v/>
      </c>
      <c r="B152" s="15"/>
      <c r="C152" s="16"/>
      <c r="D152" s="17"/>
      <c r="E152" s="17"/>
      <c r="F152" s="17"/>
      <c r="G152" s="18"/>
      <c r="H152" s="17"/>
      <c r="I152" s="16"/>
      <c r="J152" s="16"/>
      <c r="K152" s="17"/>
      <c r="L152" s="19"/>
      <c r="M152" s="20" t="b">
        <f aca="false">AND(B152&lt;&gt;"",B152&gt;='Read Me'!$B$5,H152&lt;&gt;"")</f>
        <v>0</v>
      </c>
      <c r="N152" s="21" t="str">
        <f aca="false">IF(OR(D152="",E152=""),"",ABS(D152-E152))</f>
        <v/>
      </c>
      <c r="O152" s="22" t="str">
        <f aca="false">IF(OR(H152="",N152="",N152=0),"",IF(C152="BUY",1,-1)*(H152-D152)/N152)</f>
        <v/>
      </c>
      <c r="P152" s="23" t="str">
        <f aca="false">IF(OR(H152="",D152="",K152=""),"",IF(C152="BUY",1,-1)*(H152-D152)*K152*'Read Me'!$B$10-L152)</f>
        <v/>
      </c>
      <c r="Q152" s="4" t="str">
        <f aca="false">IF(O152="","",IF(O152&gt;0,"WIN","LOSS"))</f>
        <v/>
      </c>
      <c r="R152" s="22" t="str">
        <f aca="false">IF(AND(M152,O152&lt;&gt;""),O152,"")</f>
        <v/>
      </c>
      <c r="S152" s="22" t="n">
        <f aca="false">S151+IF(R152="",0,R152)</f>
        <v>0</v>
      </c>
      <c r="T152" s="22" t="n">
        <f aca="false">MAX(T151,S152)</f>
        <v>0</v>
      </c>
      <c r="U152" s="22" t="n">
        <f aca="false">T152-S152</f>
        <v>0</v>
      </c>
      <c r="V152" s="16"/>
    </row>
    <row r="153" customFormat="false" ht="15" hidden="false" customHeight="true" outlineLevel="0" collapsed="false">
      <c r="A153" s="4" t="str">
        <f aca="false">IF(B153="","",ROW()-1)</f>
        <v/>
      </c>
      <c r="B153" s="15"/>
      <c r="C153" s="16"/>
      <c r="D153" s="17"/>
      <c r="E153" s="17"/>
      <c r="F153" s="17"/>
      <c r="G153" s="18"/>
      <c r="H153" s="17"/>
      <c r="I153" s="16"/>
      <c r="J153" s="16"/>
      <c r="K153" s="17"/>
      <c r="L153" s="19"/>
      <c r="M153" s="20" t="b">
        <f aca="false">AND(B153&lt;&gt;"",B153&gt;='Read Me'!$B$5,H153&lt;&gt;"")</f>
        <v>0</v>
      </c>
      <c r="N153" s="21" t="str">
        <f aca="false">IF(OR(D153="",E153=""),"",ABS(D153-E153))</f>
        <v/>
      </c>
      <c r="O153" s="22" t="str">
        <f aca="false">IF(OR(H153="",N153="",N153=0),"",IF(C153="BUY",1,-1)*(H153-D153)/N153)</f>
        <v/>
      </c>
      <c r="P153" s="23" t="str">
        <f aca="false">IF(OR(H153="",D153="",K153=""),"",IF(C153="BUY",1,-1)*(H153-D153)*K153*'Read Me'!$B$10-L153)</f>
        <v/>
      </c>
      <c r="Q153" s="4" t="str">
        <f aca="false">IF(O153="","",IF(O153&gt;0,"WIN","LOSS"))</f>
        <v/>
      </c>
      <c r="R153" s="22" t="str">
        <f aca="false">IF(AND(M153,O153&lt;&gt;""),O153,"")</f>
        <v/>
      </c>
      <c r="S153" s="22" t="n">
        <f aca="false">S152+IF(R153="",0,R153)</f>
        <v>0</v>
      </c>
      <c r="T153" s="22" t="n">
        <f aca="false">MAX(T152,S153)</f>
        <v>0</v>
      </c>
      <c r="U153" s="22" t="n">
        <f aca="false">T153-S153</f>
        <v>0</v>
      </c>
      <c r="V153" s="16"/>
    </row>
    <row r="154" customFormat="false" ht="15" hidden="false" customHeight="true" outlineLevel="0" collapsed="false">
      <c r="A154" s="4" t="str">
        <f aca="false">IF(B154="","",ROW()-1)</f>
        <v/>
      </c>
      <c r="B154" s="15"/>
      <c r="C154" s="16"/>
      <c r="D154" s="17"/>
      <c r="E154" s="17"/>
      <c r="F154" s="17"/>
      <c r="G154" s="18"/>
      <c r="H154" s="17"/>
      <c r="I154" s="16"/>
      <c r="J154" s="16"/>
      <c r="K154" s="17"/>
      <c r="L154" s="19"/>
      <c r="M154" s="20" t="b">
        <f aca="false">AND(B154&lt;&gt;"",B154&gt;='Read Me'!$B$5,H154&lt;&gt;"")</f>
        <v>0</v>
      </c>
      <c r="N154" s="21" t="str">
        <f aca="false">IF(OR(D154="",E154=""),"",ABS(D154-E154))</f>
        <v/>
      </c>
      <c r="O154" s="22" t="str">
        <f aca="false">IF(OR(H154="",N154="",N154=0),"",IF(C154="BUY",1,-1)*(H154-D154)/N154)</f>
        <v/>
      </c>
      <c r="P154" s="23" t="str">
        <f aca="false">IF(OR(H154="",D154="",K154=""),"",IF(C154="BUY",1,-1)*(H154-D154)*K154*'Read Me'!$B$10-L154)</f>
        <v/>
      </c>
      <c r="Q154" s="4" t="str">
        <f aca="false">IF(O154="","",IF(O154&gt;0,"WIN","LOSS"))</f>
        <v/>
      </c>
      <c r="R154" s="22" t="str">
        <f aca="false">IF(AND(M154,O154&lt;&gt;""),O154,"")</f>
        <v/>
      </c>
      <c r="S154" s="22" t="n">
        <f aca="false">S153+IF(R154="",0,R154)</f>
        <v>0</v>
      </c>
      <c r="T154" s="22" t="n">
        <f aca="false">MAX(T153,S154)</f>
        <v>0</v>
      </c>
      <c r="U154" s="22" t="n">
        <f aca="false">T154-S154</f>
        <v>0</v>
      </c>
      <c r="V154" s="16"/>
    </row>
    <row r="155" customFormat="false" ht="15" hidden="false" customHeight="true" outlineLevel="0" collapsed="false">
      <c r="A155" s="4" t="str">
        <f aca="false">IF(B155="","",ROW()-1)</f>
        <v/>
      </c>
      <c r="B155" s="15"/>
      <c r="C155" s="16"/>
      <c r="D155" s="17"/>
      <c r="E155" s="17"/>
      <c r="F155" s="17"/>
      <c r="G155" s="18"/>
      <c r="H155" s="17"/>
      <c r="I155" s="16"/>
      <c r="J155" s="16"/>
      <c r="K155" s="17"/>
      <c r="L155" s="19"/>
      <c r="M155" s="20" t="b">
        <f aca="false">AND(B155&lt;&gt;"",B155&gt;='Read Me'!$B$5,H155&lt;&gt;"")</f>
        <v>0</v>
      </c>
      <c r="N155" s="21" t="str">
        <f aca="false">IF(OR(D155="",E155=""),"",ABS(D155-E155))</f>
        <v/>
      </c>
      <c r="O155" s="22" t="str">
        <f aca="false">IF(OR(H155="",N155="",N155=0),"",IF(C155="BUY",1,-1)*(H155-D155)/N155)</f>
        <v/>
      </c>
      <c r="P155" s="23" t="str">
        <f aca="false">IF(OR(H155="",D155="",K155=""),"",IF(C155="BUY",1,-1)*(H155-D155)*K155*'Read Me'!$B$10-L155)</f>
        <v/>
      </c>
      <c r="Q155" s="4" t="str">
        <f aca="false">IF(O155="","",IF(O155&gt;0,"WIN","LOSS"))</f>
        <v/>
      </c>
      <c r="R155" s="22" t="str">
        <f aca="false">IF(AND(M155,O155&lt;&gt;""),O155,"")</f>
        <v/>
      </c>
      <c r="S155" s="22" t="n">
        <f aca="false">S154+IF(R155="",0,R155)</f>
        <v>0</v>
      </c>
      <c r="T155" s="22" t="n">
        <f aca="false">MAX(T154,S155)</f>
        <v>0</v>
      </c>
      <c r="U155" s="22" t="n">
        <f aca="false">T155-S155</f>
        <v>0</v>
      </c>
      <c r="V155" s="16"/>
    </row>
    <row r="156" customFormat="false" ht="15" hidden="false" customHeight="true" outlineLevel="0" collapsed="false">
      <c r="A156" s="4" t="str">
        <f aca="false">IF(B156="","",ROW()-1)</f>
        <v/>
      </c>
      <c r="B156" s="15"/>
      <c r="C156" s="16"/>
      <c r="D156" s="17"/>
      <c r="E156" s="17"/>
      <c r="F156" s="17"/>
      <c r="G156" s="18"/>
      <c r="H156" s="17"/>
      <c r="I156" s="16"/>
      <c r="J156" s="16"/>
      <c r="K156" s="17"/>
      <c r="L156" s="19"/>
      <c r="M156" s="20" t="b">
        <f aca="false">AND(B156&lt;&gt;"",B156&gt;='Read Me'!$B$5,H156&lt;&gt;"")</f>
        <v>0</v>
      </c>
      <c r="N156" s="21" t="str">
        <f aca="false">IF(OR(D156="",E156=""),"",ABS(D156-E156))</f>
        <v/>
      </c>
      <c r="O156" s="22" t="str">
        <f aca="false">IF(OR(H156="",N156="",N156=0),"",IF(C156="BUY",1,-1)*(H156-D156)/N156)</f>
        <v/>
      </c>
      <c r="P156" s="23" t="str">
        <f aca="false">IF(OR(H156="",D156="",K156=""),"",IF(C156="BUY",1,-1)*(H156-D156)*K156*'Read Me'!$B$10-L156)</f>
        <v/>
      </c>
      <c r="Q156" s="4" t="str">
        <f aca="false">IF(O156="","",IF(O156&gt;0,"WIN","LOSS"))</f>
        <v/>
      </c>
      <c r="R156" s="22" t="str">
        <f aca="false">IF(AND(M156,O156&lt;&gt;""),O156,"")</f>
        <v/>
      </c>
      <c r="S156" s="22" t="n">
        <f aca="false">S155+IF(R156="",0,R156)</f>
        <v>0</v>
      </c>
      <c r="T156" s="22" t="n">
        <f aca="false">MAX(T155,S156)</f>
        <v>0</v>
      </c>
      <c r="U156" s="22" t="n">
        <f aca="false">T156-S156</f>
        <v>0</v>
      </c>
      <c r="V156" s="16"/>
    </row>
    <row r="157" customFormat="false" ht="15" hidden="false" customHeight="true" outlineLevel="0" collapsed="false">
      <c r="A157" s="4" t="str">
        <f aca="false">IF(B157="","",ROW()-1)</f>
        <v/>
      </c>
      <c r="B157" s="15"/>
      <c r="C157" s="16"/>
      <c r="D157" s="17"/>
      <c r="E157" s="17"/>
      <c r="F157" s="17"/>
      <c r="G157" s="18"/>
      <c r="H157" s="17"/>
      <c r="I157" s="16"/>
      <c r="J157" s="16"/>
      <c r="K157" s="17"/>
      <c r="L157" s="19"/>
      <c r="M157" s="20" t="b">
        <f aca="false">AND(B157&lt;&gt;"",B157&gt;='Read Me'!$B$5,H157&lt;&gt;"")</f>
        <v>0</v>
      </c>
      <c r="N157" s="21" t="str">
        <f aca="false">IF(OR(D157="",E157=""),"",ABS(D157-E157))</f>
        <v/>
      </c>
      <c r="O157" s="22" t="str">
        <f aca="false">IF(OR(H157="",N157="",N157=0),"",IF(C157="BUY",1,-1)*(H157-D157)/N157)</f>
        <v/>
      </c>
      <c r="P157" s="23" t="str">
        <f aca="false">IF(OR(H157="",D157="",K157=""),"",IF(C157="BUY",1,-1)*(H157-D157)*K157*'Read Me'!$B$10-L157)</f>
        <v/>
      </c>
      <c r="Q157" s="4" t="str">
        <f aca="false">IF(O157="","",IF(O157&gt;0,"WIN","LOSS"))</f>
        <v/>
      </c>
      <c r="R157" s="22" t="str">
        <f aca="false">IF(AND(M157,O157&lt;&gt;""),O157,"")</f>
        <v/>
      </c>
      <c r="S157" s="22" t="n">
        <f aca="false">S156+IF(R157="",0,R157)</f>
        <v>0</v>
      </c>
      <c r="T157" s="22" t="n">
        <f aca="false">MAX(T156,S157)</f>
        <v>0</v>
      </c>
      <c r="U157" s="22" t="n">
        <f aca="false">T157-S157</f>
        <v>0</v>
      </c>
      <c r="V157" s="16"/>
    </row>
    <row r="158" customFormat="false" ht="15" hidden="false" customHeight="true" outlineLevel="0" collapsed="false">
      <c r="A158" s="4" t="str">
        <f aca="false">IF(B158="","",ROW()-1)</f>
        <v/>
      </c>
      <c r="B158" s="15"/>
      <c r="C158" s="16"/>
      <c r="D158" s="17"/>
      <c r="E158" s="17"/>
      <c r="F158" s="17"/>
      <c r="G158" s="18"/>
      <c r="H158" s="17"/>
      <c r="I158" s="16"/>
      <c r="J158" s="16"/>
      <c r="K158" s="17"/>
      <c r="L158" s="19"/>
      <c r="M158" s="20" t="b">
        <f aca="false">AND(B158&lt;&gt;"",B158&gt;='Read Me'!$B$5,H158&lt;&gt;"")</f>
        <v>0</v>
      </c>
      <c r="N158" s="21" t="str">
        <f aca="false">IF(OR(D158="",E158=""),"",ABS(D158-E158))</f>
        <v/>
      </c>
      <c r="O158" s="22" t="str">
        <f aca="false">IF(OR(H158="",N158="",N158=0),"",IF(C158="BUY",1,-1)*(H158-D158)/N158)</f>
        <v/>
      </c>
      <c r="P158" s="23" t="str">
        <f aca="false">IF(OR(H158="",D158="",K158=""),"",IF(C158="BUY",1,-1)*(H158-D158)*K158*'Read Me'!$B$10-L158)</f>
        <v/>
      </c>
      <c r="Q158" s="4" t="str">
        <f aca="false">IF(O158="","",IF(O158&gt;0,"WIN","LOSS"))</f>
        <v/>
      </c>
      <c r="R158" s="22" t="str">
        <f aca="false">IF(AND(M158,O158&lt;&gt;""),O158,"")</f>
        <v/>
      </c>
      <c r="S158" s="22" t="n">
        <f aca="false">S157+IF(R158="",0,R158)</f>
        <v>0</v>
      </c>
      <c r="T158" s="22" t="n">
        <f aca="false">MAX(T157,S158)</f>
        <v>0</v>
      </c>
      <c r="U158" s="22" t="n">
        <f aca="false">T158-S158</f>
        <v>0</v>
      </c>
      <c r="V158" s="16"/>
    </row>
    <row r="159" customFormat="false" ht="15" hidden="false" customHeight="true" outlineLevel="0" collapsed="false">
      <c r="A159" s="4" t="str">
        <f aca="false">IF(B159="","",ROW()-1)</f>
        <v/>
      </c>
      <c r="B159" s="15"/>
      <c r="C159" s="16"/>
      <c r="D159" s="17"/>
      <c r="E159" s="17"/>
      <c r="F159" s="17"/>
      <c r="G159" s="18"/>
      <c r="H159" s="17"/>
      <c r="I159" s="16"/>
      <c r="J159" s="16"/>
      <c r="K159" s="17"/>
      <c r="L159" s="19"/>
      <c r="M159" s="20" t="b">
        <f aca="false">AND(B159&lt;&gt;"",B159&gt;='Read Me'!$B$5,H159&lt;&gt;"")</f>
        <v>0</v>
      </c>
      <c r="N159" s="21" t="str">
        <f aca="false">IF(OR(D159="",E159=""),"",ABS(D159-E159))</f>
        <v/>
      </c>
      <c r="O159" s="22" t="str">
        <f aca="false">IF(OR(H159="",N159="",N159=0),"",IF(C159="BUY",1,-1)*(H159-D159)/N159)</f>
        <v/>
      </c>
      <c r="P159" s="23" t="str">
        <f aca="false">IF(OR(H159="",D159="",K159=""),"",IF(C159="BUY",1,-1)*(H159-D159)*K159*'Read Me'!$B$10-L159)</f>
        <v/>
      </c>
      <c r="Q159" s="4" t="str">
        <f aca="false">IF(O159="","",IF(O159&gt;0,"WIN","LOSS"))</f>
        <v/>
      </c>
      <c r="R159" s="22" t="str">
        <f aca="false">IF(AND(M159,O159&lt;&gt;""),O159,"")</f>
        <v/>
      </c>
      <c r="S159" s="22" t="n">
        <f aca="false">S158+IF(R159="",0,R159)</f>
        <v>0</v>
      </c>
      <c r="T159" s="22" t="n">
        <f aca="false">MAX(T158,S159)</f>
        <v>0</v>
      </c>
      <c r="U159" s="22" t="n">
        <f aca="false">T159-S159</f>
        <v>0</v>
      </c>
      <c r="V159" s="16"/>
    </row>
    <row r="160" customFormat="false" ht="15" hidden="false" customHeight="true" outlineLevel="0" collapsed="false">
      <c r="A160" s="4" t="str">
        <f aca="false">IF(B160="","",ROW()-1)</f>
        <v/>
      </c>
      <c r="B160" s="15"/>
      <c r="C160" s="16"/>
      <c r="D160" s="17"/>
      <c r="E160" s="17"/>
      <c r="F160" s="17"/>
      <c r="G160" s="18"/>
      <c r="H160" s="17"/>
      <c r="I160" s="16"/>
      <c r="J160" s="16"/>
      <c r="K160" s="17"/>
      <c r="L160" s="19"/>
      <c r="M160" s="20" t="b">
        <f aca="false">AND(B160&lt;&gt;"",B160&gt;='Read Me'!$B$5,H160&lt;&gt;"")</f>
        <v>0</v>
      </c>
      <c r="N160" s="21" t="str">
        <f aca="false">IF(OR(D160="",E160=""),"",ABS(D160-E160))</f>
        <v/>
      </c>
      <c r="O160" s="22" t="str">
        <f aca="false">IF(OR(H160="",N160="",N160=0),"",IF(C160="BUY",1,-1)*(H160-D160)/N160)</f>
        <v/>
      </c>
      <c r="P160" s="23" t="str">
        <f aca="false">IF(OR(H160="",D160="",K160=""),"",IF(C160="BUY",1,-1)*(H160-D160)*K160*'Read Me'!$B$10-L160)</f>
        <v/>
      </c>
      <c r="Q160" s="4" t="str">
        <f aca="false">IF(O160="","",IF(O160&gt;0,"WIN","LOSS"))</f>
        <v/>
      </c>
      <c r="R160" s="22" t="str">
        <f aca="false">IF(AND(M160,O160&lt;&gt;""),O160,"")</f>
        <v/>
      </c>
      <c r="S160" s="22" t="n">
        <f aca="false">S159+IF(R160="",0,R160)</f>
        <v>0</v>
      </c>
      <c r="T160" s="22" t="n">
        <f aca="false">MAX(T159,S160)</f>
        <v>0</v>
      </c>
      <c r="U160" s="22" t="n">
        <f aca="false">T160-S160</f>
        <v>0</v>
      </c>
      <c r="V160" s="16"/>
    </row>
    <row r="161" customFormat="false" ht="15" hidden="false" customHeight="true" outlineLevel="0" collapsed="false">
      <c r="A161" s="4" t="str">
        <f aca="false">IF(B161="","",ROW()-1)</f>
        <v/>
      </c>
      <c r="B161" s="15"/>
      <c r="C161" s="16"/>
      <c r="D161" s="17"/>
      <c r="E161" s="17"/>
      <c r="F161" s="17"/>
      <c r="G161" s="18"/>
      <c r="H161" s="17"/>
      <c r="I161" s="16"/>
      <c r="J161" s="16"/>
      <c r="K161" s="17"/>
      <c r="L161" s="19"/>
      <c r="M161" s="20" t="b">
        <f aca="false">AND(B161&lt;&gt;"",B161&gt;='Read Me'!$B$5,H161&lt;&gt;"")</f>
        <v>0</v>
      </c>
      <c r="N161" s="21" t="str">
        <f aca="false">IF(OR(D161="",E161=""),"",ABS(D161-E161))</f>
        <v/>
      </c>
      <c r="O161" s="22" t="str">
        <f aca="false">IF(OR(H161="",N161="",N161=0),"",IF(C161="BUY",1,-1)*(H161-D161)/N161)</f>
        <v/>
      </c>
      <c r="P161" s="23" t="str">
        <f aca="false">IF(OR(H161="",D161="",K161=""),"",IF(C161="BUY",1,-1)*(H161-D161)*K161*'Read Me'!$B$10-L161)</f>
        <v/>
      </c>
      <c r="Q161" s="4" t="str">
        <f aca="false">IF(O161="","",IF(O161&gt;0,"WIN","LOSS"))</f>
        <v/>
      </c>
      <c r="R161" s="22" t="str">
        <f aca="false">IF(AND(M161,O161&lt;&gt;""),O161,"")</f>
        <v/>
      </c>
      <c r="S161" s="22" t="n">
        <f aca="false">S160+IF(R161="",0,R161)</f>
        <v>0</v>
      </c>
      <c r="T161" s="22" t="n">
        <f aca="false">MAX(T160,S161)</f>
        <v>0</v>
      </c>
      <c r="U161" s="22" t="n">
        <f aca="false">T161-S161</f>
        <v>0</v>
      </c>
      <c r="V161" s="16"/>
    </row>
    <row r="162" customFormat="false" ht="15" hidden="false" customHeight="true" outlineLevel="0" collapsed="false">
      <c r="A162" s="4" t="str">
        <f aca="false">IF(B162="","",ROW()-1)</f>
        <v/>
      </c>
      <c r="B162" s="15"/>
      <c r="C162" s="16"/>
      <c r="D162" s="17"/>
      <c r="E162" s="17"/>
      <c r="F162" s="17"/>
      <c r="G162" s="18"/>
      <c r="H162" s="17"/>
      <c r="I162" s="16"/>
      <c r="J162" s="16"/>
      <c r="K162" s="17"/>
      <c r="L162" s="19"/>
      <c r="M162" s="20" t="b">
        <f aca="false">AND(B162&lt;&gt;"",B162&gt;='Read Me'!$B$5,H162&lt;&gt;"")</f>
        <v>0</v>
      </c>
      <c r="N162" s="21" t="str">
        <f aca="false">IF(OR(D162="",E162=""),"",ABS(D162-E162))</f>
        <v/>
      </c>
      <c r="O162" s="22" t="str">
        <f aca="false">IF(OR(H162="",N162="",N162=0),"",IF(C162="BUY",1,-1)*(H162-D162)/N162)</f>
        <v/>
      </c>
      <c r="P162" s="23" t="str">
        <f aca="false">IF(OR(H162="",D162="",K162=""),"",IF(C162="BUY",1,-1)*(H162-D162)*K162*'Read Me'!$B$10-L162)</f>
        <v/>
      </c>
      <c r="Q162" s="4" t="str">
        <f aca="false">IF(O162="","",IF(O162&gt;0,"WIN","LOSS"))</f>
        <v/>
      </c>
      <c r="R162" s="22" t="str">
        <f aca="false">IF(AND(M162,O162&lt;&gt;""),O162,"")</f>
        <v/>
      </c>
      <c r="S162" s="22" t="n">
        <f aca="false">S161+IF(R162="",0,R162)</f>
        <v>0</v>
      </c>
      <c r="T162" s="22" t="n">
        <f aca="false">MAX(T161,S162)</f>
        <v>0</v>
      </c>
      <c r="U162" s="22" t="n">
        <f aca="false">T162-S162</f>
        <v>0</v>
      </c>
      <c r="V162" s="16"/>
    </row>
    <row r="163" customFormat="false" ht="15" hidden="false" customHeight="true" outlineLevel="0" collapsed="false">
      <c r="A163" s="4" t="str">
        <f aca="false">IF(B163="","",ROW()-1)</f>
        <v/>
      </c>
      <c r="B163" s="15"/>
      <c r="C163" s="16"/>
      <c r="D163" s="17"/>
      <c r="E163" s="17"/>
      <c r="F163" s="17"/>
      <c r="G163" s="18"/>
      <c r="H163" s="17"/>
      <c r="I163" s="16"/>
      <c r="J163" s="16"/>
      <c r="K163" s="17"/>
      <c r="L163" s="19"/>
      <c r="M163" s="20" t="b">
        <f aca="false">AND(B163&lt;&gt;"",B163&gt;='Read Me'!$B$5,H163&lt;&gt;"")</f>
        <v>0</v>
      </c>
      <c r="N163" s="21" t="str">
        <f aca="false">IF(OR(D163="",E163=""),"",ABS(D163-E163))</f>
        <v/>
      </c>
      <c r="O163" s="22" t="str">
        <f aca="false">IF(OR(H163="",N163="",N163=0),"",IF(C163="BUY",1,-1)*(H163-D163)/N163)</f>
        <v/>
      </c>
      <c r="P163" s="23" t="str">
        <f aca="false">IF(OR(H163="",D163="",K163=""),"",IF(C163="BUY",1,-1)*(H163-D163)*K163*'Read Me'!$B$10-L163)</f>
        <v/>
      </c>
      <c r="Q163" s="4" t="str">
        <f aca="false">IF(O163="","",IF(O163&gt;0,"WIN","LOSS"))</f>
        <v/>
      </c>
      <c r="R163" s="22" t="str">
        <f aca="false">IF(AND(M163,O163&lt;&gt;""),O163,"")</f>
        <v/>
      </c>
      <c r="S163" s="22" t="n">
        <f aca="false">S162+IF(R163="",0,R163)</f>
        <v>0</v>
      </c>
      <c r="T163" s="22" t="n">
        <f aca="false">MAX(T162,S163)</f>
        <v>0</v>
      </c>
      <c r="U163" s="22" t="n">
        <f aca="false">T163-S163</f>
        <v>0</v>
      </c>
      <c r="V163" s="16"/>
    </row>
    <row r="164" customFormat="false" ht="15" hidden="false" customHeight="true" outlineLevel="0" collapsed="false">
      <c r="A164" s="4" t="str">
        <f aca="false">IF(B164="","",ROW()-1)</f>
        <v/>
      </c>
      <c r="B164" s="15"/>
      <c r="C164" s="16"/>
      <c r="D164" s="17"/>
      <c r="E164" s="17"/>
      <c r="F164" s="17"/>
      <c r="G164" s="18"/>
      <c r="H164" s="17"/>
      <c r="I164" s="16"/>
      <c r="J164" s="16"/>
      <c r="K164" s="17"/>
      <c r="L164" s="19"/>
      <c r="M164" s="20" t="b">
        <f aca="false">AND(B164&lt;&gt;"",B164&gt;='Read Me'!$B$5,H164&lt;&gt;"")</f>
        <v>0</v>
      </c>
      <c r="N164" s="21" t="str">
        <f aca="false">IF(OR(D164="",E164=""),"",ABS(D164-E164))</f>
        <v/>
      </c>
      <c r="O164" s="22" t="str">
        <f aca="false">IF(OR(H164="",N164="",N164=0),"",IF(C164="BUY",1,-1)*(H164-D164)/N164)</f>
        <v/>
      </c>
      <c r="P164" s="23" t="str">
        <f aca="false">IF(OR(H164="",D164="",K164=""),"",IF(C164="BUY",1,-1)*(H164-D164)*K164*'Read Me'!$B$10-L164)</f>
        <v/>
      </c>
      <c r="Q164" s="4" t="str">
        <f aca="false">IF(O164="","",IF(O164&gt;0,"WIN","LOSS"))</f>
        <v/>
      </c>
      <c r="R164" s="22" t="str">
        <f aca="false">IF(AND(M164,O164&lt;&gt;""),O164,"")</f>
        <v/>
      </c>
      <c r="S164" s="22" t="n">
        <f aca="false">S163+IF(R164="",0,R164)</f>
        <v>0</v>
      </c>
      <c r="T164" s="22" t="n">
        <f aca="false">MAX(T163,S164)</f>
        <v>0</v>
      </c>
      <c r="U164" s="22" t="n">
        <f aca="false">T164-S164</f>
        <v>0</v>
      </c>
      <c r="V164" s="16"/>
    </row>
    <row r="165" customFormat="false" ht="15" hidden="false" customHeight="true" outlineLevel="0" collapsed="false">
      <c r="A165" s="4" t="str">
        <f aca="false">IF(B165="","",ROW()-1)</f>
        <v/>
      </c>
      <c r="B165" s="15"/>
      <c r="C165" s="16"/>
      <c r="D165" s="17"/>
      <c r="E165" s="17"/>
      <c r="F165" s="17"/>
      <c r="G165" s="18"/>
      <c r="H165" s="17"/>
      <c r="I165" s="16"/>
      <c r="J165" s="16"/>
      <c r="K165" s="17"/>
      <c r="L165" s="19"/>
      <c r="M165" s="20" t="b">
        <f aca="false">AND(B165&lt;&gt;"",B165&gt;='Read Me'!$B$5,H165&lt;&gt;"")</f>
        <v>0</v>
      </c>
      <c r="N165" s="21" t="str">
        <f aca="false">IF(OR(D165="",E165=""),"",ABS(D165-E165))</f>
        <v/>
      </c>
      <c r="O165" s="22" t="str">
        <f aca="false">IF(OR(H165="",N165="",N165=0),"",IF(C165="BUY",1,-1)*(H165-D165)/N165)</f>
        <v/>
      </c>
      <c r="P165" s="23" t="str">
        <f aca="false">IF(OR(H165="",D165="",K165=""),"",IF(C165="BUY",1,-1)*(H165-D165)*K165*'Read Me'!$B$10-L165)</f>
        <v/>
      </c>
      <c r="Q165" s="4" t="str">
        <f aca="false">IF(O165="","",IF(O165&gt;0,"WIN","LOSS"))</f>
        <v/>
      </c>
      <c r="R165" s="22" t="str">
        <f aca="false">IF(AND(M165,O165&lt;&gt;""),O165,"")</f>
        <v/>
      </c>
      <c r="S165" s="22" t="n">
        <f aca="false">S164+IF(R165="",0,R165)</f>
        <v>0</v>
      </c>
      <c r="T165" s="22" t="n">
        <f aca="false">MAX(T164,S165)</f>
        <v>0</v>
      </c>
      <c r="U165" s="22" t="n">
        <f aca="false">T165-S165</f>
        <v>0</v>
      </c>
      <c r="V165" s="16"/>
    </row>
    <row r="166" customFormat="false" ht="15" hidden="false" customHeight="true" outlineLevel="0" collapsed="false">
      <c r="A166" s="4" t="str">
        <f aca="false">IF(B166="","",ROW()-1)</f>
        <v/>
      </c>
      <c r="B166" s="15"/>
      <c r="C166" s="16"/>
      <c r="D166" s="17"/>
      <c r="E166" s="17"/>
      <c r="F166" s="17"/>
      <c r="G166" s="18"/>
      <c r="H166" s="17"/>
      <c r="I166" s="16"/>
      <c r="J166" s="16"/>
      <c r="K166" s="17"/>
      <c r="L166" s="19"/>
      <c r="M166" s="20" t="b">
        <f aca="false">AND(B166&lt;&gt;"",B166&gt;='Read Me'!$B$5,H166&lt;&gt;"")</f>
        <v>0</v>
      </c>
      <c r="N166" s="21" t="str">
        <f aca="false">IF(OR(D166="",E166=""),"",ABS(D166-E166))</f>
        <v/>
      </c>
      <c r="O166" s="22" t="str">
        <f aca="false">IF(OR(H166="",N166="",N166=0),"",IF(C166="BUY",1,-1)*(H166-D166)/N166)</f>
        <v/>
      </c>
      <c r="P166" s="23" t="str">
        <f aca="false">IF(OR(H166="",D166="",K166=""),"",IF(C166="BUY",1,-1)*(H166-D166)*K166*'Read Me'!$B$10-L166)</f>
        <v/>
      </c>
      <c r="Q166" s="4" t="str">
        <f aca="false">IF(O166="","",IF(O166&gt;0,"WIN","LOSS"))</f>
        <v/>
      </c>
      <c r="R166" s="22" t="str">
        <f aca="false">IF(AND(M166,O166&lt;&gt;""),O166,"")</f>
        <v/>
      </c>
      <c r="S166" s="22" t="n">
        <f aca="false">S165+IF(R166="",0,R166)</f>
        <v>0</v>
      </c>
      <c r="T166" s="22" t="n">
        <f aca="false">MAX(T165,S166)</f>
        <v>0</v>
      </c>
      <c r="U166" s="22" t="n">
        <f aca="false">T166-S166</f>
        <v>0</v>
      </c>
      <c r="V166" s="16"/>
    </row>
    <row r="167" customFormat="false" ht="15" hidden="false" customHeight="true" outlineLevel="0" collapsed="false">
      <c r="A167" s="4" t="str">
        <f aca="false">IF(B167="","",ROW()-1)</f>
        <v/>
      </c>
      <c r="B167" s="15"/>
      <c r="C167" s="16"/>
      <c r="D167" s="17"/>
      <c r="E167" s="17"/>
      <c r="F167" s="17"/>
      <c r="G167" s="18"/>
      <c r="H167" s="17"/>
      <c r="I167" s="16"/>
      <c r="J167" s="16"/>
      <c r="K167" s="17"/>
      <c r="L167" s="19"/>
      <c r="M167" s="20" t="b">
        <f aca="false">AND(B167&lt;&gt;"",B167&gt;='Read Me'!$B$5,H167&lt;&gt;"")</f>
        <v>0</v>
      </c>
      <c r="N167" s="21" t="str">
        <f aca="false">IF(OR(D167="",E167=""),"",ABS(D167-E167))</f>
        <v/>
      </c>
      <c r="O167" s="22" t="str">
        <f aca="false">IF(OR(H167="",N167="",N167=0),"",IF(C167="BUY",1,-1)*(H167-D167)/N167)</f>
        <v/>
      </c>
      <c r="P167" s="23" t="str">
        <f aca="false">IF(OR(H167="",D167="",K167=""),"",IF(C167="BUY",1,-1)*(H167-D167)*K167*'Read Me'!$B$10-L167)</f>
        <v/>
      </c>
      <c r="Q167" s="4" t="str">
        <f aca="false">IF(O167="","",IF(O167&gt;0,"WIN","LOSS"))</f>
        <v/>
      </c>
      <c r="R167" s="22" t="str">
        <f aca="false">IF(AND(M167,O167&lt;&gt;""),O167,"")</f>
        <v/>
      </c>
      <c r="S167" s="22" t="n">
        <f aca="false">S166+IF(R167="",0,R167)</f>
        <v>0</v>
      </c>
      <c r="T167" s="22" t="n">
        <f aca="false">MAX(T166,S167)</f>
        <v>0</v>
      </c>
      <c r="U167" s="22" t="n">
        <f aca="false">T167-S167</f>
        <v>0</v>
      </c>
      <c r="V167" s="16"/>
    </row>
    <row r="168" customFormat="false" ht="15" hidden="false" customHeight="true" outlineLevel="0" collapsed="false">
      <c r="A168" s="4" t="str">
        <f aca="false">IF(B168="","",ROW()-1)</f>
        <v/>
      </c>
      <c r="B168" s="15"/>
      <c r="C168" s="16"/>
      <c r="D168" s="17"/>
      <c r="E168" s="17"/>
      <c r="F168" s="17"/>
      <c r="G168" s="18"/>
      <c r="H168" s="17"/>
      <c r="I168" s="16"/>
      <c r="J168" s="16"/>
      <c r="K168" s="17"/>
      <c r="L168" s="19"/>
      <c r="M168" s="20" t="b">
        <f aca="false">AND(B168&lt;&gt;"",B168&gt;='Read Me'!$B$5,H168&lt;&gt;"")</f>
        <v>0</v>
      </c>
      <c r="N168" s="21" t="str">
        <f aca="false">IF(OR(D168="",E168=""),"",ABS(D168-E168))</f>
        <v/>
      </c>
      <c r="O168" s="22" t="str">
        <f aca="false">IF(OR(H168="",N168="",N168=0),"",IF(C168="BUY",1,-1)*(H168-D168)/N168)</f>
        <v/>
      </c>
      <c r="P168" s="23" t="str">
        <f aca="false">IF(OR(H168="",D168="",K168=""),"",IF(C168="BUY",1,-1)*(H168-D168)*K168*'Read Me'!$B$10-L168)</f>
        <v/>
      </c>
      <c r="Q168" s="4" t="str">
        <f aca="false">IF(O168="","",IF(O168&gt;0,"WIN","LOSS"))</f>
        <v/>
      </c>
      <c r="R168" s="22" t="str">
        <f aca="false">IF(AND(M168,O168&lt;&gt;""),O168,"")</f>
        <v/>
      </c>
      <c r="S168" s="22" t="n">
        <f aca="false">S167+IF(R168="",0,R168)</f>
        <v>0</v>
      </c>
      <c r="T168" s="22" t="n">
        <f aca="false">MAX(T167,S168)</f>
        <v>0</v>
      </c>
      <c r="U168" s="22" t="n">
        <f aca="false">T168-S168</f>
        <v>0</v>
      </c>
      <c r="V168" s="16"/>
    </row>
    <row r="169" customFormat="false" ht="15" hidden="false" customHeight="true" outlineLevel="0" collapsed="false">
      <c r="A169" s="4" t="str">
        <f aca="false">IF(B169="","",ROW()-1)</f>
        <v/>
      </c>
      <c r="B169" s="15"/>
      <c r="C169" s="16"/>
      <c r="D169" s="17"/>
      <c r="E169" s="17"/>
      <c r="F169" s="17"/>
      <c r="G169" s="18"/>
      <c r="H169" s="17"/>
      <c r="I169" s="16"/>
      <c r="J169" s="16"/>
      <c r="K169" s="17"/>
      <c r="L169" s="19"/>
      <c r="M169" s="20" t="b">
        <f aca="false">AND(B169&lt;&gt;"",B169&gt;='Read Me'!$B$5,H169&lt;&gt;"")</f>
        <v>0</v>
      </c>
      <c r="N169" s="21" t="str">
        <f aca="false">IF(OR(D169="",E169=""),"",ABS(D169-E169))</f>
        <v/>
      </c>
      <c r="O169" s="22" t="str">
        <f aca="false">IF(OR(H169="",N169="",N169=0),"",IF(C169="BUY",1,-1)*(H169-D169)/N169)</f>
        <v/>
      </c>
      <c r="P169" s="23" t="str">
        <f aca="false">IF(OR(H169="",D169="",K169=""),"",IF(C169="BUY",1,-1)*(H169-D169)*K169*'Read Me'!$B$10-L169)</f>
        <v/>
      </c>
      <c r="Q169" s="4" t="str">
        <f aca="false">IF(O169="","",IF(O169&gt;0,"WIN","LOSS"))</f>
        <v/>
      </c>
      <c r="R169" s="22" t="str">
        <f aca="false">IF(AND(M169,O169&lt;&gt;""),O169,"")</f>
        <v/>
      </c>
      <c r="S169" s="22" t="n">
        <f aca="false">S168+IF(R169="",0,R169)</f>
        <v>0</v>
      </c>
      <c r="T169" s="22" t="n">
        <f aca="false">MAX(T168,S169)</f>
        <v>0</v>
      </c>
      <c r="U169" s="22" t="n">
        <f aca="false">T169-S169</f>
        <v>0</v>
      </c>
      <c r="V169" s="16"/>
    </row>
    <row r="170" customFormat="false" ht="15" hidden="false" customHeight="true" outlineLevel="0" collapsed="false">
      <c r="A170" s="4" t="str">
        <f aca="false">IF(B170="","",ROW()-1)</f>
        <v/>
      </c>
      <c r="B170" s="15"/>
      <c r="C170" s="16"/>
      <c r="D170" s="17"/>
      <c r="E170" s="17"/>
      <c r="F170" s="17"/>
      <c r="G170" s="18"/>
      <c r="H170" s="17"/>
      <c r="I170" s="16"/>
      <c r="J170" s="16"/>
      <c r="K170" s="17"/>
      <c r="L170" s="19"/>
      <c r="M170" s="20" t="b">
        <f aca="false">AND(B170&lt;&gt;"",B170&gt;='Read Me'!$B$5,H170&lt;&gt;"")</f>
        <v>0</v>
      </c>
      <c r="N170" s="21" t="str">
        <f aca="false">IF(OR(D170="",E170=""),"",ABS(D170-E170))</f>
        <v/>
      </c>
      <c r="O170" s="22" t="str">
        <f aca="false">IF(OR(H170="",N170="",N170=0),"",IF(C170="BUY",1,-1)*(H170-D170)/N170)</f>
        <v/>
      </c>
      <c r="P170" s="23" t="str">
        <f aca="false">IF(OR(H170="",D170="",K170=""),"",IF(C170="BUY",1,-1)*(H170-D170)*K170*'Read Me'!$B$10-L170)</f>
        <v/>
      </c>
      <c r="Q170" s="4" t="str">
        <f aca="false">IF(O170="","",IF(O170&gt;0,"WIN","LOSS"))</f>
        <v/>
      </c>
      <c r="R170" s="22" t="str">
        <f aca="false">IF(AND(M170,O170&lt;&gt;""),O170,"")</f>
        <v/>
      </c>
      <c r="S170" s="22" t="n">
        <f aca="false">S169+IF(R170="",0,R170)</f>
        <v>0</v>
      </c>
      <c r="T170" s="22" t="n">
        <f aca="false">MAX(T169,S170)</f>
        <v>0</v>
      </c>
      <c r="U170" s="22" t="n">
        <f aca="false">T170-S170</f>
        <v>0</v>
      </c>
      <c r="V170" s="16"/>
    </row>
    <row r="171" customFormat="false" ht="15" hidden="false" customHeight="true" outlineLevel="0" collapsed="false">
      <c r="A171" s="4" t="str">
        <f aca="false">IF(B171="","",ROW()-1)</f>
        <v/>
      </c>
      <c r="B171" s="15"/>
      <c r="C171" s="16"/>
      <c r="D171" s="17"/>
      <c r="E171" s="17"/>
      <c r="F171" s="17"/>
      <c r="G171" s="18"/>
      <c r="H171" s="17"/>
      <c r="I171" s="16"/>
      <c r="J171" s="16"/>
      <c r="K171" s="17"/>
      <c r="L171" s="19"/>
      <c r="M171" s="20" t="b">
        <f aca="false">AND(B171&lt;&gt;"",B171&gt;='Read Me'!$B$5,H171&lt;&gt;"")</f>
        <v>0</v>
      </c>
      <c r="N171" s="21" t="str">
        <f aca="false">IF(OR(D171="",E171=""),"",ABS(D171-E171))</f>
        <v/>
      </c>
      <c r="O171" s="22" t="str">
        <f aca="false">IF(OR(H171="",N171="",N171=0),"",IF(C171="BUY",1,-1)*(H171-D171)/N171)</f>
        <v/>
      </c>
      <c r="P171" s="23" t="str">
        <f aca="false">IF(OR(H171="",D171="",K171=""),"",IF(C171="BUY",1,-1)*(H171-D171)*K171*'Read Me'!$B$10-L171)</f>
        <v/>
      </c>
      <c r="Q171" s="4" t="str">
        <f aca="false">IF(O171="","",IF(O171&gt;0,"WIN","LOSS"))</f>
        <v/>
      </c>
      <c r="R171" s="22" t="str">
        <f aca="false">IF(AND(M171,O171&lt;&gt;""),O171,"")</f>
        <v/>
      </c>
      <c r="S171" s="22" t="n">
        <f aca="false">S170+IF(R171="",0,R171)</f>
        <v>0</v>
      </c>
      <c r="T171" s="22" t="n">
        <f aca="false">MAX(T170,S171)</f>
        <v>0</v>
      </c>
      <c r="U171" s="22" t="n">
        <f aca="false">T171-S171</f>
        <v>0</v>
      </c>
      <c r="V171" s="16"/>
    </row>
    <row r="172" customFormat="false" ht="15" hidden="false" customHeight="true" outlineLevel="0" collapsed="false">
      <c r="A172" s="4" t="str">
        <f aca="false">IF(B172="","",ROW()-1)</f>
        <v/>
      </c>
      <c r="B172" s="15"/>
      <c r="C172" s="16"/>
      <c r="D172" s="17"/>
      <c r="E172" s="17"/>
      <c r="F172" s="17"/>
      <c r="G172" s="18"/>
      <c r="H172" s="17"/>
      <c r="I172" s="16"/>
      <c r="J172" s="16"/>
      <c r="K172" s="17"/>
      <c r="L172" s="19"/>
      <c r="M172" s="20" t="b">
        <f aca="false">AND(B172&lt;&gt;"",B172&gt;='Read Me'!$B$5,H172&lt;&gt;"")</f>
        <v>0</v>
      </c>
      <c r="N172" s="21" t="str">
        <f aca="false">IF(OR(D172="",E172=""),"",ABS(D172-E172))</f>
        <v/>
      </c>
      <c r="O172" s="22" t="str">
        <f aca="false">IF(OR(H172="",N172="",N172=0),"",IF(C172="BUY",1,-1)*(H172-D172)/N172)</f>
        <v/>
      </c>
      <c r="P172" s="23" t="str">
        <f aca="false">IF(OR(H172="",D172="",K172=""),"",IF(C172="BUY",1,-1)*(H172-D172)*K172*'Read Me'!$B$10-L172)</f>
        <v/>
      </c>
      <c r="Q172" s="4" t="str">
        <f aca="false">IF(O172="","",IF(O172&gt;0,"WIN","LOSS"))</f>
        <v/>
      </c>
      <c r="R172" s="22" t="str">
        <f aca="false">IF(AND(M172,O172&lt;&gt;""),O172,"")</f>
        <v/>
      </c>
      <c r="S172" s="22" t="n">
        <f aca="false">S171+IF(R172="",0,R172)</f>
        <v>0</v>
      </c>
      <c r="T172" s="22" t="n">
        <f aca="false">MAX(T171,S172)</f>
        <v>0</v>
      </c>
      <c r="U172" s="22" t="n">
        <f aca="false">T172-S172</f>
        <v>0</v>
      </c>
      <c r="V172" s="16"/>
    </row>
    <row r="173" customFormat="false" ht="15" hidden="false" customHeight="true" outlineLevel="0" collapsed="false">
      <c r="A173" s="4" t="str">
        <f aca="false">IF(B173="","",ROW()-1)</f>
        <v/>
      </c>
      <c r="B173" s="15"/>
      <c r="C173" s="16"/>
      <c r="D173" s="17"/>
      <c r="E173" s="17"/>
      <c r="F173" s="17"/>
      <c r="G173" s="18"/>
      <c r="H173" s="17"/>
      <c r="I173" s="16"/>
      <c r="J173" s="16"/>
      <c r="K173" s="17"/>
      <c r="L173" s="19"/>
      <c r="M173" s="20" t="b">
        <f aca="false">AND(B173&lt;&gt;"",B173&gt;='Read Me'!$B$5,H173&lt;&gt;"")</f>
        <v>0</v>
      </c>
      <c r="N173" s="21" t="str">
        <f aca="false">IF(OR(D173="",E173=""),"",ABS(D173-E173))</f>
        <v/>
      </c>
      <c r="O173" s="22" t="str">
        <f aca="false">IF(OR(H173="",N173="",N173=0),"",IF(C173="BUY",1,-1)*(H173-D173)/N173)</f>
        <v/>
      </c>
      <c r="P173" s="23" t="str">
        <f aca="false">IF(OR(H173="",D173="",K173=""),"",IF(C173="BUY",1,-1)*(H173-D173)*K173*'Read Me'!$B$10-L173)</f>
        <v/>
      </c>
      <c r="Q173" s="4" t="str">
        <f aca="false">IF(O173="","",IF(O173&gt;0,"WIN","LOSS"))</f>
        <v/>
      </c>
      <c r="R173" s="22" t="str">
        <f aca="false">IF(AND(M173,O173&lt;&gt;""),O173,"")</f>
        <v/>
      </c>
      <c r="S173" s="22" t="n">
        <f aca="false">S172+IF(R173="",0,R173)</f>
        <v>0</v>
      </c>
      <c r="T173" s="22" t="n">
        <f aca="false">MAX(T172,S173)</f>
        <v>0</v>
      </c>
      <c r="U173" s="22" t="n">
        <f aca="false">T173-S173</f>
        <v>0</v>
      </c>
      <c r="V173" s="16"/>
    </row>
    <row r="174" customFormat="false" ht="15" hidden="false" customHeight="true" outlineLevel="0" collapsed="false">
      <c r="A174" s="4" t="str">
        <f aca="false">IF(B174="","",ROW()-1)</f>
        <v/>
      </c>
      <c r="B174" s="15"/>
      <c r="C174" s="16"/>
      <c r="D174" s="17"/>
      <c r="E174" s="17"/>
      <c r="F174" s="17"/>
      <c r="G174" s="18"/>
      <c r="H174" s="17"/>
      <c r="I174" s="16"/>
      <c r="J174" s="16"/>
      <c r="K174" s="17"/>
      <c r="L174" s="19"/>
      <c r="M174" s="20" t="b">
        <f aca="false">AND(B174&lt;&gt;"",B174&gt;='Read Me'!$B$5,H174&lt;&gt;"")</f>
        <v>0</v>
      </c>
      <c r="N174" s="21" t="str">
        <f aca="false">IF(OR(D174="",E174=""),"",ABS(D174-E174))</f>
        <v/>
      </c>
      <c r="O174" s="22" t="str">
        <f aca="false">IF(OR(H174="",N174="",N174=0),"",IF(C174="BUY",1,-1)*(H174-D174)/N174)</f>
        <v/>
      </c>
      <c r="P174" s="23" t="str">
        <f aca="false">IF(OR(H174="",D174="",K174=""),"",IF(C174="BUY",1,-1)*(H174-D174)*K174*'Read Me'!$B$10-L174)</f>
        <v/>
      </c>
      <c r="Q174" s="4" t="str">
        <f aca="false">IF(O174="","",IF(O174&gt;0,"WIN","LOSS"))</f>
        <v/>
      </c>
      <c r="R174" s="22" t="str">
        <f aca="false">IF(AND(M174,O174&lt;&gt;""),O174,"")</f>
        <v/>
      </c>
      <c r="S174" s="22" t="n">
        <f aca="false">S173+IF(R174="",0,R174)</f>
        <v>0</v>
      </c>
      <c r="T174" s="22" t="n">
        <f aca="false">MAX(T173,S174)</f>
        <v>0</v>
      </c>
      <c r="U174" s="22" t="n">
        <f aca="false">T174-S174</f>
        <v>0</v>
      </c>
      <c r="V174" s="16"/>
    </row>
    <row r="175" customFormat="false" ht="15" hidden="false" customHeight="true" outlineLevel="0" collapsed="false">
      <c r="A175" s="4" t="str">
        <f aca="false">IF(B175="","",ROW()-1)</f>
        <v/>
      </c>
      <c r="B175" s="15"/>
      <c r="C175" s="16"/>
      <c r="D175" s="17"/>
      <c r="E175" s="17"/>
      <c r="F175" s="17"/>
      <c r="G175" s="18"/>
      <c r="H175" s="17"/>
      <c r="I175" s="16"/>
      <c r="J175" s="16"/>
      <c r="K175" s="17"/>
      <c r="L175" s="19"/>
      <c r="M175" s="20" t="b">
        <f aca="false">AND(B175&lt;&gt;"",B175&gt;='Read Me'!$B$5,H175&lt;&gt;"")</f>
        <v>0</v>
      </c>
      <c r="N175" s="21" t="str">
        <f aca="false">IF(OR(D175="",E175=""),"",ABS(D175-E175))</f>
        <v/>
      </c>
      <c r="O175" s="22" t="str">
        <f aca="false">IF(OR(H175="",N175="",N175=0),"",IF(C175="BUY",1,-1)*(H175-D175)/N175)</f>
        <v/>
      </c>
      <c r="P175" s="23" t="str">
        <f aca="false">IF(OR(H175="",D175="",K175=""),"",IF(C175="BUY",1,-1)*(H175-D175)*K175*'Read Me'!$B$10-L175)</f>
        <v/>
      </c>
      <c r="Q175" s="4" t="str">
        <f aca="false">IF(O175="","",IF(O175&gt;0,"WIN","LOSS"))</f>
        <v/>
      </c>
      <c r="R175" s="22" t="str">
        <f aca="false">IF(AND(M175,O175&lt;&gt;""),O175,"")</f>
        <v/>
      </c>
      <c r="S175" s="22" t="n">
        <f aca="false">S174+IF(R175="",0,R175)</f>
        <v>0</v>
      </c>
      <c r="T175" s="22" t="n">
        <f aca="false">MAX(T174,S175)</f>
        <v>0</v>
      </c>
      <c r="U175" s="22" t="n">
        <f aca="false">T175-S175</f>
        <v>0</v>
      </c>
      <c r="V175" s="16"/>
    </row>
    <row r="176" customFormat="false" ht="15" hidden="false" customHeight="true" outlineLevel="0" collapsed="false">
      <c r="A176" s="4" t="str">
        <f aca="false">IF(B176="","",ROW()-1)</f>
        <v/>
      </c>
      <c r="B176" s="15"/>
      <c r="C176" s="16"/>
      <c r="D176" s="17"/>
      <c r="E176" s="17"/>
      <c r="F176" s="17"/>
      <c r="G176" s="18"/>
      <c r="H176" s="17"/>
      <c r="I176" s="16"/>
      <c r="J176" s="16"/>
      <c r="K176" s="17"/>
      <c r="L176" s="19"/>
      <c r="M176" s="20" t="b">
        <f aca="false">AND(B176&lt;&gt;"",B176&gt;='Read Me'!$B$5,H176&lt;&gt;"")</f>
        <v>0</v>
      </c>
      <c r="N176" s="21" t="str">
        <f aca="false">IF(OR(D176="",E176=""),"",ABS(D176-E176))</f>
        <v/>
      </c>
      <c r="O176" s="22" t="str">
        <f aca="false">IF(OR(H176="",N176="",N176=0),"",IF(C176="BUY",1,-1)*(H176-D176)/N176)</f>
        <v/>
      </c>
      <c r="P176" s="23" t="str">
        <f aca="false">IF(OR(H176="",D176="",K176=""),"",IF(C176="BUY",1,-1)*(H176-D176)*K176*'Read Me'!$B$10-L176)</f>
        <v/>
      </c>
      <c r="Q176" s="4" t="str">
        <f aca="false">IF(O176="","",IF(O176&gt;0,"WIN","LOSS"))</f>
        <v/>
      </c>
      <c r="R176" s="22" t="str">
        <f aca="false">IF(AND(M176,O176&lt;&gt;""),O176,"")</f>
        <v/>
      </c>
      <c r="S176" s="22" t="n">
        <f aca="false">S175+IF(R176="",0,R176)</f>
        <v>0</v>
      </c>
      <c r="T176" s="22" t="n">
        <f aca="false">MAX(T175,S176)</f>
        <v>0</v>
      </c>
      <c r="U176" s="22" t="n">
        <f aca="false">T176-S176</f>
        <v>0</v>
      </c>
      <c r="V176" s="16"/>
    </row>
    <row r="177" customFormat="false" ht="15" hidden="false" customHeight="true" outlineLevel="0" collapsed="false">
      <c r="A177" s="4" t="str">
        <f aca="false">IF(B177="","",ROW()-1)</f>
        <v/>
      </c>
      <c r="B177" s="15"/>
      <c r="C177" s="16"/>
      <c r="D177" s="17"/>
      <c r="E177" s="17"/>
      <c r="F177" s="17"/>
      <c r="G177" s="18"/>
      <c r="H177" s="17"/>
      <c r="I177" s="16"/>
      <c r="J177" s="16"/>
      <c r="K177" s="17"/>
      <c r="L177" s="19"/>
      <c r="M177" s="20" t="b">
        <f aca="false">AND(B177&lt;&gt;"",B177&gt;='Read Me'!$B$5,H177&lt;&gt;"")</f>
        <v>0</v>
      </c>
      <c r="N177" s="21" t="str">
        <f aca="false">IF(OR(D177="",E177=""),"",ABS(D177-E177))</f>
        <v/>
      </c>
      <c r="O177" s="22" t="str">
        <f aca="false">IF(OR(H177="",N177="",N177=0),"",IF(C177="BUY",1,-1)*(H177-D177)/N177)</f>
        <v/>
      </c>
      <c r="P177" s="23" t="str">
        <f aca="false">IF(OR(H177="",D177="",K177=""),"",IF(C177="BUY",1,-1)*(H177-D177)*K177*'Read Me'!$B$10-L177)</f>
        <v/>
      </c>
      <c r="Q177" s="4" t="str">
        <f aca="false">IF(O177="","",IF(O177&gt;0,"WIN","LOSS"))</f>
        <v/>
      </c>
      <c r="R177" s="22" t="str">
        <f aca="false">IF(AND(M177,O177&lt;&gt;""),O177,"")</f>
        <v/>
      </c>
      <c r="S177" s="22" t="n">
        <f aca="false">S176+IF(R177="",0,R177)</f>
        <v>0</v>
      </c>
      <c r="T177" s="22" t="n">
        <f aca="false">MAX(T176,S177)</f>
        <v>0</v>
      </c>
      <c r="U177" s="22" t="n">
        <f aca="false">T177-S177</f>
        <v>0</v>
      </c>
      <c r="V177" s="16"/>
    </row>
    <row r="178" customFormat="false" ht="15" hidden="false" customHeight="true" outlineLevel="0" collapsed="false">
      <c r="A178" s="4" t="str">
        <f aca="false">IF(B178="","",ROW()-1)</f>
        <v/>
      </c>
      <c r="B178" s="15"/>
      <c r="C178" s="16"/>
      <c r="D178" s="17"/>
      <c r="E178" s="17"/>
      <c r="F178" s="17"/>
      <c r="G178" s="18"/>
      <c r="H178" s="17"/>
      <c r="I178" s="16"/>
      <c r="J178" s="16"/>
      <c r="K178" s="17"/>
      <c r="L178" s="19"/>
      <c r="M178" s="20" t="b">
        <f aca="false">AND(B178&lt;&gt;"",B178&gt;='Read Me'!$B$5,H178&lt;&gt;"")</f>
        <v>0</v>
      </c>
      <c r="N178" s="21" t="str">
        <f aca="false">IF(OR(D178="",E178=""),"",ABS(D178-E178))</f>
        <v/>
      </c>
      <c r="O178" s="22" t="str">
        <f aca="false">IF(OR(H178="",N178="",N178=0),"",IF(C178="BUY",1,-1)*(H178-D178)/N178)</f>
        <v/>
      </c>
      <c r="P178" s="23" t="str">
        <f aca="false">IF(OR(H178="",D178="",K178=""),"",IF(C178="BUY",1,-1)*(H178-D178)*K178*'Read Me'!$B$10-L178)</f>
        <v/>
      </c>
      <c r="Q178" s="4" t="str">
        <f aca="false">IF(O178="","",IF(O178&gt;0,"WIN","LOSS"))</f>
        <v/>
      </c>
      <c r="R178" s="22" t="str">
        <f aca="false">IF(AND(M178,O178&lt;&gt;""),O178,"")</f>
        <v/>
      </c>
      <c r="S178" s="22" t="n">
        <f aca="false">S177+IF(R178="",0,R178)</f>
        <v>0</v>
      </c>
      <c r="T178" s="22" t="n">
        <f aca="false">MAX(T177,S178)</f>
        <v>0</v>
      </c>
      <c r="U178" s="22" t="n">
        <f aca="false">T178-S178</f>
        <v>0</v>
      </c>
      <c r="V178" s="16"/>
    </row>
    <row r="179" customFormat="false" ht="15" hidden="false" customHeight="true" outlineLevel="0" collapsed="false">
      <c r="A179" s="4" t="str">
        <f aca="false">IF(B179="","",ROW()-1)</f>
        <v/>
      </c>
      <c r="B179" s="15"/>
      <c r="C179" s="16"/>
      <c r="D179" s="17"/>
      <c r="E179" s="17"/>
      <c r="F179" s="17"/>
      <c r="G179" s="18"/>
      <c r="H179" s="17"/>
      <c r="I179" s="16"/>
      <c r="J179" s="16"/>
      <c r="K179" s="17"/>
      <c r="L179" s="19"/>
      <c r="M179" s="20" t="b">
        <f aca="false">AND(B179&lt;&gt;"",B179&gt;='Read Me'!$B$5,H179&lt;&gt;"")</f>
        <v>0</v>
      </c>
      <c r="N179" s="21" t="str">
        <f aca="false">IF(OR(D179="",E179=""),"",ABS(D179-E179))</f>
        <v/>
      </c>
      <c r="O179" s="22" t="str">
        <f aca="false">IF(OR(H179="",N179="",N179=0),"",IF(C179="BUY",1,-1)*(H179-D179)/N179)</f>
        <v/>
      </c>
      <c r="P179" s="23" t="str">
        <f aca="false">IF(OR(H179="",D179="",K179=""),"",IF(C179="BUY",1,-1)*(H179-D179)*K179*'Read Me'!$B$10-L179)</f>
        <v/>
      </c>
      <c r="Q179" s="4" t="str">
        <f aca="false">IF(O179="","",IF(O179&gt;0,"WIN","LOSS"))</f>
        <v/>
      </c>
      <c r="R179" s="22" t="str">
        <f aca="false">IF(AND(M179,O179&lt;&gt;""),O179,"")</f>
        <v/>
      </c>
      <c r="S179" s="22" t="n">
        <f aca="false">S178+IF(R179="",0,R179)</f>
        <v>0</v>
      </c>
      <c r="T179" s="22" t="n">
        <f aca="false">MAX(T178,S179)</f>
        <v>0</v>
      </c>
      <c r="U179" s="22" t="n">
        <f aca="false">T179-S179</f>
        <v>0</v>
      </c>
      <c r="V179" s="16"/>
    </row>
    <row r="180" customFormat="false" ht="15" hidden="false" customHeight="true" outlineLevel="0" collapsed="false">
      <c r="A180" s="4" t="str">
        <f aca="false">IF(B180="","",ROW()-1)</f>
        <v/>
      </c>
      <c r="B180" s="15"/>
      <c r="C180" s="16"/>
      <c r="D180" s="17"/>
      <c r="E180" s="17"/>
      <c r="F180" s="17"/>
      <c r="G180" s="18"/>
      <c r="H180" s="17"/>
      <c r="I180" s="16"/>
      <c r="J180" s="16"/>
      <c r="K180" s="17"/>
      <c r="L180" s="19"/>
      <c r="M180" s="20" t="b">
        <f aca="false">AND(B180&lt;&gt;"",B180&gt;='Read Me'!$B$5,H180&lt;&gt;"")</f>
        <v>0</v>
      </c>
      <c r="N180" s="21" t="str">
        <f aca="false">IF(OR(D180="",E180=""),"",ABS(D180-E180))</f>
        <v/>
      </c>
      <c r="O180" s="22" t="str">
        <f aca="false">IF(OR(H180="",N180="",N180=0),"",IF(C180="BUY",1,-1)*(H180-D180)/N180)</f>
        <v/>
      </c>
      <c r="P180" s="23" t="str">
        <f aca="false">IF(OR(H180="",D180="",K180=""),"",IF(C180="BUY",1,-1)*(H180-D180)*K180*'Read Me'!$B$10-L180)</f>
        <v/>
      </c>
      <c r="Q180" s="4" t="str">
        <f aca="false">IF(O180="","",IF(O180&gt;0,"WIN","LOSS"))</f>
        <v/>
      </c>
      <c r="R180" s="22" t="str">
        <f aca="false">IF(AND(M180,O180&lt;&gt;""),O180,"")</f>
        <v/>
      </c>
      <c r="S180" s="22" t="n">
        <f aca="false">S179+IF(R180="",0,R180)</f>
        <v>0</v>
      </c>
      <c r="T180" s="22" t="n">
        <f aca="false">MAX(T179,S180)</f>
        <v>0</v>
      </c>
      <c r="U180" s="22" t="n">
        <f aca="false">T180-S180</f>
        <v>0</v>
      </c>
      <c r="V180" s="16"/>
    </row>
    <row r="181" customFormat="false" ht="15" hidden="false" customHeight="true" outlineLevel="0" collapsed="false">
      <c r="A181" s="4" t="str">
        <f aca="false">IF(B181="","",ROW()-1)</f>
        <v/>
      </c>
      <c r="B181" s="15"/>
      <c r="C181" s="16"/>
      <c r="D181" s="17"/>
      <c r="E181" s="17"/>
      <c r="F181" s="17"/>
      <c r="G181" s="18"/>
      <c r="H181" s="17"/>
      <c r="I181" s="16"/>
      <c r="J181" s="16"/>
      <c r="K181" s="17"/>
      <c r="L181" s="19"/>
      <c r="M181" s="20" t="b">
        <f aca="false">AND(B181&lt;&gt;"",B181&gt;='Read Me'!$B$5,H181&lt;&gt;"")</f>
        <v>0</v>
      </c>
      <c r="N181" s="21" t="str">
        <f aca="false">IF(OR(D181="",E181=""),"",ABS(D181-E181))</f>
        <v/>
      </c>
      <c r="O181" s="22" t="str">
        <f aca="false">IF(OR(H181="",N181="",N181=0),"",IF(C181="BUY",1,-1)*(H181-D181)/N181)</f>
        <v/>
      </c>
      <c r="P181" s="23" t="str">
        <f aca="false">IF(OR(H181="",D181="",K181=""),"",IF(C181="BUY",1,-1)*(H181-D181)*K181*'Read Me'!$B$10-L181)</f>
        <v/>
      </c>
      <c r="Q181" s="4" t="str">
        <f aca="false">IF(O181="","",IF(O181&gt;0,"WIN","LOSS"))</f>
        <v/>
      </c>
      <c r="R181" s="22" t="str">
        <f aca="false">IF(AND(M181,O181&lt;&gt;""),O181,"")</f>
        <v/>
      </c>
      <c r="S181" s="22" t="n">
        <f aca="false">S180+IF(R181="",0,R181)</f>
        <v>0</v>
      </c>
      <c r="T181" s="22" t="n">
        <f aca="false">MAX(T180,S181)</f>
        <v>0</v>
      </c>
      <c r="U181" s="22" t="n">
        <f aca="false">T181-S181</f>
        <v>0</v>
      </c>
      <c r="V181" s="16"/>
    </row>
    <row r="182" customFormat="false" ht="15" hidden="false" customHeight="true" outlineLevel="0" collapsed="false">
      <c r="A182" s="4" t="str">
        <f aca="false">IF(B182="","",ROW()-1)</f>
        <v/>
      </c>
      <c r="B182" s="15"/>
      <c r="C182" s="16"/>
      <c r="D182" s="17"/>
      <c r="E182" s="17"/>
      <c r="F182" s="17"/>
      <c r="G182" s="18"/>
      <c r="H182" s="17"/>
      <c r="I182" s="16"/>
      <c r="J182" s="16"/>
      <c r="K182" s="17"/>
      <c r="L182" s="19"/>
      <c r="M182" s="20" t="b">
        <f aca="false">AND(B182&lt;&gt;"",B182&gt;='Read Me'!$B$5,H182&lt;&gt;"")</f>
        <v>0</v>
      </c>
      <c r="N182" s="21" t="str">
        <f aca="false">IF(OR(D182="",E182=""),"",ABS(D182-E182))</f>
        <v/>
      </c>
      <c r="O182" s="22" t="str">
        <f aca="false">IF(OR(H182="",N182="",N182=0),"",IF(C182="BUY",1,-1)*(H182-D182)/N182)</f>
        <v/>
      </c>
      <c r="P182" s="23" t="str">
        <f aca="false">IF(OR(H182="",D182="",K182=""),"",IF(C182="BUY",1,-1)*(H182-D182)*K182*'Read Me'!$B$10-L182)</f>
        <v/>
      </c>
      <c r="Q182" s="4" t="str">
        <f aca="false">IF(O182="","",IF(O182&gt;0,"WIN","LOSS"))</f>
        <v/>
      </c>
      <c r="R182" s="22" t="str">
        <f aca="false">IF(AND(M182,O182&lt;&gt;""),O182,"")</f>
        <v/>
      </c>
      <c r="S182" s="22" t="n">
        <f aca="false">S181+IF(R182="",0,R182)</f>
        <v>0</v>
      </c>
      <c r="T182" s="22" t="n">
        <f aca="false">MAX(T181,S182)</f>
        <v>0</v>
      </c>
      <c r="U182" s="22" t="n">
        <f aca="false">T182-S182</f>
        <v>0</v>
      </c>
      <c r="V182" s="16"/>
    </row>
    <row r="183" customFormat="false" ht="15" hidden="false" customHeight="true" outlineLevel="0" collapsed="false">
      <c r="A183" s="4" t="str">
        <f aca="false">IF(B183="","",ROW()-1)</f>
        <v/>
      </c>
      <c r="B183" s="15"/>
      <c r="C183" s="16"/>
      <c r="D183" s="17"/>
      <c r="E183" s="17"/>
      <c r="F183" s="17"/>
      <c r="G183" s="18"/>
      <c r="H183" s="17"/>
      <c r="I183" s="16"/>
      <c r="J183" s="16"/>
      <c r="K183" s="17"/>
      <c r="L183" s="19"/>
      <c r="M183" s="20" t="b">
        <f aca="false">AND(B183&lt;&gt;"",B183&gt;='Read Me'!$B$5,H183&lt;&gt;"")</f>
        <v>0</v>
      </c>
      <c r="N183" s="21" t="str">
        <f aca="false">IF(OR(D183="",E183=""),"",ABS(D183-E183))</f>
        <v/>
      </c>
      <c r="O183" s="22" t="str">
        <f aca="false">IF(OR(H183="",N183="",N183=0),"",IF(C183="BUY",1,-1)*(H183-D183)/N183)</f>
        <v/>
      </c>
      <c r="P183" s="23" t="str">
        <f aca="false">IF(OR(H183="",D183="",K183=""),"",IF(C183="BUY",1,-1)*(H183-D183)*K183*'Read Me'!$B$10-L183)</f>
        <v/>
      </c>
      <c r="Q183" s="4" t="str">
        <f aca="false">IF(O183="","",IF(O183&gt;0,"WIN","LOSS"))</f>
        <v/>
      </c>
      <c r="R183" s="22" t="str">
        <f aca="false">IF(AND(M183,O183&lt;&gt;""),O183,"")</f>
        <v/>
      </c>
      <c r="S183" s="22" t="n">
        <f aca="false">S182+IF(R183="",0,R183)</f>
        <v>0</v>
      </c>
      <c r="T183" s="22" t="n">
        <f aca="false">MAX(T182,S183)</f>
        <v>0</v>
      </c>
      <c r="U183" s="22" t="n">
        <f aca="false">T183-S183</f>
        <v>0</v>
      </c>
      <c r="V183" s="16"/>
    </row>
    <row r="184" customFormat="false" ht="15" hidden="false" customHeight="true" outlineLevel="0" collapsed="false">
      <c r="A184" s="4" t="str">
        <f aca="false">IF(B184="","",ROW()-1)</f>
        <v/>
      </c>
      <c r="B184" s="15"/>
      <c r="C184" s="16"/>
      <c r="D184" s="17"/>
      <c r="E184" s="17"/>
      <c r="F184" s="17"/>
      <c r="G184" s="18"/>
      <c r="H184" s="17"/>
      <c r="I184" s="16"/>
      <c r="J184" s="16"/>
      <c r="K184" s="17"/>
      <c r="L184" s="19"/>
      <c r="M184" s="20" t="b">
        <f aca="false">AND(B184&lt;&gt;"",B184&gt;='Read Me'!$B$5,H184&lt;&gt;"")</f>
        <v>0</v>
      </c>
      <c r="N184" s="21" t="str">
        <f aca="false">IF(OR(D184="",E184=""),"",ABS(D184-E184))</f>
        <v/>
      </c>
      <c r="O184" s="22" t="str">
        <f aca="false">IF(OR(H184="",N184="",N184=0),"",IF(C184="BUY",1,-1)*(H184-D184)/N184)</f>
        <v/>
      </c>
      <c r="P184" s="23" t="str">
        <f aca="false">IF(OR(H184="",D184="",K184=""),"",IF(C184="BUY",1,-1)*(H184-D184)*K184*'Read Me'!$B$10-L184)</f>
        <v/>
      </c>
      <c r="Q184" s="4" t="str">
        <f aca="false">IF(O184="","",IF(O184&gt;0,"WIN","LOSS"))</f>
        <v/>
      </c>
      <c r="R184" s="22" t="str">
        <f aca="false">IF(AND(M184,O184&lt;&gt;""),O184,"")</f>
        <v/>
      </c>
      <c r="S184" s="22" t="n">
        <f aca="false">S183+IF(R184="",0,R184)</f>
        <v>0</v>
      </c>
      <c r="T184" s="22" t="n">
        <f aca="false">MAX(T183,S184)</f>
        <v>0</v>
      </c>
      <c r="U184" s="22" t="n">
        <f aca="false">T184-S184</f>
        <v>0</v>
      </c>
      <c r="V184" s="16"/>
    </row>
    <row r="185" customFormat="false" ht="15" hidden="false" customHeight="true" outlineLevel="0" collapsed="false">
      <c r="A185" s="4" t="str">
        <f aca="false">IF(B185="","",ROW()-1)</f>
        <v/>
      </c>
      <c r="B185" s="15"/>
      <c r="C185" s="16"/>
      <c r="D185" s="17"/>
      <c r="E185" s="17"/>
      <c r="F185" s="17"/>
      <c r="G185" s="18"/>
      <c r="H185" s="17"/>
      <c r="I185" s="16"/>
      <c r="J185" s="16"/>
      <c r="K185" s="17"/>
      <c r="L185" s="19"/>
      <c r="M185" s="20" t="b">
        <f aca="false">AND(B185&lt;&gt;"",B185&gt;='Read Me'!$B$5,H185&lt;&gt;"")</f>
        <v>0</v>
      </c>
      <c r="N185" s="21" t="str">
        <f aca="false">IF(OR(D185="",E185=""),"",ABS(D185-E185))</f>
        <v/>
      </c>
      <c r="O185" s="22" t="str">
        <f aca="false">IF(OR(H185="",N185="",N185=0),"",IF(C185="BUY",1,-1)*(H185-D185)/N185)</f>
        <v/>
      </c>
      <c r="P185" s="23" t="str">
        <f aca="false">IF(OR(H185="",D185="",K185=""),"",IF(C185="BUY",1,-1)*(H185-D185)*K185*'Read Me'!$B$10-L185)</f>
        <v/>
      </c>
      <c r="Q185" s="4" t="str">
        <f aca="false">IF(O185="","",IF(O185&gt;0,"WIN","LOSS"))</f>
        <v/>
      </c>
      <c r="R185" s="22" t="str">
        <f aca="false">IF(AND(M185,O185&lt;&gt;""),O185,"")</f>
        <v/>
      </c>
      <c r="S185" s="22" t="n">
        <f aca="false">S184+IF(R185="",0,R185)</f>
        <v>0</v>
      </c>
      <c r="T185" s="22" t="n">
        <f aca="false">MAX(T184,S185)</f>
        <v>0</v>
      </c>
      <c r="U185" s="22" t="n">
        <f aca="false">T185-S185</f>
        <v>0</v>
      </c>
      <c r="V185" s="16"/>
    </row>
    <row r="186" customFormat="false" ht="15" hidden="false" customHeight="true" outlineLevel="0" collapsed="false">
      <c r="A186" s="4" t="str">
        <f aca="false">IF(B186="","",ROW()-1)</f>
        <v/>
      </c>
      <c r="B186" s="15"/>
      <c r="C186" s="16"/>
      <c r="D186" s="17"/>
      <c r="E186" s="17"/>
      <c r="F186" s="17"/>
      <c r="G186" s="18"/>
      <c r="H186" s="17"/>
      <c r="I186" s="16"/>
      <c r="J186" s="16"/>
      <c r="K186" s="17"/>
      <c r="L186" s="19"/>
      <c r="M186" s="20" t="b">
        <f aca="false">AND(B186&lt;&gt;"",B186&gt;='Read Me'!$B$5,H186&lt;&gt;"")</f>
        <v>0</v>
      </c>
      <c r="N186" s="21" t="str">
        <f aca="false">IF(OR(D186="",E186=""),"",ABS(D186-E186))</f>
        <v/>
      </c>
      <c r="O186" s="22" t="str">
        <f aca="false">IF(OR(H186="",N186="",N186=0),"",IF(C186="BUY",1,-1)*(H186-D186)/N186)</f>
        <v/>
      </c>
      <c r="P186" s="23" t="str">
        <f aca="false">IF(OR(H186="",D186="",K186=""),"",IF(C186="BUY",1,-1)*(H186-D186)*K186*'Read Me'!$B$10-L186)</f>
        <v/>
      </c>
      <c r="Q186" s="4" t="str">
        <f aca="false">IF(O186="","",IF(O186&gt;0,"WIN","LOSS"))</f>
        <v/>
      </c>
      <c r="R186" s="22" t="str">
        <f aca="false">IF(AND(M186,O186&lt;&gt;""),O186,"")</f>
        <v/>
      </c>
      <c r="S186" s="22" t="n">
        <f aca="false">S185+IF(R186="",0,R186)</f>
        <v>0</v>
      </c>
      <c r="T186" s="22" t="n">
        <f aca="false">MAX(T185,S186)</f>
        <v>0</v>
      </c>
      <c r="U186" s="22" t="n">
        <f aca="false">T186-S186</f>
        <v>0</v>
      </c>
      <c r="V186" s="16"/>
    </row>
    <row r="187" customFormat="false" ht="15" hidden="false" customHeight="true" outlineLevel="0" collapsed="false">
      <c r="A187" s="4" t="str">
        <f aca="false">IF(B187="","",ROW()-1)</f>
        <v/>
      </c>
      <c r="B187" s="15"/>
      <c r="C187" s="16"/>
      <c r="D187" s="17"/>
      <c r="E187" s="17"/>
      <c r="F187" s="17"/>
      <c r="G187" s="18"/>
      <c r="H187" s="17"/>
      <c r="I187" s="16"/>
      <c r="J187" s="16"/>
      <c r="K187" s="17"/>
      <c r="L187" s="19"/>
      <c r="M187" s="20" t="b">
        <f aca="false">AND(B187&lt;&gt;"",B187&gt;='Read Me'!$B$5,H187&lt;&gt;"")</f>
        <v>0</v>
      </c>
      <c r="N187" s="21" t="str">
        <f aca="false">IF(OR(D187="",E187=""),"",ABS(D187-E187))</f>
        <v/>
      </c>
      <c r="O187" s="22" t="str">
        <f aca="false">IF(OR(H187="",N187="",N187=0),"",IF(C187="BUY",1,-1)*(H187-D187)/N187)</f>
        <v/>
      </c>
      <c r="P187" s="23" t="str">
        <f aca="false">IF(OR(H187="",D187="",K187=""),"",IF(C187="BUY",1,-1)*(H187-D187)*K187*'Read Me'!$B$10-L187)</f>
        <v/>
      </c>
      <c r="Q187" s="4" t="str">
        <f aca="false">IF(O187="","",IF(O187&gt;0,"WIN","LOSS"))</f>
        <v/>
      </c>
      <c r="R187" s="22" t="str">
        <f aca="false">IF(AND(M187,O187&lt;&gt;""),O187,"")</f>
        <v/>
      </c>
      <c r="S187" s="22" t="n">
        <f aca="false">S186+IF(R187="",0,R187)</f>
        <v>0</v>
      </c>
      <c r="T187" s="22" t="n">
        <f aca="false">MAX(T186,S187)</f>
        <v>0</v>
      </c>
      <c r="U187" s="22" t="n">
        <f aca="false">T187-S187</f>
        <v>0</v>
      </c>
      <c r="V187" s="16"/>
    </row>
    <row r="188" customFormat="false" ht="15" hidden="false" customHeight="true" outlineLevel="0" collapsed="false">
      <c r="A188" s="4" t="str">
        <f aca="false">IF(B188="","",ROW()-1)</f>
        <v/>
      </c>
      <c r="B188" s="15"/>
      <c r="C188" s="16"/>
      <c r="D188" s="17"/>
      <c r="E188" s="17"/>
      <c r="F188" s="17"/>
      <c r="G188" s="18"/>
      <c r="H188" s="17"/>
      <c r="I188" s="16"/>
      <c r="J188" s="16"/>
      <c r="K188" s="17"/>
      <c r="L188" s="19"/>
      <c r="M188" s="20" t="b">
        <f aca="false">AND(B188&lt;&gt;"",B188&gt;='Read Me'!$B$5,H188&lt;&gt;"")</f>
        <v>0</v>
      </c>
      <c r="N188" s="21" t="str">
        <f aca="false">IF(OR(D188="",E188=""),"",ABS(D188-E188))</f>
        <v/>
      </c>
      <c r="O188" s="22" t="str">
        <f aca="false">IF(OR(H188="",N188="",N188=0),"",IF(C188="BUY",1,-1)*(H188-D188)/N188)</f>
        <v/>
      </c>
      <c r="P188" s="23" t="str">
        <f aca="false">IF(OR(H188="",D188="",K188=""),"",IF(C188="BUY",1,-1)*(H188-D188)*K188*'Read Me'!$B$10-L188)</f>
        <v/>
      </c>
      <c r="Q188" s="4" t="str">
        <f aca="false">IF(O188="","",IF(O188&gt;0,"WIN","LOSS"))</f>
        <v/>
      </c>
      <c r="R188" s="22" t="str">
        <f aca="false">IF(AND(M188,O188&lt;&gt;""),O188,"")</f>
        <v/>
      </c>
      <c r="S188" s="22" t="n">
        <f aca="false">S187+IF(R188="",0,R188)</f>
        <v>0</v>
      </c>
      <c r="T188" s="22" t="n">
        <f aca="false">MAX(T187,S188)</f>
        <v>0</v>
      </c>
      <c r="U188" s="22" t="n">
        <f aca="false">T188-S188</f>
        <v>0</v>
      </c>
      <c r="V188" s="16"/>
    </row>
    <row r="189" customFormat="false" ht="15" hidden="false" customHeight="true" outlineLevel="0" collapsed="false">
      <c r="A189" s="4" t="str">
        <f aca="false">IF(B189="","",ROW()-1)</f>
        <v/>
      </c>
      <c r="B189" s="15"/>
      <c r="C189" s="16"/>
      <c r="D189" s="17"/>
      <c r="E189" s="17"/>
      <c r="F189" s="17"/>
      <c r="G189" s="18"/>
      <c r="H189" s="17"/>
      <c r="I189" s="16"/>
      <c r="J189" s="16"/>
      <c r="K189" s="17"/>
      <c r="L189" s="19"/>
      <c r="M189" s="20" t="b">
        <f aca="false">AND(B189&lt;&gt;"",B189&gt;='Read Me'!$B$5,H189&lt;&gt;"")</f>
        <v>0</v>
      </c>
      <c r="N189" s="21" t="str">
        <f aca="false">IF(OR(D189="",E189=""),"",ABS(D189-E189))</f>
        <v/>
      </c>
      <c r="O189" s="22" t="str">
        <f aca="false">IF(OR(H189="",N189="",N189=0),"",IF(C189="BUY",1,-1)*(H189-D189)/N189)</f>
        <v/>
      </c>
      <c r="P189" s="23" t="str">
        <f aca="false">IF(OR(H189="",D189="",K189=""),"",IF(C189="BUY",1,-1)*(H189-D189)*K189*'Read Me'!$B$10-L189)</f>
        <v/>
      </c>
      <c r="Q189" s="4" t="str">
        <f aca="false">IF(O189="","",IF(O189&gt;0,"WIN","LOSS"))</f>
        <v/>
      </c>
      <c r="R189" s="22" t="str">
        <f aca="false">IF(AND(M189,O189&lt;&gt;""),O189,"")</f>
        <v/>
      </c>
      <c r="S189" s="22" t="n">
        <f aca="false">S188+IF(R189="",0,R189)</f>
        <v>0</v>
      </c>
      <c r="T189" s="22" t="n">
        <f aca="false">MAX(T188,S189)</f>
        <v>0</v>
      </c>
      <c r="U189" s="22" t="n">
        <f aca="false">T189-S189</f>
        <v>0</v>
      </c>
      <c r="V189" s="16"/>
    </row>
    <row r="190" customFormat="false" ht="15" hidden="false" customHeight="true" outlineLevel="0" collapsed="false">
      <c r="A190" s="4" t="str">
        <f aca="false">IF(B190="","",ROW()-1)</f>
        <v/>
      </c>
      <c r="B190" s="15"/>
      <c r="C190" s="16"/>
      <c r="D190" s="17"/>
      <c r="E190" s="17"/>
      <c r="F190" s="17"/>
      <c r="G190" s="18"/>
      <c r="H190" s="17"/>
      <c r="I190" s="16"/>
      <c r="J190" s="16"/>
      <c r="K190" s="17"/>
      <c r="L190" s="19"/>
      <c r="M190" s="20" t="b">
        <f aca="false">AND(B190&lt;&gt;"",B190&gt;='Read Me'!$B$5,H190&lt;&gt;"")</f>
        <v>0</v>
      </c>
      <c r="N190" s="21" t="str">
        <f aca="false">IF(OR(D190="",E190=""),"",ABS(D190-E190))</f>
        <v/>
      </c>
      <c r="O190" s="22" t="str">
        <f aca="false">IF(OR(H190="",N190="",N190=0),"",IF(C190="BUY",1,-1)*(H190-D190)/N190)</f>
        <v/>
      </c>
      <c r="P190" s="23" t="str">
        <f aca="false">IF(OR(H190="",D190="",K190=""),"",IF(C190="BUY",1,-1)*(H190-D190)*K190*'Read Me'!$B$10-L190)</f>
        <v/>
      </c>
      <c r="Q190" s="4" t="str">
        <f aca="false">IF(O190="","",IF(O190&gt;0,"WIN","LOSS"))</f>
        <v/>
      </c>
      <c r="R190" s="22" t="str">
        <f aca="false">IF(AND(M190,O190&lt;&gt;""),O190,"")</f>
        <v/>
      </c>
      <c r="S190" s="22" t="n">
        <f aca="false">S189+IF(R190="",0,R190)</f>
        <v>0</v>
      </c>
      <c r="T190" s="22" t="n">
        <f aca="false">MAX(T189,S190)</f>
        <v>0</v>
      </c>
      <c r="U190" s="22" t="n">
        <f aca="false">T190-S190</f>
        <v>0</v>
      </c>
      <c r="V190" s="16"/>
    </row>
    <row r="191" customFormat="false" ht="15" hidden="false" customHeight="true" outlineLevel="0" collapsed="false">
      <c r="A191" s="4" t="str">
        <f aca="false">IF(B191="","",ROW()-1)</f>
        <v/>
      </c>
      <c r="B191" s="15"/>
      <c r="C191" s="16"/>
      <c r="D191" s="17"/>
      <c r="E191" s="17"/>
      <c r="F191" s="17"/>
      <c r="G191" s="18"/>
      <c r="H191" s="17"/>
      <c r="I191" s="16"/>
      <c r="J191" s="16"/>
      <c r="K191" s="17"/>
      <c r="L191" s="19"/>
      <c r="M191" s="20" t="b">
        <f aca="false">AND(B191&lt;&gt;"",B191&gt;='Read Me'!$B$5,H191&lt;&gt;"")</f>
        <v>0</v>
      </c>
      <c r="N191" s="21" t="str">
        <f aca="false">IF(OR(D191="",E191=""),"",ABS(D191-E191))</f>
        <v/>
      </c>
      <c r="O191" s="22" t="str">
        <f aca="false">IF(OR(H191="",N191="",N191=0),"",IF(C191="BUY",1,-1)*(H191-D191)/N191)</f>
        <v/>
      </c>
      <c r="P191" s="23" t="str">
        <f aca="false">IF(OR(H191="",D191="",K191=""),"",IF(C191="BUY",1,-1)*(H191-D191)*K191*'Read Me'!$B$10-L191)</f>
        <v/>
      </c>
      <c r="Q191" s="4" t="str">
        <f aca="false">IF(O191="","",IF(O191&gt;0,"WIN","LOSS"))</f>
        <v/>
      </c>
      <c r="R191" s="22" t="str">
        <f aca="false">IF(AND(M191,O191&lt;&gt;""),O191,"")</f>
        <v/>
      </c>
      <c r="S191" s="22" t="n">
        <f aca="false">S190+IF(R191="",0,R191)</f>
        <v>0</v>
      </c>
      <c r="T191" s="22" t="n">
        <f aca="false">MAX(T190,S191)</f>
        <v>0</v>
      </c>
      <c r="U191" s="22" t="n">
        <f aca="false">T191-S191</f>
        <v>0</v>
      </c>
      <c r="V191" s="16"/>
    </row>
    <row r="192" customFormat="false" ht="15" hidden="false" customHeight="true" outlineLevel="0" collapsed="false">
      <c r="A192" s="4" t="str">
        <f aca="false">IF(B192="","",ROW()-1)</f>
        <v/>
      </c>
      <c r="B192" s="15"/>
      <c r="C192" s="16"/>
      <c r="D192" s="17"/>
      <c r="E192" s="17"/>
      <c r="F192" s="17"/>
      <c r="G192" s="18"/>
      <c r="H192" s="17"/>
      <c r="I192" s="16"/>
      <c r="J192" s="16"/>
      <c r="K192" s="17"/>
      <c r="L192" s="19"/>
      <c r="M192" s="20" t="b">
        <f aca="false">AND(B192&lt;&gt;"",B192&gt;='Read Me'!$B$5,H192&lt;&gt;"")</f>
        <v>0</v>
      </c>
      <c r="N192" s="21" t="str">
        <f aca="false">IF(OR(D192="",E192=""),"",ABS(D192-E192))</f>
        <v/>
      </c>
      <c r="O192" s="22" t="str">
        <f aca="false">IF(OR(H192="",N192="",N192=0),"",IF(C192="BUY",1,-1)*(H192-D192)/N192)</f>
        <v/>
      </c>
      <c r="P192" s="23" t="str">
        <f aca="false">IF(OR(H192="",D192="",K192=""),"",IF(C192="BUY",1,-1)*(H192-D192)*K192*'Read Me'!$B$10-L192)</f>
        <v/>
      </c>
      <c r="Q192" s="4" t="str">
        <f aca="false">IF(O192="","",IF(O192&gt;0,"WIN","LOSS"))</f>
        <v/>
      </c>
      <c r="R192" s="22" t="str">
        <f aca="false">IF(AND(M192,O192&lt;&gt;""),O192,"")</f>
        <v/>
      </c>
      <c r="S192" s="22" t="n">
        <f aca="false">S191+IF(R192="",0,R192)</f>
        <v>0</v>
      </c>
      <c r="T192" s="22" t="n">
        <f aca="false">MAX(T191,S192)</f>
        <v>0</v>
      </c>
      <c r="U192" s="22" t="n">
        <f aca="false">T192-S192</f>
        <v>0</v>
      </c>
      <c r="V192" s="16"/>
    </row>
    <row r="193" customFormat="false" ht="15" hidden="false" customHeight="true" outlineLevel="0" collapsed="false">
      <c r="A193" s="4" t="str">
        <f aca="false">IF(B193="","",ROW()-1)</f>
        <v/>
      </c>
      <c r="B193" s="15"/>
      <c r="C193" s="16"/>
      <c r="D193" s="17"/>
      <c r="E193" s="17"/>
      <c r="F193" s="17"/>
      <c r="G193" s="18"/>
      <c r="H193" s="17"/>
      <c r="I193" s="16"/>
      <c r="J193" s="16"/>
      <c r="K193" s="17"/>
      <c r="L193" s="19"/>
      <c r="M193" s="20" t="b">
        <f aca="false">AND(B193&lt;&gt;"",B193&gt;='Read Me'!$B$5,H193&lt;&gt;"")</f>
        <v>0</v>
      </c>
      <c r="N193" s="21" t="str">
        <f aca="false">IF(OR(D193="",E193=""),"",ABS(D193-E193))</f>
        <v/>
      </c>
      <c r="O193" s="22" t="str">
        <f aca="false">IF(OR(H193="",N193="",N193=0),"",IF(C193="BUY",1,-1)*(H193-D193)/N193)</f>
        <v/>
      </c>
      <c r="P193" s="23" t="str">
        <f aca="false">IF(OR(H193="",D193="",K193=""),"",IF(C193="BUY",1,-1)*(H193-D193)*K193*'Read Me'!$B$10-L193)</f>
        <v/>
      </c>
      <c r="Q193" s="4" t="str">
        <f aca="false">IF(O193="","",IF(O193&gt;0,"WIN","LOSS"))</f>
        <v/>
      </c>
      <c r="R193" s="22" t="str">
        <f aca="false">IF(AND(M193,O193&lt;&gt;""),O193,"")</f>
        <v/>
      </c>
      <c r="S193" s="22" t="n">
        <f aca="false">S192+IF(R193="",0,R193)</f>
        <v>0</v>
      </c>
      <c r="T193" s="22" t="n">
        <f aca="false">MAX(T192,S193)</f>
        <v>0</v>
      </c>
      <c r="U193" s="22" t="n">
        <f aca="false">T193-S193</f>
        <v>0</v>
      </c>
      <c r="V193" s="16"/>
    </row>
    <row r="194" customFormat="false" ht="15" hidden="false" customHeight="true" outlineLevel="0" collapsed="false">
      <c r="A194" s="4" t="str">
        <f aca="false">IF(B194="","",ROW()-1)</f>
        <v/>
      </c>
      <c r="B194" s="15"/>
      <c r="C194" s="16"/>
      <c r="D194" s="17"/>
      <c r="E194" s="17"/>
      <c r="F194" s="17"/>
      <c r="G194" s="18"/>
      <c r="H194" s="17"/>
      <c r="I194" s="16"/>
      <c r="J194" s="16"/>
      <c r="K194" s="17"/>
      <c r="L194" s="19"/>
      <c r="M194" s="20" t="b">
        <f aca="false">AND(B194&lt;&gt;"",B194&gt;='Read Me'!$B$5,H194&lt;&gt;"")</f>
        <v>0</v>
      </c>
      <c r="N194" s="21" t="str">
        <f aca="false">IF(OR(D194="",E194=""),"",ABS(D194-E194))</f>
        <v/>
      </c>
      <c r="O194" s="22" t="str">
        <f aca="false">IF(OR(H194="",N194="",N194=0),"",IF(C194="BUY",1,-1)*(H194-D194)/N194)</f>
        <v/>
      </c>
      <c r="P194" s="23" t="str">
        <f aca="false">IF(OR(H194="",D194="",K194=""),"",IF(C194="BUY",1,-1)*(H194-D194)*K194*'Read Me'!$B$10-L194)</f>
        <v/>
      </c>
      <c r="Q194" s="4" t="str">
        <f aca="false">IF(O194="","",IF(O194&gt;0,"WIN","LOSS"))</f>
        <v/>
      </c>
      <c r="R194" s="22" t="str">
        <f aca="false">IF(AND(M194,O194&lt;&gt;""),O194,"")</f>
        <v/>
      </c>
      <c r="S194" s="22" t="n">
        <f aca="false">S193+IF(R194="",0,R194)</f>
        <v>0</v>
      </c>
      <c r="T194" s="22" t="n">
        <f aca="false">MAX(T193,S194)</f>
        <v>0</v>
      </c>
      <c r="U194" s="22" t="n">
        <f aca="false">T194-S194</f>
        <v>0</v>
      </c>
      <c r="V194" s="16"/>
    </row>
    <row r="195" customFormat="false" ht="15" hidden="false" customHeight="true" outlineLevel="0" collapsed="false">
      <c r="A195" s="4" t="str">
        <f aca="false">IF(B195="","",ROW()-1)</f>
        <v/>
      </c>
      <c r="B195" s="15"/>
      <c r="C195" s="16"/>
      <c r="D195" s="17"/>
      <c r="E195" s="17"/>
      <c r="F195" s="17"/>
      <c r="G195" s="18"/>
      <c r="H195" s="17"/>
      <c r="I195" s="16"/>
      <c r="J195" s="16"/>
      <c r="K195" s="17"/>
      <c r="L195" s="19"/>
      <c r="M195" s="20" t="b">
        <f aca="false">AND(B195&lt;&gt;"",B195&gt;='Read Me'!$B$5,H195&lt;&gt;"")</f>
        <v>0</v>
      </c>
      <c r="N195" s="21" t="str">
        <f aca="false">IF(OR(D195="",E195=""),"",ABS(D195-E195))</f>
        <v/>
      </c>
      <c r="O195" s="22" t="str">
        <f aca="false">IF(OR(H195="",N195="",N195=0),"",IF(C195="BUY",1,-1)*(H195-D195)/N195)</f>
        <v/>
      </c>
      <c r="P195" s="23" t="str">
        <f aca="false">IF(OR(H195="",D195="",K195=""),"",IF(C195="BUY",1,-1)*(H195-D195)*K195*'Read Me'!$B$10-L195)</f>
        <v/>
      </c>
      <c r="Q195" s="4" t="str">
        <f aca="false">IF(O195="","",IF(O195&gt;0,"WIN","LOSS"))</f>
        <v/>
      </c>
      <c r="R195" s="22" t="str">
        <f aca="false">IF(AND(M195,O195&lt;&gt;""),O195,"")</f>
        <v/>
      </c>
      <c r="S195" s="22" t="n">
        <f aca="false">S194+IF(R195="",0,R195)</f>
        <v>0</v>
      </c>
      <c r="T195" s="22" t="n">
        <f aca="false">MAX(T194,S195)</f>
        <v>0</v>
      </c>
      <c r="U195" s="22" t="n">
        <f aca="false">T195-S195</f>
        <v>0</v>
      </c>
      <c r="V195" s="16"/>
    </row>
    <row r="196" customFormat="false" ht="15" hidden="false" customHeight="true" outlineLevel="0" collapsed="false">
      <c r="A196" s="4" t="str">
        <f aca="false">IF(B196="","",ROW()-1)</f>
        <v/>
      </c>
      <c r="B196" s="15"/>
      <c r="C196" s="16"/>
      <c r="D196" s="17"/>
      <c r="E196" s="17"/>
      <c r="F196" s="17"/>
      <c r="G196" s="18"/>
      <c r="H196" s="17"/>
      <c r="I196" s="16"/>
      <c r="J196" s="16"/>
      <c r="K196" s="17"/>
      <c r="L196" s="19"/>
      <c r="M196" s="20" t="b">
        <f aca="false">AND(B196&lt;&gt;"",B196&gt;='Read Me'!$B$5,H196&lt;&gt;"")</f>
        <v>0</v>
      </c>
      <c r="N196" s="21" t="str">
        <f aca="false">IF(OR(D196="",E196=""),"",ABS(D196-E196))</f>
        <v/>
      </c>
      <c r="O196" s="22" t="str">
        <f aca="false">IF(OR(H196="",N196="",N196=0),"",IF(C196="BUY",1,-1)*(H196-D196)/N196)</f>
        <v/>
      </c>
      <c r="P196" s="23" t="str">
        <f aca="false">IF(OR(H196="",D196="",K196=""),"",IF(C196="BUY",1,-1)*(H196-D196)*K196*'Read Me'!$B$10-L196)</f>
        <v/>
      </c>
      <c r="Q196" s="4" t="str">
        <f aca="false">IF(O196="","",IF(O196&gt;0,"WIN","LOSS"))</f>
        <v/>
      </c>
      <c r="R196" s="22" t="str">
        <f aca="false">IF(AND(M196,O196&lt;&gt;""),O196,"")</f>
        <v/>
      </c>
      <c r="S196" s="22" t="n">
        <f aca="false">S195+IF(R196="",0,R196)</f>
        <v>0</v>
      </c>
      <c r="T196" s="22" t="n">
        <f aca="false">MAX(T195,S196)</f>
        <v>0</v>
      </c>
      <c r="U196" s="22" t="n">
        <f aca="false">T196-S196</f>
        <v>0</v>
      </c>
      <c r="V196" s="16"/>
    </row>
    <row r="197" customFormat="false" ht="15" hidden="false" customHeight="true" outlineLevel="0" collapsed="false">
      <c r="A197" s="4" t="str">
        <f aca="false">IF(B197="","",ROW()-1)</f>
        <v/>
      </c>
      <c r="B197" s="15"/>
      <c r="C197" s="16"/>
      <c r="D197" s="17"/>
      <c r="E197" s="17"/>
      <c r="F197" s="17"/>
      <c r="G197" s="18"/>
      <c r="H197" s="17"/>
      <c r="I197" s="16"/>
      <c r="J197" s="16"/>
      <c r="K197" s="17"/>
      <c r="L197" s="19"/>
      <c r="M197" s="20" t="b">
        <f aca="false">AND(B197&lt;&gt;"",B197&gt;='Read Me'!$B$5,H197&lt;&gt;"")</f>
        <v>0</v>
      </c>
      <c r="N197" s="21" t="str">
        <f aca="false">IF(OR(D197="",E197=""),"",ABS(D197-E197))</f>
        <v/>
      </c>
      <c r="O197" s="22" t="str">
        <f aca="false">IF(OR(H197="",N197="",N197=0),"",IF(C197="BUY",1,-1)*(H197-D197)/N197)</f>
        <v/>
      </c>
      <c r="P197" s="23" t="str">
        <f aca="false">IF(OR(H197="",D197="",K197=""),"",IF(C197="BUY",1,-1)*(H197-D197)*K197*'Read Me'!$B$10-L197)</f>
        <v/>
      </c>
      <c r="Q197" s="4" t="str">
        <f aca="false">IF(O197="","",IF(O197&gt;0,"WIN","LOSS"))</f>
        <v/>
      </c>
      <c r="R197" s="22" t="str">
        <f aca="false">IF(AND(M197,O197&lt;&gt;""),O197,"")</f>
        <v/>
      </c>
      <c r="S197" s="22" t="n">
        <f aca="false">S196+IF(R197="",0,R197)</f>
        <v>0</v>
      </c>
      <c r="T197" s="22" t="n">
        <f aca="false">MAX(T196,S197)</f>
        <v>0</v>
      </c>
      <c r="U197" s="22" t="n">
        <f aca="false">T197-S197</f>
        <v>0</v>
      </c>
      <c r="V197" s="16"/>
    </row>
    <row r="198" customFormat="false" ht="15" hidden="false" customHeight="true" outlineLevel="0" collapsed="false">
      <c r="A198" s="4" t="str">
        <f aca="false">IF(B198="","",ROW()-1)</f>
        <v/>
      </c>
      <c r="B198" s="15"/>
      <c r="C198" s="16"/>
      <c r="D198" s="17"/>
      <c r="E198" s="17"/>
      <c r="F198" s="17"/>
      <c r="G198" s="18"/>
      <c r="H198" s="17"/>
      <c r="I198" s="16"/>
      <c r="J198" s="16"/>
      <c r="K198" s="17"/>
      <c r="L198" s="19"/>
      <c r="M198" s="20" t="b">
        <f aca="false">AND(B198&lt;&gt;"",B198&gt;='Read Me'!$B$5,H198&lt;&gt;"")</f>
        <v>0</v>
      </c>
      <c r="N198" s="21" t="str">
        <f aca="false">IF(OR(D198="",E198=""),"",ABS(D198-E198))</f>
        <v/>
      </c>
      <c r="O198" s="22" t="str">
        <f aca="false">IF(OR(H198="",N198="",N198=0),"",IF(C198="BUY",1,-1)*(H198-D198)/N198)</f>
        <v/>
      </c>
      <c r="P198" s="23" t="str">
        <f aca="false">IF(OR(H198="",D198="",K198=""),"",IF(C198="BUY",1,-1)*(H198-D198)*K198*'Read Me'!$B$10-L198)</f>
        <v/>
      </c>
      <c r="Q198" s="4" t="str">
        <f aca="false">IF(O198="","",IF(O198&gt;0,"WIN","LOSS"))</f>
        <v/>
      </c>
      <c r="R198" s="22" t="str">
        <f aca="false">IF(AND(M198,O198&lt;&gt;""),O198,"")</f>
        <v/>
      </c>
      <c r="S198" s="22" t="n">
        <f aca="false">S197+IF(R198="",0,R198)</f>
        <v>0</v>
      </c>
      <c r="T198" s="22" t="n">
        <f aca="false">MAX(T197,S198)</f>
        <v>0</v>
      </c>
      <c r="U198" s="22" t="n">
        <f aca="false">T198-S198</f>
        <v>0</v>
      </c>
      <c r="V198" s="16"/>
    </row>
    <row r="199" customFormat="false" ht="15" hidden="false" customHeight="true" outlineLevel="0" collapsed="false">
      <c r="A199" s="4" t="str">
        <f aca="false">IF(B199="","",ROW()-1)</f>
        <v/>
      </c>
      <c r="B199" s="15"/>
      <c r="C199" s="16"/>
      <c r="D199" s="17"/>
      <c r="E199" s="17"/>
      <c r="F199" s="17"/>
      <c r="G199" s="18"/>
      <c r="H199" s="17"/>
      <c r="I199" s="16"/>
      <c r="J199" s="16"/>
      <c r="K199" s="17"/>
      <c r="L199" s="19"/>
      <c r="M199" s="20" t="b">
        <f aca="false">AND(B199&lt;&gt;"",B199&gt;='Read Me'!$B$5,H199&lt;&gt;"")</f>
        <v>0</v>
      </c>
      <c r="N199" s="21" t="str">
        <f aca="false">IF(OR(D199="",E199=""),"",ABS(D199-E199))</f>
        <v/>
      </c>
      <c r="O199" s="22" t="str">
        <f aca="false">IF(OR(H199="",N199="",N199=0),"",IF(C199="BUY",1,-1)*(H199-D199)/N199)</f>
        <v/>
      </c>
      <c r="P199" s="23" t="str">
        <f aca="false">IF(OR(H199="",D199="",K199=""),"",IF(C199="BUY",1,-1)*(H199-D199)*K199*'Read Me'!$B$10-L199)</f>
        <v/>
      </c>
      <c r="Q199" s="4" t="str">
        <f aca="false">IF(O199="","",IF(O199&gt;0,"WIN","LOSS"))</f>
        <v/>
      </c>
      <c r="R199" s="22" t="str">
        <f aca="false">IF(AND(M199,O199&lt;&gt;""),O199,"")</f>
        <v/>
      </c>
      <c r="S199" s="22" t="n">
        <f aca="false">S198+IF(R199="",0,R199)</f>
        <v>0</v>
      </c>
      <c r="T199" s="22" t="n">
        <f aca="false">MAX(T198,S199)</f>
        <v>0</v>
      </c>
      <c r="U199" s="22" t="n">
        <f aca="false">T199-S199</f>
        <v>0</v>
      </c>
      <c r="V199" s="16"/>
    </row>
    <row r="200" customFormat="false" ht="15" hidden="false" customHeight="true" outlineLevel="0" collapsed="false">
      <c r="A200" s="4" t="str">
        <f aca="false">IF(B200="","",ROW()-1)</f>
        <v/>
      </c>
      <c r="B200" s="15"/>
      <c r="C200" s="16"/>
      <c r="D200" s="17"/>
      <c r="E200" s="17"/>
      <c r="F200" s="17"/>
      <c r="G200" s="18"/>
      <c r="H200" s="17"/>
      <c r="I200" s="16"/>
      <c r="J200" s="16"/>
      <c r="K200" s="17"/>
      <c r="L200" s="19"/>
      <c r="M200" s="20" t="b">
        <f aca="false">AND(B200&lt;&gt;"",B200&gt;='Read Me'!$B$5,H200&lt;&gt;"")</f>
        <v>0</v>
      </c>
      <c r="N200" s="21" t="str">
        <f aca="false">IF(OR(D200="",E200=""),"",ABS(D200-E200))</f>
        <v/>
      </c>
      <c r="O200" s="22" t="str">
        <f aca="false">IF(OR(H200="",N200="",N200=0),"",IF(C200="BUY",1,-1)*(H200-D200)/N200)</f>
        <v/>
      </c>
      <c r="P200" s="23" t="str">
        <f aca="false">IF(OR(H200="",D200="",K200=""),"",IF(C200="BUY",1,-1)*(H200-D200)*K200*'Read Me'!$B$10-L200)</f>
        <v/>
      </c>
      <c r="Q200" s="4" t="str">
        <f aca="false">IF(O200="","",IF(O200&gt;0,"WIN","LOSS"))</f>
        <v/>
      </c>
      <c r="R200" s="22" t="str">
        <f aca="false">IF(AND(M200,O200&lt;&gt;""),O200,"")</f>
        <v/>
      </c>
      <c r="S200" s="22" t="n">
        <f aca="false">S199+IF(R200="",0,R200)</f>
        <v>0</v>
      </c>
      <c r="T200" s="22" t="n">
        <f aca="false">MAX(T199,S200)</f>
        <v>0</v>
      </c>
      <c r="U200" s="22" t="n">
        <f aca="false">T200-S200</f>
        <v>0</v>
      </c>
      <c r="V200" s="16"/>
    </row>
    <row r="201" customFormat="false" ht="15" hidden="false" customHeight="true" outlineLevel="0" collapsed="false">
      <c r="A201" s="4" t="str">
        <f aca="false">IF(B201="","",ROW()-1)</f>
        <v/>
      </c>
      <c r="B201" s="15"/>
      <c r="C201" s="16"/>
      <c r="D201" s="17"/>
      <c r="E201" s="17"/>
      <c r="F201" s="17"/>
      <c r="G201" s="18"/>
      <c r="H201" s="17"/>
      <c r="I201" s="16"/>
      <c r="J201" s="16"/>
      <c r="K201" s="17"/>
      <c r="L201" s="19"/>
      <c r="M201" s="20" t="b">
        <f aca="false">AND(B201&lt;&gt;"",B201&gt;='Read Me'!$B$5,H201&lt;&gt;"")</f>
        <v>0</v>
      </c>
      <c r="N201" s="21" t="str">
        <f aca="false">IF(OR(D201="",E201=""),"",ABS(D201-E201))</f>
        <v/>
      </c>
      <c r="O201" s="22" t="str">
        <f aca="false">IF(OR(H201="",N201="",N201=0),"",IF(C201="BUY",1,-1)*(H201-D201)/N201)</f>
        <v/>
      </c>
      <c r="P201" s="23" t="str">
        <f aca="false">IF(OR(H201="",D201="",K201=""),"",IF(C201="BUY",1,-1)*(H201-D201)*K201*'Read Me'!$B$10-L201)</f>
        <v/>
      </c>
      <c r="Q201" s="4" t="str">
        <f aca="false">IF(O201="","",IF(O201&gt;0,"WIN","LOSS"))</f>
        <v/>
      </c>
      <c r="R201" s="22" t="str">
        <f aca="false">IF(AND(M201,O201&lt;&gt;""),O201,"")</f>
        <v/>
      </c>
      <c r="S201" s="22" t="n">
        <f aca="false">S200+IF(R201="",0,R201)</f>
        <v>0</v>
      </c>
      <c r="T201" s="22" t="n">
        <f aca="false">MAX(T200,S201)</f>
        <v>0</v>
      </c>
      <c r="U201" s="22" t="n">
        <f aca="false">T201-S201</f>
        <v>0</v>
      </c>
      <c r="V201" s="16"/>
    </row>
    <row r="202" customFormat="false" ht="15" hidden="false" customHeight="true" outlineLevel="0" collapsed="false">
      <c r="A202" s="4" t="str">
        <f aca="false">IF(B202="","",ROW()-1)</f>
        <v/>
      </c>
      <c r="B202" s="15"/>
      <c r="C202" s="16"/>
      <c r="D202" s="17"/>
      <c r="E202" s="17"/>
      <c r="F202" s="17"/>
      <c r="G202" s="18"/>
      <c r="H202" s="17"/>
      <c r="I202" s="16"/>
      <c r="J202" s="16"/>
      <c r="K202" s="17"/>
      <c r="L202" s="19"/>
      <c r="M202" s="20" t="b">
        <f aca="false">AND(B202&lt;&gt;"",B202&gt;='Read Me'!$B$5,H202&lt;&gt;"")</f>
        <v>0</v>
      </c>
      <c r="N202" s="21" t="str">
        <f aca="false">IF(OR(D202="",E202=""),"",ABS(D202-E202))</f>
        <v/>
      </c>
      <c r="O202" s="22" t="str">
        <f aca="false">IF(OR(H202="",N202="",N202=0),"",IF(C202="BUY",1,-1)*(H202-D202)/N202)</f>
        <v/>
      </c>
      <c r="P202" s="23" t="str">
        <f aca="false">IF(OR(H202="",D202="",K202=""),"",IF(C202="BUY",1,-1)*(H202-D202)*K202*'Read Me'!$B$10-L202)</f>
        <v/>
      </c>
      <c r="Q202" s="4" t="str">
        <f aca="false">IF(O202="","",IF(O202&gt;0,"WIN","LOSS"))</f>
        <v/>
      </c>
      <c r="R202" s="22" t="str">
        <f aca="false">IF(AND(M202,O202&lt;&gt;""),O202,"")</f>
        <v/>
      </c>
      <c r="S202" s="22" t="n">
        <f aca="false">S201+IF(R202="",0,R202)</f>
        <v>0</v>
      </c>
      <c r="T202" s="22" t="n">
        <f aca="false">MAX(T201,S202)</f>
        <v>0</v>
      </c>
      <c r="U202" s="22" t="n">
        <f aca="false">T202-S202</f>
        <v>0</v>
      </c>
      <c r="V202" s="16"/>
    </row>
    <row r="203" customFormat="false" ht="15" hidden="false" customHeight="true" outlineLevel="0" collapsed="false">
      <c r="A203" s="4" t="str">
        <f aca="false">IF(B203="","",ROW()-1)</f>
        <v/>
      </c>
      <c r="B203" s="15"/>
      <c r="C203" s="16"/>
      <c r="D203" s="17"/>
      <c r="E203" s="17"/>
      <c r="F203" s="17"/>
      <c r="G203" s="18"/>
      <c r="H203" s="17"/>
      <c r="I203" s="16"/>
      <c r="J203" s="16"/>
      <c r="K203" s="17"/>
      <c r="L203" s="19"/>
      <c r="M203" s="20" t="b">
        <f aca="false">AND(B203&lt;&gt;"",B203&gt;='Read Me'!$B$5,H203&lt;&gt;"")</f>
        <v>0</v>
      </c>
      <c r="N203" s="21" t="str">
        <f aca="false">IF(OR(D203="",E203=""),"",ABS(D203-E203))</f>
        <v/>
      </c>
      <c r="O203" s="22" t="str">
        <f aca="false">IF(OR(H203="",N203="",N203=0),"",IF(C203="BUY",1,-1)*(H203-D203)/N203)</f>
        <v/>
      </c>
      <c r="P203" s="23" t="str">
        <f aca="false">IF(OR(H203="",D203="",K203=""),"",IF(C203="BUY",1,-1)*(H203-D203)*K203*'Read Me'!$B$10-L203)</f>
        <v/>
      </c>
      <c r="Q203" s="4" t="str">
        <f aca="false">IF(O203="","",IF(O203&gt;0,"WIN","LOSS"))</f>
        <v/>
      </c>
      <c r="R203" s="22" t="str">
        <f aca="false">IF(AND(M203,O203&lt;&gt;""),O203,"")</f>
        <v/>
      </c>
      <c r="S203" s="22" t="n">
        <f aca="false">S202+IF(R203="",0,R203)</f>
        <v>0</v>
      </c>
      <c r="T203" s="22" t="n">
        <f aca="false">MAX(T202,S203)</f>
        <v>0</v>
      </c>
      <c r="U203" s="22" t="n">
        <f aca="false">T203-S203</f>
        <v>0</v>
      </c>
      <c r="V203" s="16"/>
    </row>
    <row r="204" customFormat="false" ht="15" hidden="false" customHeight="true" outlineLevel="0" collapsed="false">
      <c r="A204" s="4" t="str">
        <f aca="false">IF(B204="","",ROW()-1)</f>
        <v/>
      </c>
      <c r="B204" s="15"/>
      <c r="C204" s="16"/>
      <c r="D204" s="17"/>
      <c r="E204" s="17"/>
      <c r="F204" s="17"/>
      <c r="G204" s="18"/>
      <c r="H204" s="17"/>
      <c r="I204" s="16"/>
      <c r="J204" s="16"/>
      <c r="K204" s="17"/>
      <c r="L204" s="19"/>
      <c r="M204" s="20" t="b">
        <f aca="false">AND(B204&lt;&gt;"",B204&gt;='Read Me'!$B$5,H204&lt;&gt;"")</f>
        <v>0</v>
      </c>
      <c r="N204" s="21" t="str">
        <f aca="false">IF(OR(D204="",E204=""),"",ABS(D204-E204))</f>
        <v/>
      </c>
      <c r="O204" s="22" t="str">
        <f aca="false">IF(OR(H204="",N204="",N204=0),"",IF(C204="BUY",1,-1)*(H204-D204)/N204)</f>
        <v/>
      </c>
      <c r="P204" s="23" t="str">
        <f aca="false">IF(OR(H204="",D204="",K204=""),"",IF(C204="BUY",1,-1)*(H204-D204)*K204*'Read Me'!$B$10-L204)</f>
        <v/>
      </c>
      <c r="Q204" s="4" t="str">
        <f aca="false">IF(O204="","",IF(O204&gt;0,"WIN","LOSS"))</f>
        <v/>
      </c>
      <c r="R204" s="22" t="str">
        <f aca="false">IF(AND(M204,O204&lt;&gt;""),O204,"")</f>
        <v/>
      </c>
      <c r="S204" s="22" t="n">
        <f aca="false">S203+IF(R204="",0,R204)</f>
        <v>0</v>
      </c>
      <c r="T204" s="22" t="n">
        <f aca="false">MAX(T203,S204)</f>
        <v>0</v>
      </c>
      <c r="U204" s="22" t="n">
        <f aca="false">T204-S204</f>
        <v>0</v>
      </c>
      <c r="V204" s="16"/>
    </row>
    <row r="205" customFormat="false" ht="15" hidden="false" customHeight="true" outlineLevel="0" collapsed="false">
      <c r="A205" s="4" t="str">
        <f aca="false">IF(B205="","",ROW()-1)</f>
        <v/>
      </c>
      <c r="B205" s="15"/>
      <c r="C205" s="16"/>
      <c r="D205" s="17"/>
      <c r="E205" s="17"/>
      <c r="F205" s="17"/>
      <c r="G205" s="18"/>
      <c r="H205" s="17"/>
      <c r="I205" s="16"/>
      <c r="J205" s="16"/>
      <c r="K205" s="17"/>
      <c r="L205" s="19"/>
      <c r="M205" s="20" t="b">
        <f aca="false">AND(B205&lt;&gt;"",B205&gt;='Read Me'!$B$5,H205&lt;&gt;"")</f>
        <v>0</v>
      </c>
      <c r="N205" s="21" t="str">
        <f aca="false">IF(OR(D205="",E205=""),"",ABS(D205-E205))</f>
        <v/>
      </c>
      <c r="O205" s="22" t="str">
        <f aca="false">IF(OR(H205="",N205="",N205=0),"",IF(C205="BUY",1,-1)*(H205-D205)/N205)</f>
        <v/>
      </c>
      <c r="P205" s="23" t="str">
        <f aca="false">IF(OR(H205="",D205="",K205=""),"",IF(C205="BUY",1,-1)*(H205-D205)*K205*'Read Me'!$B$10-L205)</f>
        <v/>
      </c>
      <c r="Q205" s="4" t="str">
        <f aca="false">IF(O205="","",IF(O205&gt;0,"WIN","LOSS"))</f>
        <v/>
      </c>
      <c r="R205" s="22" t="str">
        <f aca="false">IF(AND(M205,O205&lt;&gt;""),O205,"")</f>
        <v/>
      </c>
      <c r="S205" s="22" t="n">
        <f aca="false">S204+IF(R205="",0,R205)</f>
        <v>0</v>
      </c>
      <c r="T205" s="22" t="n">
        <f aca="false">MAX(T204,S205)</f>
        <v>0</v>
      </c>
      <c r="U205" s="22" t="n">
        <f aca="false">T205-S205</f>
        <v>0</v>
      </c>
      <c r="V205" s="16"/>
    </row>
    <row r="206" customFormat="false" ht="15" hidden="false" customHeight="true" outlineLevel="0" collapsed="false">
      <c r="A206" s="4" t="str">
        <f aca="false">IF(B206="","",ROW()-1)</f>
        <v/>
      </c>
      <c r="B206" s="15"/>
      <c r="C206" s="16"/>
      <c r="D206" s="17"/>
      <c r="E206" s="17"/>
      <c r="F206" s="17"/>
      <c r="G206" s="18"/>
      <c r="H206" s="17"/>
      <c r="I206" s="16"/>
      <c r="J206" s="16"/>
      <c r="K206" s="17"/>
      <c r="L206" s="19"/>
      <c r="M206" s="20" t="b">
        <f aca="false">AND(B206&lt;&gt;"",B206&gt;='Read Me'!$B$5,H206&lt;&gt;"")</f>
        <v>0</v>
      </c>
      <c r="N206" s="21" t="str">
        <f aca="false">IF(OR(D206="",E206=""),"",ABS(D206-E206))</f>
        <v/>
      </c>
      <c r="O206" s="22" t="str">
        <f aca="false">IF(OR(H206="",N206="",N206=0),"",IF(C206="BUY",1,-1)*(H206-D206)/N206)</f>
        <v/>
      </c>
      <c r="P206" s="23" t="str">
        <f aca="false">IF(OR(H206="",D206="",K206=""),"",IF(C206="BUY",1,-1)*(H206-D206)*K206*'Read Me'!$B$10-L206)</f>
        <v/>
      </c>
      <c r="Q206" s="4" t="str">
        <f aca="false">IF(O206="","",IF(O206&gt;0,"WIN","LOSS"))</f>
        <v/>
      </c>
      <c r="R206" s="22" t="str">
        <f aca="false">IF(AND(M206,O206&lt;&gt;""),O206,"")</f>
        <v/>
      </c>
      <c r="S206" s="22" t="n">
        <f aca="false">S205+IF(R206="",0,R206)</f>
        <v>0</v>
      </c>
      <c r="T206" s="22" t="n">
        <f aca="false">MAX(T205,S206)</f>
        <v>0</v>
      </c>
      <c r="U206" s="22" t="n">
        <f aca="false">T206-S206</f>
        <v>0</v>
      </c>
      <c r="V206" s="16"/>
    </row>
    <row r="207" customFormat="false" ht="15" hidden="false" customHeight="true" outlineLevel="0" collapsed="false">
      <c r="A207" s="4" t="str">
        <f aca="false">IF(B207="","",ROW()-1)</f>
        <v/>
      </c>
      <c r="B207" s="15"/>
      <c r="C207" s="16"/>
      <c r="D207" s="17"/>
      <c r="E207" s="17"/>
      <c r="F207" s="17"/>
      <c r="G207" s="18"/>
      <c r="H207" s="17"/>
      <c r="I207" s="16"/>
      <c r="J207" s="16"/>
      <c r="K207" s="17"/>
      <c r="L207" s="19"/>
      <c r="M207" s="20" t="b">
        <f aca="false">AND(B207&lt;&gt;"",B207&gt;='Read Me'!$B$5,H207&lt;&gt;"")</f>
        <v>0</v>
      </c>
      <c r="N207" s="21" t="str">
        <f aca="false">IF(OR(D207="",E207=""),"",ABS(D207-E207))</f>
        <v/>
      </c>
      <c r="O207" s="22" t="str">
        <f aca="false">IF(OR(H207="",N207="",N207=0),"",IF(C207="BUY",1,-1)*(H207-D207)/N207)</f>
        <v/>
      </c>
      <c r="P207" s="23" t="str">
        <f aca="false">IF(OR(H207="",D207="",K207=""),"",IF(C207="BUY",1,-1)*(H207-D207)*K207*'Read Me'!$B$10-L207)</f>
        <v/>
      </c>
      <c r="Q207" s="4" t="str">
        <f aca="false">IF(O207="","",IF(O207&gt;0,"WIN","LOSS"))</f>
        <v/>
      </c>
      <c r="R207" s="22" t="str">
        <f aca="false">IF(AND(M207,O207&lt;&gt;""),O207,"")</f>
        <v/>
      </c>
      <c r="S207" s="22" t="n">
        <f aca="false">S206+IF(R207="",0,R207)</f>
        <v>0</v>
      </c>
      <c r="T207" s="22" t="n">
        <f aca="false">MAX(T206,S207)</f>
        <v>0</v>
      </c>
      <c r="U207" s="22" t="n">
        <f aca="false">T207-S207</f>
        <v>0</v>
      </c>
      <c r="V207" s="16"/>
    </row>
    <row r="208" customFormat="false" ht="15" hidden="false" customHeight="true" outlineLevel="0" collapsed="false">
      <c r="A208" s="4" t="str">
        <f aca="false">IF(B208="","",ROW()-1)</f>
        <v/>
      </c>
      <c r="B208" s="15"/>
      <c r="C208" s="16"/>
      <c r="D208" s="17"/>
      <c r="E208" s="17"/>
      <c r="F208" s="17"/>
      <c r="G208" s="18"/>
      <c r="H208" s="17"/>
      <c r="I208" s="16"/>
      <c r="J208" s="16"/>
      <c r="K208" s="17"/>
      <c r="L208" s="19"/>
      <c r="M208" s="20" t="b">
        <f aca="false">AND(B208&lt;&gt;"",B208&gt;='Read Me'!$B$5,H208&lt;&gt;"")</f>
        <v>0</v>
      </c>
      <c r="N208" s="21" t="str">
        <f aca="false">IF(OR(D208="",E208=""),"",ABS(D208-E208))</f>
        <v/>
      </c>
      <c r="O208" s="22" t="str">
        <f aca="false">IF(OR(H208="",N208="",N208=0),"",IF(C208="BUY",1,-1)*(H208-D208)/N208)</f>
        <v/>
      </c>
      <c r="P208" s="23" t="str">
        <f aca="false">IF(OR(H208="",D208="",K208=""),"",IF(C208="BUY",1,-1)*(H208-D208)*K208*'Read Me'!$B$10-L208)</f>
        <v/>
      </c>
      <c r="Q208" s="4" t="str">
        <f aca="false">IF(O208="","",IF(O208&gt;0,"WIN","LOSS"))</f>
        <v/>
      </c>
      <c r="R208" s="22" t="str">
        <f aca="false">IF(AND(M208,O208&lt;&gt;""),O208,"")</f>
        <v/>
      </c>
      <c r="S208" s="22" t="n">
        <f aca="false">S207+IF(R208="",0,R208)</f>
        <v>0</v>
      </c>
      <c r="T208" s="22" t="n">
        <f aca="false">MAX(T207,S208)</f>
        <v>0</v>
      </c>
      <c r="U208" s="22" t="n">
        <f aca="false">T208-S208</f>
        <v>0</v>
      </c>
      <c r="V208" s="16"/>
    </row>
    <row r="209" customFormat="false" ht="15" hidden="false" customHeight="true" outlineLevel="0" collapsed="false">
      <c r="A209" s="4" t="str">
        <f aca="false">IF(B209="","",ROW()-1)</f>
        <v/>
      </c>
      <c r="B209" s="15"/>
      <c r="C209" s="16"/>
      <c r="D209" s="17"/>
      <c r="E209" s="17"/>
      <c r="F209" s="17"/>
      <c r="G209" s="18"/>
      <c r="H209" s="17"/>
      <c r="I209" s="16"/>
      <c r="J209" s="16"/>
      <c r="K209" s="17"/>
      <c r="L209" s="19"/>
      <c r="M209" s="20" t="b">
        <f aca="false">AND(B209&lt;&gt;"",B209&gt;='Read Me'!$B$5,H209&lt;&gt;"")</f>
        <v>0</v>
      </c>
      <c r="N209" s="21" t="str">
        <f aca="false">IF(OR(D209="",E209=""),"",ABS(D209-E209))</f>
        <v/>
      </c>
      <c r="O209" s="22" t="str">
        <f aca="false">IF(OR(H209="",N209="",N209=0),"",IF(C209="BUY",1,-1)*(H209-D209)/N209)</f>
        <v/>
      </c>
      <c r="P209" s="23" t="str">
        <f aca="false">IF(OR(H209="",D209="",K209=""),"",IF(C209="BUY",1,-1)*(H209-D209)*K209*'Read Me'!$B$10-L209)</f>
        <v/>
      </c>
      <c r="Q209" s="4" t="str">
        <f aca="false">IF(O209="","",IF(O209&gt;0,"WIN","LOSS"))</f>
        <v/>
      </c>
      <c r="R209" s="22" t="str">
        <f aca="false">IF(AND(M209,O209&lt;&gt;""),O209,"")</f>
        <v/>
      </c>
      <c r="S209" s="22" t="n">
        <f aca="false">S208+IF(R209="",0,R209)</f>
        <v>0</v>
      </c>
      <c r="T209" s="22" t="n">
        <f aca="false">MAX(T208,S209)</f>
        <v>0</v>
      </c>
      <c r="U209" s="22" t="n">
        <f aca="false">T209-S209</f>
        <v>0</v>
      </c>
      <c r="V209" s="16"/>
    </row>
    <row r="210" customFormat="false" ht="15" hidden="false" customHeight="true" outlineLevel="0" collapsed="false">
      <c r="A210" s="4" t="str">
        <f aca="false">IF(B210="","",ROW()-1)</f>
        <v/>
      </c>
      <c r="B210" s="15"/>
      <c r="C210" s="16"/>
      <c r="D210" s="17"/>
      <c r="E210" s="17"/>
      <c r="F210" s="17"/>
      <c r="G210" s="18"/>
      <c r="H210" s="17"/>
      <c r="I210" s="16"/>
      <c r="J210" s="16"/>
      <c r="K210" s="17"/>
      <c r="L210" s="19"/>
      <c r="M210" s="20" t="b">
        <f aca="false">AND(B210&lt;&gt;"",B210&gt;='Read Me'!$B$5,H210&lt;&gt;"")</f>
        <v>0</v>
      </c>
      <c r="N210" s="21" t="str">
        <f aca="false">IF(OR(D210="",E210=""),"",ABS(D210-E210))</f>
        <v/>
      </c>
      <c r="O210" s="22" t="str">
        <f aca="false">IF(OR(H210="",N210="",N210=0),"",IF(C210="BUY",1,-1)*(H210-D210)/N210)</f>
        <v/>
      </c>
      <c r="P210" s="23" t="str">
        <f aca="false">IF(OR(H210="",D210="",K210=""),"",IF(C210="BUY",1,-1)*(H210-D210)*K210*'Read Me'!$B$10-L210)</f>
        <v/>
      </c>
      <c r="Q210" s="4" t="str">
        <f aca="false">IF(O210="","",IF(O210&gt;0,"WIN","LOSS"))</f>
        <v/>
      </c>
      <c r="R210" s="22" t="str">
        <f aca="false">IF(AND(M210,O210&lt;&gt;""),O210,"")</f>
        <v/>
      </c>
      <c r="S210" s="22" t="n">
        <f aca="false">S209+IF(R210="",0,R210)</f>
        <v>0</v>
      </c>
      <c r="T210" s="22" t="n">
        <f aca="false">MAX(T209,S210)</f>
        <v>0</v>
      </c>
      <c r="U210" s="22" t="n">
        <f aca="false">T210-S210</f>
        <v>0</v>
      </c>
      <c r="V210" s="16"/>
    </row>
    <row r="211" customFormat="false" ht="15" hidden="false" customHeight="true" outlineLevel="0" collapsed="false">
      <c r="A211" s="4" t="str">
        <f aca="false">IF(B211="","",ROW()-1)</f>
        <v/>
      </c>
      <c r="B211" s="15"/>
      <c r="C211" s="16"/>
      <c r="D211" s="17"/>
      <c r="E211" s="17"/>
      <c r="F211" s="17"/>
      <c r="G211" s="18"/>
      <c r="H211" s="17"/>
      <c r="I211" s="16"/>
      <c r="J211" s="16"/>
      <c r="K211" s="17"/>
      <c r="L211" s="19"/>
      <c r="M211" s="20" t="b">
        <f aca="false">AND(B211&lt;&gt;"",B211&gt;='Read Me'!$B$5,H211&lt;&gt;"")</f>
        <v>0</v>
      </c>
      <c r="N211" s="21" t="str">
        <f aca="false">IF(OR(D211="",E211=""),"",ABS(D211-E211))</f>
        <v/>
      </c>
      <c r="O211" s="22" t="str">
        <f aca="false">IF(OR(H211="",N211="",N211=0),"",IF(C211="BUY",1,-1)*(H211-D211)/N211)</f>
        <v/>
      </c>
      <c r="P211" s="23" t="str">
        <f aca="false">IF(OR(H211="",D211="",K211=""),"",IF(C211="BUY",1,-1)*(H211-D211)*K211*'Read Me'!$B$10-L211)</f>
        <v/>
      </c>
      <c r="Q211" s="4" t="str">
        <f aca="false">IF(O211="","",IF(O211&gt;0,"WIN","LOSS"))</f>
        <v/>
      </c>
      <c r="R211" s="22" t="str">
        <f aca="false">IF(AND(M211,O211&lt;&gt;""),O211,"")</f>
        <v/>
      </c>
      <c r="S211" s="22" t="n">
        <f aca="false">S210+IF(R211="",0,R211)</f>
        <v>0</v>
      </c>
      <c r="T211" s="22" t="n">
        <f aca="false">MAX(T210,S211)</f>
        <v>0</v>
      </c>
      <c r="U211" s="22" t="n">
        <f aca="false">T211-S211</f>
        <v>0</v>
      </c>
      <c r="V211" s="16"/>
    </row>
    <row r="212" customFormat="false" ht="15" hidden="false" customHeight="true" outlineLevel="0" collapsed="false">
      <c r="A212" s="4" t="str">
        <f aca="false">IF(B212="","",ROW()-1)</f>
        <v/>
      </c>
      <c r="B212" s="15"/>
      <c r="C212" s="16"/>
      <c r="D212" s="17"/>
      <c r="E212" s="17"/>
      <c r="F212" s="17"/>
      <c r="G212" s="18"/>
      <c r="H212" s="17"/>
      <c r="I212" s="16"/>
      <c r="J212" s="16"/>
      <c r="K212" s="17"/>
      <c r="L212" s="19"/>
      <c r="M212" s="20" t="b">
        <f aca="false">AND(B212&lt;&gt;"",B212&gt;='Read Me'!$B$5,H212&lt;&gt;"")</f>
        <v>0</v>
      </c>
      <c r="N212" s="21" t="str">
        <f aca="false">IF(OR(D212="",E212=""),"",ABS(D212-E212))</f>
        <v/>
      </c>
      <c r="O212" s="22" t="str">
        <f aca="false">IF(OR(H212="",N212="",N212=0),"",IF(C212="BUY",1,-1)*(H212-D212)/N212)</f>
        <v/>
      </c>
      <c r="P212" s="23" t="str">
        <f aca="false">IF(OR(H212="",D212="",K212=""),"",IF(C212="BUY",1,-1)*(H212-D212)*K212*'Read Me'!$B$10-L212)</f>
        <v/>
      </c>
      <c r="Q212" s="4" t="str">
        <f aca="false">IF(O212="","",IF(O212&gt;0,"WIN","LOSS"))</f>
        <v/>
      </c>
      <c r="R212" s="22" t="str">
        <f aca="false">IF(AND(M212,O212&lt;&gt;""),O212,"")</f>
        <v/>
      </c>
      <c r="S212" s="22" t="n">
        <f aca="false">S211+IF(R212="",0,R212)</f>
        <v>0</v>
      </c>
      <c r="T212" s="22" t="n">
        <f aca="false">MAX(T211,S212)</f>
        <v>0</v>
      </c>
      <c r="U212" s="22" t="n">
        <f aca="false">T212-S212</f>
        <v>0</v>
      </c>
      <c r="V212" s="16"/>
    </row>
    <row r="213" customFormat="false" ht="15" hidden="false" customHeight="true" outlineLevel="0" collapsed="false">
      <c r="A213" s="4" t="str">
        <f aca="false">IF(B213="","",ROW()-1)</f>
        <v/>
      </c>
      <c r="B213" s="15"/>
      <c r="C213" s="16"/>
      <c r="D213" s="17"/>
      <c r="E213" s="17"/>
      <c r="F213" s="17"/>
      <c r="G213" s="18"/>
      <c r="H213" s="17"/>
      <c r="I213" s="16"/>
      <c r="J213" s="16"/>
      <c r="K213" s="17"/>
      <c r="L213" s="19"/>
      <c r="M213" s="20" t="b">
        <f aca="false">AND(B213&lt;&gt;"",B213&gt;='Read Me'!$B$5,H213&lt;&gt;"")</f>
        <v>0</v>
      </c>
      <c r="N213" s="21" t="str">
        <f aca="false">IF(OR(D213="",E213=""),"",ABS(D213-E213))</f>
        <v/>
      </c>
      <c r="O213" s="22" t="str">
        <f aca="false">IF(OR(H213="",N213="",N213=0),"",IF(C213="BUY",1,-1)*(H213-D213)/N213)</f>
        <v/>
      </c>
      <c r="P213" s="23" t="str">
        <f aca="false">IF(OR(H213="",D213="",K213=""),"",IF(C213="BUY",1,-1)*(H213-D213)*K213*'Read Me'!$B$10-L213)</f>
        <v/>
      </c>
      <c r="Q213" s="4" t="str">
        <f aca="false">IF(O213="","",IF(O213&gt;0,"WIN","LOSS"))</f>
        <v/>
      </c>
      <c r="R213" s="22" t="str">
        <f aca="false">IF(AND(M213,O213&lt;&gt;""),O213,"")</f>
        <v/>
      </c>
      <c r="S213" s="22" t="n">
        <f aca="false">S212+IF(R213="",0,R213)</f>
        <v>0</v>
      </c>
      <c r="T213" s="22" t="n">
        <f aca="false">MAX(T212,S213)</f>
        <v>0</v>
      </c>
      <c r="U213" s="22" t="n">
        <f aca="false">T213-S213</f>
        <v>0</v>
      </c>
      <c r="V213" s="16"/>
    </row>
    <row r="214" customFormat="false" ht="15" hidden="false" customHeight="true" outlineLevel="0" collapsed="false">
      <c r="A214" s="4" t="str">
        <f aca="false">IF(B214="","",ROW()-1)</f>
        <v/>
      </c>
      <c r="B214" s="15"/>
      <c r="C214" s="16"/>
      <c r="D214" s="17"/>
      <c r="E214" s="17"/>
      <c r="F214" s="17"/>
      <c r="G214" s="18"/>
      <c r="H214" s="17"/>
      <c r="I214" s="16"/>
      <c r="J214" s="16"/>
      <c r="K214" s="17"/>
      <c r="L214" s="19"/>
      <c r="M214" s="20" t="b">
        <f aca="false">AND(B214&lt;&gt;"",B214&gt;='Read Me'!$B$5,H214&lt;&gt;"")</f>
        <v>0</v>
      </c>
      <c r="N214" s="21" t="str">
        <f aca="false">IF(OR(D214="",E214=""),"",ABS(D214-E214))</f>
        <v/>
      </c>
      <c r="O214" s="22" t="str">
        <f aca="false">IF(OR(H214="",N214="",N214=0),"",IF(C214="BUY",1,-1)*(H214-D214)/N214)</f>
        <v/>
      </c>
      <c r="P214" s="23" t="str">
        <f aca="false">IF(OR(H214="",D214="",K214=""),"",IF(C214="BUY",1,-1)*(H214-D214)*K214*'Read Me'!$B$10-L214)</f>
        <v/>
      </c>
      <c r="Q214" s="4" t="str">
        <f aca="false">IF(O214="","",IF(O214&gt;0,"WIN","LOSS"))</f>
        <v/>
      </c>
      <c r="R214" s="22" t="str">
        <f aca="false">IF(AND(M214,O214&lt;&gt;""),O214,"")</f>
        <v/>
      </c>
      <c r="S214" s="22" t="n">
        <f aca="false">S213+IF(R214="",0,R214)</f>
        <v>0</v>
      </c>
      <c r="T214" s="22" t="n">
        <f aca="false">MAX(T213,S214)</f>
        <v>0</v>
      </c>
      <c r="U214" s="22" t="n">
        <f aca="false">T214-S214</f>
        <v>0</v>
      </c>
      <c r="V214" s="16"/>
    </row>
    <row r="215" customFormat="false" ht="15" hidden="false" customHeight="true" outlineLevel="0" collapsed="false">
      <c r="A215" s="4" t="str">
        <f aca="false">IF(B215="","",ROW()-1)</f>
        <v/>
      </c>
      <c r="B215" s="15"/>
      <c r="C215" s="16"/>
      <c r="D215" s="17"/>
      <c r="E215" s="17"/>
      <c r="F215" s="17"/>
      <c r="G215" s="18"/>
      <c r="H215" s="17"/>
      <c r="I215" s="16"/>
      <c r="J215" s="16"/>
      <c r="K215" s="17"/>
      <c r="L215" s="19"/>
      <c r="M215" s="20" t="b">
        <f aca="false">AND(B215&lt;&gt;"",B215&gt;='Read Me'!$B$5,H215&lt;&gt;"")</f>
        <v>0</v>
      </c>
      <c r="N215" s="21" t="str">
        <f aca="false">IF(OR(D215="",E215=""),"",ABS(D215-E215))</f>
        <v/>
      </c>
      <c r="O215" s="22" t="str">
        <f aca="false">IF(OR(H215="",N215="",N215=0),"",IF(C215="BUY",1,-1)*(H215-D215)/N215)</f>
        <v/>
      </c>
      <c r="P215" s="23" t="str">
        <f aca="false">IF(OR(H215="",D215="",K215=""),"",IF(C215="BUY",1,-1)*(H215-D215)*K215*'Read Me'!$B$10-L215)</f>
        <v/>
      </c>
      <c r="Q215" s="4" t="str">
        <f aca="false">IF(O215="","",IF(O215&gt;0,"WIN","LOSS"))</f>
        <v/>
      </c>
      <c r="R215" s="22" t="str">
        <f aca="false">IF(AND(M215,O215&lt;&gt;""),O215,"")</f>
        <v/>
      </c>
      <c r="S215" s="22" t="n">
        <f aca="false">S214+IF(R215="",0,R215)</f>
        <v>0</v>
      </c>
      <c r="T215" s="22" t="n">
        <f aca="false">MAX(T214,S215)</f>
        <v>0</v>
      </c>
      <c r="U215" s="22" t="n">
        <f aca="false">T215-S215</f>
        <v>0</v>
      </c>
      <c r="V215" s="16"/>
    </row>
    <row r="216" customFormat="false" ht="15" hidden="false" customHeight="true" outlineLevel="0" collapsed="false">
      <c r="A216" s="4" t="str">
        <f aca="false">IF(B216="","",ROW()-1)</f>
        <v/>
      </c>
      <c r="B216" s="15"/>
      <c r="C216" s="16"/>
      <c r="D216" s="17"/>
      <c r="E216" s="17"/>
      <c r="F216" s="17"/>
      <c r="G216" s="18"/>
      <c r="H216" s="17"/>
      <c r="I216" s="16"/>
      <c r="J216" s="16"/>
      <c r="K216" s="17"/>
      <c r="L216" s="19"/>
      <c r="M216" s="20" t="b">
        <f aca="false">AND(B216&lt;&gt;"",B216&gt;='Read Me'!$B$5,H216&lt;&gt;"")</f>
        <v>0</v>
      </c>
      <c r="N216" s="21" t="str">
        <f aca="false">IF(OR(D216="",E216=""),"",ABS(D216-E216))</f>
        <v/>
      </c>
      <c r="O216" s="22" t="str">
        <f aca="false">IF(OR(H216="",N216="",N216=0),"",IF(C216="BUY",1,-1)*(H216-D216)/N216)</f>
        <v/>
      </c>
      <c r="P216" s="23" t="str">
        <f aca="false">IF(OR(H216="",D216="",K216=""),"",IF(C216="BUY",1,-1)*(H216-D216)*K216*'Read Me'!$B$10-L216)</f>
        <v/>
      </c>
      <c r="Q216" s="4" t="str">
        <f aca="false">IF(O216="","",IF(O216&gt;0,"WIN","LOSS"))</f>
        <v/>
      </c>
      <c r="R216" s="22" t="str">
        <f aca="false">IF(AND(M216,O216&lt;&gt;""),O216,"")</f>
        <v/>
      </c>
      <c r="S216" s="22" t="n">
        <f aca="false">S215+IF(R216="",0,R216)</f>
        <v>0</v>
      </c>
      <c r="T216" s="22" t="n">
        <f aca="false">MAX(T215,S216)</f>
        <v>0</v>
      </c>
      <c r="U216" s="22" t="n">
        <f aca="false">T216-S216</f>
        <v>0</v>
      </c>
      <c r="V216" s="16"/>
    </row>
    <row r="217" customFormat="false" ht="15" hidden="false" customHeight="true" outlineLevel="0" collapsed="false">
      <c r="A217" s="4" t="str">
        <f aca="false">IF(B217="","",ROW()-1)</f>
        <v/>
      </c>
      <c r="B217" s="15"/>
      <c r="C217" s="16"/>
      <c r="D217" s="17"/>
      <c r="E217" s="17"/>
      <c r="F217" s="17"/>
      <c r="G217" s="18"/>
      <c r="H217" s="17"/>
      <c r="I217" s="16"/>
      <c r="J217" s="16"/>
      <c r="K217" s="17"/>
      <c r="L217" s="19"/>
      <c r="M217" s="20" t="b">
        <f aca="false">AND(B217&lt;&gt;"",B217&gt;='Read Me'!$B$5,H217&lt;&gt;"")</f>
        <v>0</v>
      </c>
      <c r="N217" s="21" t="str">
        <f aca="false">IF(OR(D217="",E217=""),"",ABS(D217-E217))</f>
        <v/>
      </c>
      <c r="O217" s="22" t="str">
        <f aca="false">IF(OR(H217="",N217="",N217=0),"",IF(C217="BUY",1,-1)*(H217-D217)/N217)</f>
        <v/>
      </c>
      <c r="P217" s="23" t="str">
        <f aca="false">IF(OR(H217="",D217="",K217=""),"",IF(C217="BUY",1,-1)*(H217-D217)*K217*'Read Me'!$B$10-L217)</f>
        <v/>
      </c>
      <c r="Q217" s="4" t="str">
        <f aca="false">IF(O217="","",IF(O217&gt;0,"WIN","LOSS"))</f>
        <v/>
      </c>
      <c r="R217" s="22" t="str">
        <f aca="false">IF(AND(M217,O217&lt;&gt;""),O217,"")</f>
        <v/>
      </c>
      <c r="S217" s="22" t="n">
        <f aca="false">S216+IF(R217="",0,R217)</f>
        <v>0</v>
      </c>
      <c r="T217" s="22" t="n">
        <f aca="false">MAX(T216,S217)</f>
        <v>0</v>
      </c>
      <c r="U217" s="22" t="n">
        <f aca="false">T217-S217</f>
        <v>0</v>
      </c>
      <c r="V217" s="16"/>
    </row>
    <row r="218" customFormat="false" ht="15" hidden="false" customHeight="true" outlineLevel="0" collapsed="false">
      <c r="A218" s="4" t="str">
        <f aca="false">IF(B218="","",ROW()-1)</f>
        <v/>
      </c>
      <c r="B218" s="15"/>
      <c r="C218" s="16"/>
      <c r="D218" s="17"/>
      <c r="E218" s="17"/>
      <c r="F218" s="17"/>
      <c r="G218" s="18"/>
      <c r="H218" s="17"/>
      <c r="I218" s="16"/>
      <c r="J218" s="16"/>
      <c r="K218" s="17"/>
      <c r="L218" s="19"/>
      <c r="M218" s="20" t="b">
        <f aca="false">AND(B218&lt;&gt;"",B218&gt;='Read Me'!$B$5,H218&lt;&gt;"")</f>
        <v>0</v>
      </c>
      <c r="N218" s="21" t="str">
        <f aca="false">IF(OR(D218="",E218=""),"",ABS(D218-E218))</f>
        <v/>
      </c>
      <c r="O218" s="22" t="str">
        <f aca="false">IF(OR(H218="",N218="",N218=0),"",IF(C218="BUY",1,-1)*(H218-D218)/N218)</f>
        <v/>
      </c>
      <c r="P218" s="23" t="str">
        <f aca="false">IF(OR(H218="",D218="",K218=""),"",IF(C218="BUY",1,-1)*(H218-D218)*K218*'Read Me'!$B$10-L218)</f>
        <v/>
      </c>
      <c r="Q218" s="4" t="str">
        <f aca="false">IF(O218="","",IF(O218&gt;0,"WIN","LOSS"))</f>
        <v/>
      </c>
      <c r="R218" s="22" t="str">
        <f aca="false">IF(AND(M218,O218&lt;&gt;""),O218,"")</f>
        <v/>
      </c>
      <c r="S218" s="22" t="n">
        <f aca="false">S217+IF(R218="",0,R218)</f>
        <v>0</v>
      </c>
      <c r="T218" s="22" t="n">
        <f aca="false">MAX(T217,S218)</f>
        <v>0</v>
      </c>
      <c r="U218" s="22" t="n">
        <f aca="false">T218-S218</f>
        <v>0</v>
      </c>
      <c r="V218" s="16"/>
    </row>
    <row r="219" customFormat="false" ht="15" hidden="false" customHeight="true" outlineLevel="0" collapsed="false">
      <c r="A219" s="4" t="str">
        <f aca="false">IF(B219="","",ROW()-1)</f>
        <v/>
      </c>
      <c r="B219" s="15"/>
      <c r="C219" s="16"/>
      <c r="D219" s="17"/>
      <c r="E219" s="17"/>
      <c r="F219" s="17"/>
      <c r="G219" s="18"/>
      <c r="H219" s="17"/>
      <c r="I219" s="16"/>
      <c r="J219" s="16"/>
      <c r="K219" s="17"/>
      <c r="L219" s="19"/>
      <c r="M219" s="20" t="b">
        <f aca="false">AND(B219&lt;&gt;"",B219&gt;='Read Me'!$B$5,H219&lt;&gt;"")</f>
        <v>0</v>
      </c>
      <c r="N219" s="21" t="str">
        <f aca="false">IF(OR(D219="",E219=""),"",ABS(D219-E219))</f>
        <v/>
      </c>
      <c r="O219" s="22" t="str">
        <f aca="false">IF(OR(H219="",N219="",N219=0),"",IF(C219="BUY",1,-1)*(H219-D219)/N219)</f>
        <v/>
      </c>
      <c r="P219" s="23" t="str">
        <f aca="false">IF(OR(H219="",D219="",K219=""),"",IF(C219="BUY",1,-1)*(H219-D219)*K219*'Read Me'!$B$10-L219)</f>
        <v/>
      </c>
      <c r="Q219" s="4" t="str">
        <f aca="false">IF(O219="","",IF(O219&gt;0,"WIN","LOSS"))</f>
        <v/>
      </c>
      <c r="R219" s="22" t="str">
        <f aca="false">IF(AND(M219,O219&lt;&gt;""),O219,"")</f>
        <v/>
      </c>
      <c r="S219" s="22" t="n">
        <f aca="false">S218+IF(R219="",0,R219)</f>
        <v>0</v>
      </c>
      <c r="T219" s="22" t="n">
        <f aca="false">MAX(T218,S219)</f>
        <v>0</v>
      </c>
      <c r="U219" s="22" t="n">
        <f aca="false">T219-S219</f>
        <v>0</v>
      </c>
      <c r="V219" s="16"/>
    </row>
    <row r="220" customFormat="false" ht="15" hidden="false" customHeight="true" outlineLevel="0" collapsed="false">
      <c r="A220" s="4" t="str">
        <f aca="false">IF(B220="","",ROW()-1)</f>
        <v/>
      </c>
      <c r="B220" s="15"/>
      <c r="C220" s="16"/>
      <c r="D220" s="17"/>
      <c r="E220" s="17"/>
      <c r="F220" s="17"/>
      <c r="G220" s="18"/>
      <c r="H220" s="17"/>
      <c r="I220" s="16"/>
      <c r="J220" s="16"/>
      <c r="K220" s="17"/>
      <c r="L220" s="19"/>
      <c r="M220" s="20" t="b">
        <f aca="false">AND(B220&lt;&gt;"",B220&gt;='Read Me'!$B$5,H220&lt;&gt;"")</f>
        <v>0</v>
      </c>
      <c r="N220" s="21" t="str">
        <f aca="false">IF(OR(D220="",E220=""),"",ABS(D220-E220))</f>
        <v/>
      </c>
      <c r="O220" s="22" t="str">
        <f aca="false">IF(OR(H220="",N220="",N220=0),"",IF(C220="BUY",1,-1)*(H220-D220)/N220)</f>
        <v/>
      </c>
      <c r="P220" s="23" t="str">
        <f aca="false">IF(OR(H220="",D220="",K220=""),"",IF(C220="BUY",1,-1)*(H220-D220)*K220*'Read Me'!$B$10-L220)</f>
        <v/>
      </c>
      <c r="Q220" s="4" t="str">
        <f aca="false">IF(O220="","",IF(O220&gt;0,"WIN","LOSS"))</f>
        <v/>
      </c>
      <c r="R220" s="22" t="str">
        <f aca="false">IF(AND(M220,O220&lt;&gt;""),O220,"")</f>
        <v/>
      </c>
      <c r="S220" s="22" t="n">
        <f aca="false">S219+IF(R220="",0,R220)</f>
        <v>0</v>
      </c>
      <c r="T220" s="22" t="n">
        <f aca="false">MAX(T219,S220)</f>
        <v>0</v>
      </c>
      <c r="U220" s="22" t="n">
        <f aca="false">T220-S220</f>
        <v>0</v>
      </c>
      <c r="V220" s="16"/>
    </row>
    <row r="221" customFormat="false" ht="15" hidden="false" customHeight="true" outlineLevel="0" collapsed="false">
      <c r="A221" s="4" t="str">
        <f aca="false">IF(B221="","",ROW()-1)</f>
        <v/>
      </c>
      <c r="B221" s="15"/>
      <c r="C221" s="16"/>
      <c r="D221" s="17"/>
      <c r="E221" s="17"/>
      <c r="F221" s="17"/>
      <c r="G221" s="18"/>
      <c r="H221" s="17"/>
      <c r="I221" s="16"/>
      <c r="J221" s="16"/>
      <c r="K221" s="17"/>
      <c r="L221" s="19"/>
      <c r="M221" s="20" t="b">
        <f aca="false">AND(B221&lt;&gt;"",B221&gt;='Read Me'!$B$5,H221&lt;&gt;"")</f>
        <v>0</v>
      </c>
      <c r="N221" s="21" t="str">
        <f aca="false">IF(OR(D221="",E221=""),"",ABS(D221-E221))</f>
        <v/>
      </c>
      <c r="O221" s="22" t="str">
        <f aca="false">IF(OR(H221="",N221="",N221=0),"",IF(C221="BUY",1,-1)*(H221-D221)/N221)</f>
        <v/>
      </c>
      <c r="P221" s="23" t="str">
        <f aca="false">IF(OR(H221="",D221="",K221=""),"",IF(C221="BUY",1,-1)*(H221-D221)*K221*'Read Me'!$B$10-L221)</f>
        <v/>
      </c>
      <c r="Q221" s="4" t="str">
        <f aca="false">IF(O221="","",IF(O221&gt;0,"WIN","LOSS"))</f>
        <v/>
      </c>
      <c r="R221" s="22" t="str">
        <f aca="false">IF(AND(M221,O221&lt;&gt;""),O221,"")</f>
        <v/>
      </c>
      <c r="S221" s="22" t="n">
        <f aca="false">S220+IF(R221="",0,R221)</f>
        <v>0</v>
      </c>
      <c r="T221" s="22" t="n">
        <f aca="false">MAX(T220,S221)</f>
        <v>0</v>
      </c>
      <c r="U221" s="22" t="n">
        <f aca="false">T221-S221</f>
        <v>0</v>
      </c>
      <c r="V221" s="16"/>
    </row>
    <row r="222" customFormat="false" ht="15" hidden="false" customHeight="true" outlineLevel="0" collapsed="false">
      <c r="A222" s="4" t="str">
        <f aca="false">IF(B222="","",ROW()-1)</f>
        <v/>
      </c>
      <c r="B222" s="15"/>
      <c r="C222" s="16"/>
      <c r="D222" s="17"/>
      <c r="E222" s="17"/>
      <c r="F222" s="17"/>
      <c r="G222" s="18"/>
      <c r="H222" s="17"/>
      <c r="I222" s="16"/>
      <c r="J222" s="16"/>
      <c r="K222" s="17"/>
      <c r="L222" s="19"/>
      <c r="M222" s="20" t="b">
        <f aca="false">AND(B222&lt;&gt;"",B222&gt;='Read Me'!$B$5,H222&lt;&gt;"")</f>
        <v>0</v>
      </c>
      <c r="N222" s="21" t="str">
        <f aca="false">IF(OR(D222="",E222=""),"",ABS(D222-E222))</f>
        <v/>
      </c>
      <c r="O222" s="22" t="str">
        <f aca="false">IF(OR(H222="",N222="",N222=0),"",IF(C222="BUY",1,-1)*(H222-D222)/N222)</f>
        <v/>
      </c>
      <c r="P222" s="23" t="str">
        <f aca="false">IF(OR(H222="",D222="",K222=""),"",IF(C222="BUY",1,-1)*(H222-D222)*K222*'Read Me'!$B$10-L222)</f>
        <v/>
      </c>
      <c r="Q222" s="4" t="str">
        <f aca="false">IF(O222="","",IF(O222&gt;0,"WIN","LOSS"))</f>
        <v/>
      </c>
      <c r="R222" s="22" t="str">
        <f aca="false">IF(AND(M222,O222&lt;&gt;""),O222,"")</f>
        <v/>
      </c>
      <c r="S222" s="22" t="n">
        <f aca="false">S221+IF(R222="",0,R222)</f>
        <v>0</v>
      </c>
      <c r="T222" s="22" t="n">
        <f aca="false">MAX(T221,S222)</f>
        <v>0</v>
      </c>
      <c r="U222" s="22" t="n">
        <f aca="false">T222-S222</f>
        <v>0</v>
      </c>
      <c r="V222" s="16"/>
    </row>
    <row r="223" customFormat="false" ht="15" hidden="false" customHeight="true" outlineLevel="0" collapsed="false">
      <c r="A223" s="4" t="str">
        <f aca="false">IF(B223="","",ROW()-1)</f>
        <v/>
      </c>
      <c r="B223" s="15"/>
      <c r="C223" s="16"/>
      <c r="D223" s="17"/>
      <c r="E223" s="17"/>
      <c r="F223" s="17"/>
      <c r="G223" s="18"/>
      <c r="H223" s="17"/>
      <c r="I223" s="16"/>
      <c r="J223" s="16"/>
      <c r="K223" s="17"/>
      <c r="L223" s="19"/>
      <c r="M223" s="20" t="b">
        <f aca="false">AND(B223&lt;&gt;"",B223&gt;='Read Me'!$B$5,H223&lt;&gt;"")</f>
        <v>0</v>
      </c>
      <c r="N223" s="21" t="str">
        <f aca="false">IF(OR(D223="",E223=""),"",ABS(D223-E223))</f>
        <v/>
      </c>
      <c r="O223" s="22" t="str">
        <f aca="false">IF(OR(H223="",N223="",N223=0),"",IF(C223="BUY",1,-1)*(H223-D223)/N223)</f>
        <v/>
      </c>
      <c r="P223" s="23" t="str">
        <f aca="false">IF(OR(H223="",D223="",K223=""),"",IF(C223="BUY",1,-1)*(H223-D223)*K223*'Read Me'!$B$10-L223)</f>
        <v/>
      </c>
      <c r="Q223" s="4" t="str">
        <f aca="false">IF(O223="","",IF(O223&gt;0,"WIN","LOSS"))</f>
        <v/>
      </c>
      <c r="R223" s="22" t="str">
        <f aca="false">IF(AND(M223,O223&lt;&gt;""),O223,"")</f>
        <v/>
      </c>
      <c r="S223" s="22" t="n">
        <f aca="false">S222+IF(R223="",0,R223)</f>
        <v>0</v>
      </c>
      <c r="T223" s="22" t="n">
        <f aca="false">MAX(T222,S223)</f>
        <v>0</v>
      </c>
      <c r="U223" s="22" t="n">
        <f aca="false">T223-S223</f>
        <v>0</v>
      </c>
      <c r="V223" s="16"/>
    </row>
    <row r="224" customFormat="false" ht="15" hidden="false" customHeight="true" outlineLevel="0" collapsed="false">
      <c r="A224" s="4" t="str">
        <f aca="false">IF(B224="","",ROW()-1)</f>
        <v/>
      </c>
      <c r="B224" s="15"/>
      <c r="C224" s="16"/>
      <c r="D224" s="17"/>
      <c r="E224" s="17"/>
      <c r="F224" s="17"/>
      <c r="G224" s="18"/>
      <c r="H224" s="17"/>
      <c r="I224" s="16"/>
      <c r="J224" s="16"/>
      <c r="K224" s="17"/>
      <c r="L224" s="19"/>
      <c r="M224" s="20" t="b">
        <f aca="false">AND(B224&lt;&gt;"",B224&gt;='Read Me'!$B$5,H224&lt;&gt;"")</f>
        <v>0</v>
      </c>
      <c r="N224" s="21" t="str">
        <f aca="false">IF(OR(D224="",E224=""),"",ABS(D224-E224))</f>
        <v/>
      </c>
      <c r="O224" s="22" t="str">
        <f aca="false">IF(OR(H224="",N224="",N224=0),"",IF(C224="BUY",1,-1)*(H224-D224)/N224)</f>
        <v/>
      </c>
      <c r="P224" s="23" t="str">
        <f aca="false">IF(OR(H224="",D224="",K224=""),"",IF(C224="BUY",1,-1)*(H224-D224)*K224*'Read Me'!$B$10-L224)</f>
        <v/>
      </c>
      <c r="Q224" s="4" t="str">
        <f aca="false">IF(O224="","",IF(O224&gt;0,"WIN","LOSS"))</f>
        <v/>
      </c>
      <c r="R224" s="22" t="str">
        <f aca="false">IF(AND(M224,O224&lt;&gt;""),O224,"")</f>
        <v/>
      </c>
      <c r="S224" s="22" t="n">
        <f aca="false">S223+IF(R224="",0,R224)</f>
        <v>0</v>
      </c>
      <c r="T224" s="22" t="n">
        <f aca="false">MAX(T223,S224)</f>
        <v>0</v>
      </c>
      <c r="U224" s="22" t="n">
        <f aca="false">T224-S224</f>
        <v>0</v>
      </c>
      <c r="V224" s="16"/>
    </row>
    <row r="225" customFormat="false" ht="15" hidden="false" customHeight="true" outlineLevel="0" collapsed="false">
      <c r="A225" s="4" t="str">
        <f aca="false">IF(B225="","",ROW()-1)</f>
        <v/>
      </c>
      <c r="B225" s="15"/>
      <c r="C225" s="16"/>
      <c r="D225" s="17"/>
      <c r="E225" s="17"/>
      <c r="F225" s="17"/>
      <c r="G225" s="18"/>
      <c r="H225" s="17"/>
      <c r="I225" s="16"/>
      <c r="J225" s="16"/>
      <c r="K225" s="17"/>
      <c r="L225" s="19"/>
      <c r="M225" s="20" t="b">
        <f aca="false">AND(B225&lt;&gt;"",B225&gt;='Read Me'!$B$5,H225&lt;&gt;"")</f>
        <v>0</v>
      </c>
      <c r="N225" s="21" t="str">
        <f aca="false">IF(OR(D225="",E225=""),"",ABS(D225-E225))</f>
        <v/>
      </c>
      <c r="O225" s="22" t="str">
        <f aca="false">IF(OR(H225="",N225="",N225=0),"",IF(C225="BUY",1,-1)*(H225-D225)/N225)</f>
        <v/>
      </c>
      <c r="P225" s="23" t="str">
        <f aca="false">IF(OR(H225="",D225="",K225=""),"",IF(C225="BUY",1,-1)*(H225-D225)*K225*'Read Me'!$B$10-L225)</f>
        <v/>
      </c>
      <c r="Q225" s="4" t="str">
        <f aca="false">IF(O225="","",IF(O225&gt;0,"WIN","LOSS"))</f>
        <v/>
      </c>
      <c r="R225" s="22" t="str">
        <f aca="false">IF(AND(M225,O225&lt;&gt;""),O225,"")</f>
        <v/>
      </c>
      <c r="S225" s="22" t="n">
        <f aca="false">S224+IF(R225="",0,R225)</f>
        <v>0</v>
      </c>
      <c r="T225" s="22" t="n">
        <f aca="false">MAX(T224,S225)</f>
        <v>0</v>
      </c>
      <c r="U225" s="22" t="n">
        <f aca="false">T225-S225</f>
        <v>0</v>
      </c>
      <c r="V225" s="16"/>
    </row>
    <row r="226" customFormat="false" ht="15" hidden="false" customHeight="true" outlineLevel="0" collapsed="false">
      <c r="A226" s="4" t="str">
        <f aca="false">IF(B226="","",ROW()-1)</f>
        <v/>
      </c>
      <c r="B226" s="15"/>
      <c r="C226" s="16"/>
      <c r="D226" s="17"/>
      <c r="E226" s="17"/>
      <c r="F226" s="17"/>
      <c r="G226" s="18"/>
      <c r="H226" s="17"/>
      <c r="I226" s="16"/>
      <c r="J226" s="16"/>
      <c r="K226" s="17"/>
      <c r="L226" s="19"/>
      <c r="M226" s="20" t="b">
        <f aca="false">AND(B226&lt;&gt;"",B226&gt;='Read Me'!$B$5,H226&lt;&gt;"")</f>
        <v>0</v>
      </c>
      <c r="N226" s="21" t="str">
        <f aca="false">IF(OR(D226="",E226=""),"",ABS(D226-E226))</f>
        <v/>
      </c>
      <c r="O226" s="22" t="str">
        <f aca="false">IF(OR(H226="",N226="",N226=0),"",IF(C226="BUY",1,-1)*(H226-D226)/N226)</f>
        <v/>
      </c>
      <c r="P226" s="23" t="str">
        <f aca="false">IF(OR(H226="",D226="",K226=""),"",IF(C226="BUY",1,-1)*(H226-D226)*K226*'Read Me'!$B$10-L226)</f>
        <v/>
      </c>
      <c r="Q226" s="4" t="str">
        <f aca="false">IF(O226="","",IF(O226&gt;0,"WIN","LOSS"))</f>
        <v/>
      </c>
      <c r="R226" s="22" t="str">
        <f aca="false">IF(AND(M226,O226&lt;&gt;""),O226,"")</f>
        <v/>
      </c>
      <c r="S226" s="22" t="n">
        <f aca="false">S225+IF(R226="",0,R226)</f>
        <v>0</v>
      </c>
      <c r="T226" s="22" t="n">
        <f aca="false">MAX(T225,S226)</f>
        <v>0</v>
      </c>
      <c r="U226" s="22" t="n">
        <f aca="false">T226-S226</f>
        <v>0</v>
      </c>
      <c r="V226" s="16"/>
    </row>
    <row r="227" customFormat="false" ht="15" hidden="false" customHeight="true" outlineLevel="0" collapsed="false">
      <c r="A227" s="4" t="str">
        <f aca="false">IF(B227="","",ROW()-1)</f>
        <v/>
      </c>
      <c r="B227" s="15"/>
      <c r="C227" s="16"/>
      <c r="D227" s="17"/>
      <c r="E227" s="17"/>
      <c r="F227" s="17"/>
      <c r="G227" s="18"/>
      <c r="H227" s="17"/>
      <c r="I227" s="16"/>
      <c r="J227" s="16"/>
      <c r="K227" s="17"/>
      <c r="L227" s="19"/>
      <c r="M227" s="20" t="b">
        <f aca="false">AND(B227&lt;&gt;"",B227&gt;='Read Me'!$B$5,H227&lt;&gt;"")</f>
        <v>0</v>
      </c>
      <c r="N227" s="21" t="str">
        <f aca="false">IF(OR(D227="",E227=""),"",ABS(D227-E227))</f>
        <v/>
      </c>
      <c r="O227" s="22" t="str">
        <f aca="false">IF(OR(H227="",N227="",N227=0),"",IF(C227="BUY",1,-1)*(H227-D227)/N227)</f>
        <v/>
      </c>
      <c r="P227" s="23" t="str">
        <f aca="false">IF(OR(H227="",D227="",K227=""),"",IF(C227="BUY",1,-1)*(H227-D227)*K227*'Read Me'!$B$10-L227)</f>
        <v/>
      </c>
      <c r="Q227" s="4" t="str">
        <f aca="false">IF(O227="","",IF(O227&gt;0,"WIN","LOSS"))</f>
        <v/>
      </c>
      <c r="R227" s="22" t="str">
        <f aca="false">IF(AND(M227,O227&lt;&gt;""),O227,"")</f>
        <v/>
      </c>
      <c r="S227" s="22" t="n">
        <f aca="false">S226+IF(R227="",0,R227)</f>
        <v>0</v>
      </c>
      <c r="T227" s="22" t="n">
        <f aca="false">MAX(T226,S227)</f>
        <v>0</v>
      </c>
      <c r="U227" s="22" t="n">
        <f aca="false">T227-S227</f>
        <v>0</v>
      </c>
      <c r="V227" s="16"/>
    </row>
    <row r="228" customFormat="false" ht="15" hidden="false" customHeight="true" outlineLevel="0" collapsed="false">
      <c r="A228" s="4" t="str">
        <f aca="false">IF(B228="","",ROW()-1)</f>
        <v/>
      </c>
      <c r="B228" s="15"/>
      <c r="C228" s="16"/>
      <c r="D228" s="17"/>
      <c r="E228" s="17"/>
      <c r="F228" s="17"/>
      <c r="G228" s="18"/>
      <c r="H228" s="17"/>
      <c r="I228" s="16"/>
      <c r="J228" s="16"/>
      <c r="K228" s="17"/>
      <c r="L228" s="19"/>
      <c r="M228" s="20" t="b">
        <f aca="false">AND(B228&lt;&gt;"",B228&gt;='Read Me'!$B$5,H228&lt;&gt;"")</f>
        <v>0</v>
      </c>
      <c r="N228" s="21" t="str">
        <f aca="false">IF(OR(D228="",E228=""),"",ABS(D228-E228))</f>
        <v/>
      </c>
      <c r="O228" s="22" t="str">
        <f aca="false">IF(OR(H228="",N228="",N228=0),"",IF(C228="BUY",1,-1)*(H228-D228)/N228)</f>
        <v/>
      </c>
      <c r="P228" s="23" t="str">
        <f aca="false">IF(OR(H228="",D228="",K228=""),"",IF(C228="BUY",1,-1)*(H228-D228)*K228*'Read Me'!$B$10-L228)</f>
        <v/>
      </c>
      <c r="Q228" s="4" t="str">
        <f aca="false">IF(O228="","",IF(O228&gt;0,"WIN","LOSS"))</f>
        <v/>
      </c>
      <c r="R228" s="22" t="str">
        <f aca="false">IF(AND(M228,O228&lt;&gt;""),O228,"")</f>
        <v/>
      </c>
      <c r="S228" s="22" t="n">
        <f aca="false">S227+IF(R228="",0,R228)</f>
        <v>0</v>
      </c>
      <c r="T228" s="22" t="n">
        <f aca="false">MAX(T227,S228)</f>
        <v>0</v>
      </c>
      <c r="U228" s="22" t="n">
        <f aca="false">T228-S228</f>
        <v>0</v>
      </c>
      <c r="V228" s="16"/>
    </row>
    <row r="229" customFormat="false" ht="15" hidden="false" customHeight="true" outlineLevel="0" collapsed="false">
      <c r="A229" s="4" t="str">
        <f aca="false">IF(B229="","",ROW()-1)</f>
        <v/>
      </c>
      <c r="B229" s="15"/>
      <c r="C229" s="16"/>
      <c r="D229" s="17"/>
      <c r="E229" s="17"/>
      <c r="F229" s="17"/>
      <c r="G229" s="18"/>
      <c r="H229" s="17"/>
      <c r="I229" s="16"/>
      <c r="J229" s="16"/>
      <c r="K229" s="17"/>
      <c r="L229" s="19"/>
      <c r="M229" s="20" t="b">
        <f aca="false">AND(B229&lt;&gt;"",B229&gt;='Read Me'!$B$5,H229&lt;&gt;"")</f>
        <v>0</v>
      </c>
      <c r="N229" s="21" t="str">
        <f aca="false">IF(OR(D229="",E229=""),"",ABS(D229-E229))</f>
        <v/>
      </c>
      <c r="O229" s="22" t="str">
        <f aca="false">IF(OR(H229="",N229="",N229=0),"",IF(C229="BUY",1,-1)*(H229-D229)/N229)</f>
        <v/>
      </c>
      <c r="P229" s="23" t="str">
        <f aca="false">IF(OR(H229="",D229="",K229=""),"",IF(C229="BUY",1,-1)*(H229-D229)*K229*'Read Me'!$B$10-L229)</f>
        <v/>
      </c>
      <c r="Q229" s="4" t="str">
        <f aca="false">IF(O229="","",IF(O229&gt;0,"WIN","LOSS"))</f>
        <v/>
      </c>
      <c r="R229" s="22" t="str">
        <f aca="false">IF(AND(M229,O229&lt;&gt;""),O229,"")</f>
        <v/>
      </c>
      <c r="S229" s="22" t="n">
        <f aca="false">S228+IF(R229="",0,R229)</f>
        <v>0</v>
      </c>
      <c r="T229" s="22" t="n">
        <f aca="false">MAX(T228,S229)</f>
        <v>0</v>
      </c>
      <c r="U229" s="22" t="n">
        <f aca="false">T229-S229</f>
        <v>0</v>
      </c>
      <c r="V229" s="16"/>
    </row>
    <row r="230" customFormat="false" ht="15" hidden="false" customHeight="true" outlineLevel="0" collapsed="false">
      <c r="A230" s="4" t="str">
        <f aca="false">IF(B230="","",ROW()-1)</f>
        <v/>
      </c>
      <c r="B230" s="15"/>
      <c r="C230" s="16"/>
      <c r="D230" s="17"/>
      <c r="E230" s="17"/>
      <c r="F230" s="17"/>
      <c r="G230" s="18"/>
      <c r="H230" s="17"/>
      <c r="I230" s="16"/>
      <c r="J230" s="16"/>
      <c r="K230" s="17"/>
      <c r="L230" s="19"/>
      <c r="M230" s="20" t="b">
        <f aca="false">AND(B230&lt;&gt;"",B230&gt;='Read Me'!$B$5,H230&lt;&gt;"")</f>
        <v>0</v>
      </c>
      <c r="N230" s="21" t="str">
        <f aca="false">IF(OR(D230="",E230=""),"",ABS(D230-E230))</f>
        <v/>
      </c>
      <c r="O230" s="22" t="str">
        <f aca="false">IF(OR(H230="",N230="",N230=0),"",IF(C230="BUY",1,-1)*(H230-D230)/N230)</f>
        <v/>
      </c>
      <c r="P230" s="23" t="str">
        <f aca="false">IF(OR(H230="",D230="",K230=""),"",IF(C230="BUY",1,-1)*(H230-D230)*K230*'Read Me'!$B$10-L230)</f>
        <v/>
      </c>
      <c r="Q230" s="4" t="str">
        <f aca="false">IF(O230="","",IF(O230&gt;0,"WIN","LOSS"))</f>
        <v/>
      </c>
      <c r="R230" s="22" t="str">
        <f aca="false">IF(AND(M230,O230&lt;&gt;""),O230,"")</f>
        <v/>
      </c>
      <c r="S230" s="22" t="n">
        <f aca="false">S229+IF(R230="",0,R230)</f>
        <v>0</v>
      </c>
      <c r="T230" s="22" t="n">
        <f aca="false">MAX(T229,S230)</f>
        <v>0</v>
      </c>
      <c r="U230" s="22" t="n">
        <f aca="false">T230-S230</f>
        <v>0</v>
      </c>
      <c r="V230" s="16"/>
    </row>
    <row r="231" customFormat="false" ht="15" hidden="false" customHeight="true" outlineLevel="0" collapsed="false">
      <c r="A231" s="4" t="str">
        <f aca="false">IF(B231="","",ROW()-1)</f>
        <v/>
      </c>
      <c r="B231" s="15"/>
      <c r="C231" s="16"/>
      <c r="D231" s="17"/>
      <c r="E231" s="17"/>
      <c r="F231" s="17"/>
      <c r="G231" s="18"/>
      <c r="H231" s="17"/>
      <c r="I231" s="16"/>
      <c r="J231" s="16"/>
      <c r="K231" s="17"/>
      <c r="L231" s="19"/>
      <c r="M231" s="20" t="b">
        <f aca="false">AND(B231&lt;&gt;"",B231&gt;='Read Me'!$B$5,H231&lt;&gt;"")</f>
        <v>0</v>
      </c>
      <c r="N231" s="21" t="str">
        <f aca="false">IF(OR(D231="",E231=""),"",ABS(D231-E231))</f>
        <v/>
      </c>
      <c r="O231" s="22" t="str">
        <f aca="false">IF(OR(H231="",N231="",N231=0),"",IF(C231="BUY",1,-1)*(H231-D231)/N231)</f>
        <v/>
      </c>
      <c r="P231" s="23" t="str">
        <f aca="false">IF(OR(H231="",D231="",K231=""),"",IF(C231="BUY",1,-1)*(H231-D231)*K231*'Read Me'!$B$10-L231)</f>
        <v/>
      </c>
      <c r="Q231" s="4" t="str">
        <f aca="false">IF(O231="","",IF(O231&gt;0,"WIN","LOSS"))</f>
        <v/>
      </c>
      <c r="R231" s="22" t="str">
        <f aca="false">IF(AND(M231,O231&lt;&gt;""),O231,"")</f>
        <v/>
      </c>
      <c r="S231" s="22" t="n">
        <f aca="false">S230+IF(R231="",0,R231)</f>
        <v>0</v>
      </c>
      <c r="T231" s="22" t="n">
        <f aca="false">MAX(T230,S231)</f>
        <v>0</v>
      </c>
      <c r="U231" s="22" t="n">
        <f aca="false">T231-S231</f>
        <v>0</v>
      </c>
      <c r="V231" s="16"/>
    </row>
    <row r="232" customFormat="false" ht="15" hidden="false" customHeight="true" outlineLevel="0" collapsed="false">
      <c r="A232" s="4" t="str">
        <f aca="false">IF(B232="","",ROW()-1)</f>
        <v/>
      </c>
      <c r="B232" s="15"/>
      <c r="C232" s="16"/>
      <c r="D232" s="17"/>
      <c r="E232" s="17"/>
      <c r="F232" s="17"/>
      <c r="G232" s="18"/>
      <c r="H232" s="17"/>
      <c r="I232" s="16"/>
      <c r="J232" s="16"/>
      <c r="K232" s="17"/>
      <c r="L232" s="19"/>
      <c r="M232" s="20" t="b">
        <f aca="false">AND(B232&lt;&gt;"",B232&gt;='Read Me'!$B$5,H232&lt;&gt;"")</f>
        <v>0</v>
      </c>
      <c r="N232" s="21" t="str">
        <f aca="false">IF(OR(D232="",E232=""),"",ABS(D232-E232))</f>
        <v/>
      </c>
      <c r="O232" s="22" t="str">
        <f aca="false">IF(OR(H232="",N232="",N232=0),"",IF(C232="BUY",1,-1)*(H232-D232)/N232)</f>
        <v/>
      </c>
      <c r="P232" s="23" t="str">
        <f aca="false">IF(OR(H232="",D232="",K232=""),"",IF(C232="BUY",1,-1)*(H232-D232)*K232*'Read Me'!$B$10-L232)</f>
        <v/>
      </c>
      <c r="Q232" s="4" t="str">
        <f aca="false">IF(O232="","",IF(O232&gt;0,"WIN","LOSS"))</f>
        <v/>
      </c>
      <c r="R232" s="22" t="str">
        <f aca="false">IF(AND(M232,O232&lt;&gt;""),O232,"")</f>
        <v/>
      </c>
      <c r="S232" s="22" t="n">
        <f aca="false">S231+IF(R232="",0,R232)</f>
        <v>0</v>
      </c>
      <c r="T232" s="22" t="n">
        <f aca="false">MAX(T231,S232)</f>
        <v>0</v>
      </c>
      <c r="U232" s="22" t="n">
        <f aca="false">T232-S232</f>
        <v>0</v>
      </c>
      <c r="V232" s="16"/>
    </row>
    <row r="233" customFormat="false" ht="15" hidden="false" customHeight="true" outlineLevel="0" collapsed="false">
      <c r="A233" s="4" t="str">
        <f aca="false">IF(B233="","",ROW()-1)</f>
        <v/>
      </c>
      <c r="B233" s="15"/>
      <c r="C233" s="16"/>
      <c r="D233" s="17"/>
      <c r="E233" s="17"/>
      <c r="F233" s="17"/>
      <c r="G233" s="18"/>
      <c r="H233" s="17"/>
      <c r="I233" s="16"/>
      <c r="J233" s="16"/>
      <c r="K233" s="17"/>
      <c r="L233" s="19"/>
      <c r="M233" s="20" t="b">
        <f aca="false">AND(B233&lt;&gt;"",B233&gt;='Read Me'!$B$5,H233&lt;&gt;"")</f>
        <v>0</v>
      </c>
      <c r="N233" s="21" t="str">
        <f aca="false">IF(OR(D233="",E233=""),"",ABS(D233-E233))</f>
        <v/>
      </c>
      <c r="O233" s="22" t="str">
        <f aca="false">IF(OR(H233="",N233="",N233=0),"",IF(C233="BUY",1,-1)*(H233-D233)/N233)</f>
        <v/>
      </c>
      <c r="P233" s="23" t="str">
        <f aca="false">IF(OR(H233="",D233="",K233=""),"",IF(C233="BUY",1,-1)*(H233-D233)*K233*'Read Me'!$B$10-L233)</f>
        <v/>
      </c>
      <c r="Q233" s="4" t="str">
        <f aca="false">IF(O233="","",IF(O233&gt;0,"WIN","LOSS"))</f>
        <v/>
      </c>
      <c r="R233" s="22" t="str">
        <f aca="false">IF(AND(M233,O233&lt;&gt;""),O233,"")</f>
        <v/>
      </c>
      <c r="S233" s="22" t="n">
        <f aca="false">S232+IF(R233="",0,R233)</f>
        <v>0</v>
      </c>
      <c r="T233" s="22" t="n">
        <f aca="false">MAX(T232,S233)</f>
        <v>0</v>
      </c>
      <c r="U233" s="22" t="n">
        <f aca="false">T233-S233</f>
        <v>0</v>
      </c>
      <c r="V233" s="16"/>
    </row>
    <row r="234" customFormat="false" ht="15" hidden="false" customHeight="true" outlineLevel="0" collapsed="false">
      <c r="A234" s="4" t="str">
        <f aca="false">IF(B234="","",ROW()-1)</f>
        <v/>
      </c>
      <c r="B234" s="15"/>
      <c r="C234" s="16"/>
      <c r="D234" s="17"/>
      <c r="E234" s="17"/>
      <c r="F234" s="17"/>
      <c r="G234" s="18"/>
      <c r="H234" s="17"/>
      <c r="I234" s="16"/>
      <c r="J234" s="16"/>
      <c r="K234" s="17"/>
      <c r="L234" s="19"/>
      <c r="M234" s="20" t="b">
        <f aca="false">AND(B234&lt;&gt;"",B234&gt;='Read Me'!$B$5,H234&lt;&gt;"")</f>
        <v>0</v>
      </c>
      <c r="N234" s="21" t="str">
        <f aca="false">IF(OR(D234="",E234=""),"",ABS(D234-E234))</f>
        <v/>
      </c>
      <c r="O234" s="22" t="str">
        <f aca="false">IF(OR(H234="",N234="",N234=0),"",IF(C234="BUY",1,-1)*(H234-D234)/N234)</f>
        <v/>
      </c>
      <c r="P234" s="23" t="str">
        <f aca="false">IF(OR(H234="",D234="",K234=""),"",IF(C234="BUY",1,-1)*(H234-D234)*K234*'Read Me'!$B$10-L234)</f>
        <v/>
      </c>
      <c r="Q234" s="4" t="str">
        <f aca="false">IF(O234="","",IF(O234&gt;0,"WIN","LOSS"))</f>
        <v/>
      </c>
      <c r="R234" s="22" t="str">
        <f aca="false">IF(AND(M234,O234&lt;&gt;""),O234,"")</f>
        <v/>
      </c>
      <c r="S234" s="22" t="n">
        <f aca="false">S233+IF(R234="",0,R234)</f>
        <v>0</v>
      </c>
      <c r="T234" s="22" t="n">
        <f aca="false">MAX(T233,S234)</f>
        <v>0</v>
      </c>
      <c r="U234" s="22" t="n">
        <f aca="false">T234-S234</f>
        <v>0</v>
      </c>
      <c r="V234" s="16"/>
    </row>
    <row r="235" customFormat="false" ht="15" hidden="false" customHeight="true" outlineLevel="0" collapsed="false">
      <c r="A235" s="4" t="str">
        <f aca="false">IF(B235="","",ROW()-1)</f>
        <v/>
      </c>
      <c r="B235" s="15"/>
      <c r="C235" s="16"/>
      <c r="D235" s="17"/>
      <c r="E235" s="17"/>
      <c r="F235" s="17"/>
      <c r="G235" s="18"/>
      <c r="H235" s="17"/>
      <c r="I235" s="16"/>
      <c r="J235" s="16"/>
      <c r="K235" s="17"/>
      <c r="L235" s="19"/>
      <c r="M235" s="20" t="b">
        <f aca="false">AND(B235&lt;&gt;"",B235&gt;='Read Me'!$B$5,H235&lt;&gt;"")</f>
        <v>0</v>
      </c>
      <c r="N235" s="21" t="str">
        <f aca="false">IF(OR(D235="",E235=""),"",ABS(D235-E235))</f>
        <v/>
      </c>
      <c r="O235" s="22" t="str">
        <f aca="false">IF(OR(H235="",N235="",N235=0),"",IF(C235="BUY",1,-1)*(H235-D235)/N235)</f>
        <v/>
      </c>
      <c r="P235" s="23" t="str">
        <f aca="false">IF(OR(H235="",D235="",K235=""),"",IF(C235="BUY",1,-1)*(H235-D235)*K235*'Read Me'!$B$10-L235)</f>
        <v/>
      </c>
      <c r="Q235" s="4" t="str">
        <f aca="false">IF(O235="","",IF(O235&gt;0,"WIN","LOSS"))</f>
        <v/>
      </c>
      <c r="R235" s="22" t="str">
        <f aca="false">IF(AND(M235,O235&lt;&gt;""),O235,"")</f>
        <v/>
      </c>
      <c r="S235" s="22" t="n">
        <f aca="false">S234+IF(R235="",0,R235)</f>
        <v>0</v>
      </c>
      <c r="T235" s="22" t="n">
        <f aca="false">MAX(T234,S235)</f>
        <v>0</v>
      </c>
      <c r="U235" s="22" t="n">
        <f aca="false">T235-S235</f>
        <v>0</v>
      </c>
      <c r="V235" s="16"/>
    </row>
    <row r="236" customFormat="false" ht="15" hidden="false" customHeight="true" outlineLevel="0" collapsed="false">
      <c r="A236" s="4" t="str">
        <f aca="false">IF(B236="","",ROW()-1)</f>
        <v/>
      </c>
      <c r="B236" s="15"/>
      <c r="C236" s="16"/>
      <c r="D236" s="17"/>
      <c r="E236" s="17"/>
      <c r="F236" s="17"/>
      <c r="G236" s="18"/>
      <c r="H236" s="17"/>
      <c r="I236" s="16"/>
      <c r="J236" s="16"/>
      <c r="K236" s="17"/>
      <c r="L236" s="19"/>
      <c r="M236" s="20" t="b">
        <f aca="false">AND(B236&lt;&gt;"",B236&gt;='Read Me'!$B$5,H236&lt;&gt;"")</f>
        <v>0</v>
      </c>
      <c r="N236" s="21" t="str">
        <f aca="false">IF(OR(D236="",E236=""),"",ABS(D236-E236))</f>
        <v/>
      </c>
      <c r="O236" s="22" t="str">
        <f aca="false">IF(OR(H236="",N236="",N236=0),"",IF(C236="BUY",1,-1)*(H236-D236)/N236)</f>
        <v/>
      </c>
      <c r="P236" s="23" t="str">
        <f aca="false">IF(OR(H236="",D236="",K236=""),"",IF(C236="BUY",1,-1)*(H236-D236)*K236*'Read Me'!$B$10-L236)</f>
        <v/>
      </c>
      <c r="Q236" s="4" t="str">
        <f aca="false">IF(O236="","",IF(O236&gt;0,"WIN","LOSS"))</f>
        <v/>
      </c>
      <c r="R236" s="22" t="str">
        <f aca="false">IF(AND(M236,O236&lt;&gt;""),O236,"")</f>
        <v/>
      </c>
      <c r="S236" s="22" t="n">
        <f aca="false">S235+IF(R236="",0,R236)</f>
        <v>0</v>
      </c>
      <c r="T236" s="22" t="n">
        <f aca="false">MAX(T235,S236)</f>
        <v>0</v>
      </c>
      <c r="U236" s="22" t="n">
        <f aca="false">T236-S236</f>
        <v>0</v>
      </c>
      <c r="V236" s="16"/>
    </row>
    <row r="237" customFormat="false" ht="15" hidden="false" customHeight="true" outlineLevel="0" collapsed="false">
      <c r="A237" s="4" t="str">
        <f aca="false">IF(B237="","",ROW()-1)</f>
        <v/>
      </c>
      <c r="B237" s="15"/>
      <c r="C237" s="16"/>
      <c r="D237" s="17"/>
      <c r="E237" s="17"/>
      <c r="F237" s="17"/>
      <c r="G237" s="18"/>
      <c r="H237" s="17"/>
      <c r="I237" s="16"/>
      <c r="J237" s="16"/>
      <c r="K237" s="17"/>
      <c r="L237" s="19"/>
      <c r="M237" s="20" t="b">
        <f aca="false">AND(B237&lt;&gt;"",B237&gt;='Read Me'!$B$5,H237&lt;&gt;"")</f>
        <v>0</v>
      </c>
      <c r="N237" s="21" t="str">
        <f aca="false">IF(OR(D237="",E237=""),"",ABS(D237-E237))</f>
        <v/>
      </c>
      <c r="O237" s="22" t="str">
        <f aca="false">IF(OR(H237="",N237="",N237=0),"",IF(C237="BUY",1,-1)*(H237-D237)/N237)</f>
        <v/>
      </c>
      <c r="P237" s="23" t="str">
        <f aca="false">IF(OR(H237="",D237="",K237=""),"",IF(C237="BUY",1,-1)*(H237-D237)*K237*'Read Me'!$B$10-L237)</f>
        <v/>
      </c>
      <c r="Q237" s="4" t="str">
        <f aca="false">IF(O237="","",IF(O237&gt;0,"WIN","LOSS"))</f>
        <v/>
      </c>
      <c r="R237" s="22" t="str">
        <f aca="false">IF(AND(M237,O237&lt;&gt;""),O237,"")</f>
        <v/>
      </c>
      <c r="S237" s="22" t="n">
        <f aca="false">S236+IF(R237="",0,R237)</f>
        <v>0</v>
      </c>
      <c r="T237" s="22" t="n">
        <f aca="false">MAX(T236,S237)</f>
        <v>0</v>
      </c>
      <c r="U237" s="22" t="n">
        <f aca="false">T237-S237</f>
        <v>0</v>
      </c>
      <c r="V237" s="16"/>
    </row>
    <row r="238" customFormat="false" ht="15" hidden="false" customHeight="true" outlineLevel="0" collapsed="false">
      <c r="A238" s="4" t="str">
        <f aca="false">IF(B238="","",ROW()-1)</f>
        <v/>
      </c>
      <c r="B238" s="15"/>
      <c r="C238" s="16"/>
      <c r="D238" s="17"/>
      <c r="E238" s="17"/>
      <c r="F238" s="17"/>
      <c r="G238" s="18"/>
      <c r="H238" s="17"/>
      <c r="I238" s="16"/>
      <c r="J238" s="16"/>
      <c r="K238" s="17"/>
      <c r="L238" s="19"/>
      <c r="M238" s="20" t="b">
        <f aca="false">AND(B238&lt;&gt;"",B238&gt;='Read Me'!$B$5,H238&lt;&gt;"")</f>
        <v>0</v>
      </c>
      <c r="N238" s="21" t="str">
        <f aca="false">IF(OR(D238="",E238=""),"",ABS(D238-E238))</f>
        <v/>
      </c>
      <c r="O238" s="22" t="str">
        <f aca="false">IF(OR(H238="",N238="",N238=0),"",IF(C238="BUY",1,-1)*(H238-D238)/N238)</f>
        <v/>
      </c>
      <c r="P238" s="23" t="str">
        <f aca="false">IF(OR(H238="",D238="",K238=""),"",IF(C238="BUY",1,-1)*(H238-D238)*K238*'Read Me'!$B$10-L238)</f>
        <v/>
      </c>
      <c r="Q238" s="4" t="str">
        <f aca="false">IF(O238="","",IF(O238&gt;0,"WIN","LOSS"))</f>
        <v/>
      </c>
      <c r="R238" s="22" t="str">
        <f aca="false">IF(AND(M238,O238&lt;&gt;""),O238,"")</f>
        <v/>
      </c>
      <c r="S238" s="22" t="n">
        <f aca="false">S237+IF(R238="",0,R238)</f>
        <v>0</v>
      </c>
      <c r="T238" s="22" t="n">
        <f aca="false">MAX(T237,S238)</f>
        <v>0</v>
      </c>
      <c r="U238" s="22" t="n">
        <f aca="false">T238-S238</f>
        <v>0</v>
      </c>
      <c r="V238" s="16"/>
    </row>
    <row r="239" customFormat="false" ht="15" hidden="false" customHeight="true" outlineLevel="0" collapsed="false">
      <c r="A239" s="4" t="str">
        <f aca="false">IF(B239="","",ROW()-1)</f>
        <v/>
      </c>
      <c r="B239" s="15"/>
      <c r="C239" s="16"/>
      <c r="D239" s="17"/>
      <c r="E239" s="17"/>
      <c r="F239" s="17"/>
      <c r="G239" s="18"/>
      <c r="H239" s="17"/>
      <c r="I239" s="16"/>
      <c r="J239" s="16"/>
      <c r="K239" s="17"/>
      <c r="L239" s="19"/>
      <c r="M239" s="20" t="b">
        <f aca="false">AND(B239&lt;&gt;"",B239&gt;='Read Me'!$B$5,H239&lt;&gt;"")</f>
        <v>0</v>
      </c>
      <c r="N239" s="21" t="str">
        <f aca="false">IF(OR(D239="",E239=""),"",ABS(D239-E239))</f>
        <v/>
      </c>
      <c r="O239" s="22" t="str">
        <f aca="false">IF(OR(H239="",N239="",N239=0),"",IF(C239="BUY",1,-1)*(H239-D239)/N239)</f>
        <v/>
      </c>
      <c r="P239" s="23" t="str">
        <f aca="false">IF(OR(H239="",D239="",K239=""),"",IF(C239="BUY",1,-1)*(H239-D239)*K239*'Read Me'!$B$10-L239)</f>
        <v/>
      </c>
      <c r="Q239" s="4" t="str">
        <f aca="false">IF(O239="","",IF(O239&gt;0,"WIN","LOSS"))</f>
        <v/>
      </c>
      <c r="R239" s="22" t="str">
        <f aca="false">IF(AND(M239,O239&lt;&gt;""),O239,"")</f>
        <v/>
      </c>
      <c r="S239" s="22" t="n">
        <f aca="false">S238+IF(R239="",0,R239)</f>
        <v>0</v>
      </c>
      <c r="T239" s="22" t="n">
        <f aca="false">MAX(T238,S239)</f>
        <v>0</v>
      </c>
      <c r="U239" s="22" t="n">
        <f aca="false">T239-S239</f>
        <v>0</v>
      </c>
      <c r="V239" s="16"/>
    </row>
    <row r="240" customFormat="false" ht="15" hidden="false" customHeight="true" outlineLevel="0" collapsed="false">
      <c r="A240" s="4" t="str">
        <f aca="false">IF(B240="","",ROW()-1)</f>
        <v/>
      </c>
      <c r="B240" s="15"/>
      <c r="C240" s="16"/>
      <c r="D240" s="17"/>
      <c r="E240" s="17"/>
      <c r="F240" s="17"/>
      <c r="G240" s="18"/>
      <c r="H240" s="17"/>
      <c r="I240" s="16"/>
      <c r="J240" s="16"/>
      <c r="K240" s="17"/>
      <c r="L240" s="19"/>
      <c r="M240" s="20" t="b">
        <f aca="false">AND(B240&lt;&gt;"",B240&gt;='Read Me'!$B$5,H240&lt;&gt;"")</f>
        <v>0</v>
      </c>
      <c r="N240" s="21" t="str">
        <f aca="false">IF(OR(D240="",E240=""),"",ABS(D240-E240))</f>
        <v/>
      </c>
      <c r="O240" s="22" t="str">
        <f aca="false">IF(OR(H240="",N240="",N240=0),"",IF(C240="BUY",1,-1)*(H240-D240)/N240)</f>
        <v/>
      </c>
      <c r="P240" s="23" t="str">
        <f aca="false">IF(OR(H240="",D240="",K240=""),"",IF(C240="BUY",1,-1)*(H240-D240)*K240*'Read Me'!$B$10-L240)</f>
        <v/>
      </c>
      <c r="Q240" s="4" t="str">
        <f aca="false">IF(O240="","",IF(O240&gt;0,"WIN","LOSS"))</f>
        <v/>
      </c>
      <c r="R240" s="22" t="str">
        <f aca="false">IF(AND(M240,O240&lt;&gt;""),O240,"")</f>
        <v/>
      </c>
      <c r="S240" s="22" t="n">
        <f aca="false">S239+IF(R240="",0,R240)</f>
        <v>0</v>
      </c>
      <c r="T240" s="22" t="n">
        <f aca="false">MAX(T239,S240)</f>
        <v>0</v>
      </c>
      <c r="U240" s="22" t="n">
        <f aca="false">T240-S240</f>
        <v>0</v>
      </c>
      <c r="V240" s="16"/>
    </row>
    <row r="241" customFormat="false" ht="15" hidden="false" customHeight="true" outlineLevel="0" collapsed="false">
      <c r="A241" s="4" t="str">
        <f aca="false">IF(B241="","",ROW()-1)</f>
        <v/>
      </c>
      <c r="B241" s="15"/>
      <c r="C241" s="16"/>
      <c r="D241" s="17"/>
      <c r="E241" s="17"/>
      <c r="F241" s="17"/>
      <c r="G241" s="18"/>
      <c r="H241" s="17"/>
      <c r="I241" s="16"/>
      <c r="J241" s="16"/>
      <c r="K241" s="17"/>
      <c r="L241" s="19"/>
      <c r="M241" s="20" t="b">
        <f aca="false">AND(B241&lt;&gt;"",B241&gt;='Read Me'!$B$5,H241&lt;&gt;"")</f>
        <v>0</v>
      </c>
      <c r="N241" s="21" t="str">
        <f aca="false">IF(OR(D241="",E241=""),"",ABS(D241-E241))</f>
        <v/>
      </c>
      <c r="O241" s="22" t="str">
        <f aca="false">IF(OR(H241="",N241="",N241=0),"",IF(C241="BUY",1,-1)*(H241-D241)/N241)</f>
        <v/>
      </c>
      <c r="P241" s="23" t="str">
        <f aca="false">IF(OR(H241="",D241="",K241=""),"",IF(C241="BUY",1,-1)*(H241-D241)*K241*'Read Me'!$B$10-L241)</f>
        <v/>
      </c>
      <c r="Q241" s="4" t="str">
        <f aca="false">IF(O241="","",IF(O241&gt;0,"WIN","LOSS"))</f>
        <v/>
      </c>
      <c r="R241" s="22" t="str">
        <f aca="false">IF(AND(M241,O241&lt;&gt;""),O241,"")</f>
        <v/>
      </c>
      <c r="S241" s="22" t="n">
        <f aca="false">S240+IF(R241="",0,R241)</f>
        <v>0</v>
      </c>
      <c r="T241" s="22" t="n">
        <f aca="false">MAX(T240,S241)</f>
        <v>0</v>
      </c>
      <c r="U241" s="22" t="n">
        <f aca="false">T241-S241</f>
        <v>0</v>
      </c>
      <c r="V241" s="16"/>
    </row>
    <row r="242" customFormat="false" ht="15" hidden="false" customHeight="true" outlineLevel="0" collapsed="false">
      <c r="A242" s="4" t="str">
        <f aca="false">IF(B242="","",ROW()-1)</f>
        <v/>
      </c>
      <c r="B242" s="15"/>
      <c r="C242" s="16"/>
      <c r="D242" s="17"/>
      <c r="E242" s="17"/>
      <c r="F242" s="17"/>
      <c r="G242" s="18"/>
      <c r="H242" s="17"/>
      <c r="I242" s="16"/>
      <c r="J242" s="16"/>
      <c r="K242" s="17"/>
      <c r="L242" s="19"/>
      <c r="M242" s="20" t="b">
        <f aca="false">AND(B242&lt;&gt;"",B242&gt;='Read Me'!$B$5,H242&lt;&gt;"")</f>
        <v>0</v>
      </c>
      <c r="N242" s="21" t="str">
        <f aca="false">IF(OR(D242="",E242=""),"",ABS(D242-E242))</f>
        <v/>
      </c>
      <c r="O242" s="22" t="str">
        <f aca="false">IF(OR(H242="",N242="",N242=0),"",IF(C242="BUY",1,-1)*(H242-D242)/N242)</f>
        <v/>
      </c>
      <c r="P242" s="23" t="str">
        <f aca="false">IF(OR(H242="",D242="",K242=""),"",IF(C242="BUY",1,-1)*(H242-D242)*K242*'Read Me'!$B$10-L242)</f>
        <v/>
      </c>
      <c r="Q242" s="4" t="str">
        <f aca="false">IF(O242="","",IF(O242&gt;0,"WIN","LOSS"))</f>
        <v/>
      </c>
      <c r="R242" s="22" t="str">
        <f aca="false">IF(AND(M242,O242&lt;&gt;""),O242,"")</f>
        <v/>
      </c>
      <c r="S242" s="22" t="n">
        <f aca="false">S241+IF(R242="",0,R242)</f>
        <v>0</v>
      </c>
      <c r="T242" s="22" t="n">
        <f aca="false">MAX(T241,S242)</f>
        <v>0</v>
      </c>
      <c r="U242" s="22" t="n">
        <f aca="false">T242-S242</f>
        <v>0</v>
      </c>
      <c r="V242" s="16"/>
    </row>
    <row r="243" customFormat="false" ht="15" hidden="false" customHeight="true" outlineLevel="0" collapsed="false">
      <c r="A243" s="4" t="str">
        <f aca="false">IF(B243="","",ROW()-1)</f>
        <v/>
      </c>
      <c r="B243" s="15"/>
      <c r="C243" s="16"/>
      <c r="D243" s="17"/>
      <c r="E243" s="17"/>
      <c r="F243" s="17"/>
      <c r="G243" s="18"/>
      <c r="H243" s="17"/>
      <c r="I243" s="16"/>
      <c r="J243" s="16"/>
      <c r="K243" s="17"/>
      <c r="L243" s="19"/>
      <c r="M243" s="20" t="b">
        <f aca="false">AND(B243&lt;&gt;"",B243&gt;='Read Me'!$B$5,H243&lt;&gt;"")</f>
        <v>0</v>
      </c>
      <c r="N243" s="21" t="str">
        <f aca="false">IF(OR(D243="",E243=""),"",ABS(D243-E243))</f>
        <v/>
      </c>
      <c r="O243" s="22" t="str">
        <f aca="false">IF(OR(H243="",N243="",N243=0),"",IF(C243="BUY",1,-1)*(H243-D243)/N243)</f>
        <v/>
      </c>
      <c r="P243" s="23" t="str">
        <f aca="false">IF(OR(H243="",D243="",K243=""),"",IF(C243="BUY",1,-1)*(H243-D243)*K243*'Read Me'!$B$10-L243)</f>
        <v/>
      </c>
      <c r="Q243" s="4" t="str">
        <f aca="false">IF(O243="","",IF(O243&gt;0,"WIN","LOSS"))</f>
        <v/>
      </c>
      <c r="R243" s="22" t="str">
        <f aca="false">IF(AND(M243,O243&lt;&gt;""),O243,"")</f>
        <v/>
      </c>
      <c r="S243" s="22" t="n">
        <f aca="false">S242+IF(R243="",0,R243)</f>
        <v>0</v>
      </c>
      <c r="T243" s="22" t="n">
        <f aca="false">MAX(T242,S243)</f>
        <v>0</v>
      </c>
      <c r="U243" s="22" t="n">
        <f aca="false">T243-S243</f>
        <v>0</v>
      </c>
      <c r="V243" s="16"/>
    </row>
    <row r="244" customFormat="false" ht="15" hidden="false" customHeight="true" outlineLevel="0" collapsed="false">
      <c r="A244" s="4" t="str">
        <f aca="false">IF(B244="","",ROW()-1)</f>
        <v/>
      </c>
      <c r="B244" s="15"/>
      <c r="C244" s="16"/>
      <c r="D244" s="17"/>
      <c r="E244" s="17"/>
      <c r="F244" s="17"/>
      <c r="G244" s="18"/>
      <c r="H244" s="17"/>
      <c r="I244" s="16"/>
      <c r="J244" s="16"/>
      <c r="K244" s="17"/>
      <c r="L244" s="19"/>
      <c r="M244" s="20" t="b">
        <f aca="false">AND(B244&lt;&gt;"",B244&gt;='Read Me'!$B$5,H244&lt;&gt;"")</f>
        <v>0</v>
      </c>
      <c r="N244" s="21" t="str">
        <f aca="false">IF(OR(D244="",E244=""),"",ABS(D244-E244))</f>
        <v/>
      </c>
      <c r="O244" s="22" t="str">
        <f aca="false">IF(OR(H244="",N244="",N244=0),"",IF(C244="BUY",1,-1)*(H244-D244)/N244)</f>
        <v/>
      </c>
      <c r="P244" s="23" t="str">
        <f aca="false">IF(OR(H244="",D244="",K244=""),"",IF(C244="BUY",1,-1)*(H244-D244)*K244*'Read Me'!$B$10-L244)</f>
        <v/>
      </c>
      <c r="Q244" s="4" t="str">
        <f aca="false">IF(O244="","",IF(O244&gt;0,"WIN","LOSS"))</f>
        <v/>
      </c>
      <c r="R244" s="22" t="str">
        <f aca="false">IF(AND(M244,O244&lt;&gt;""),O244,"")</f>
        <v/>
      </c>
      <c r="S244" s="22" t="n">
        <f aca="false">S243+IF(R244="",0,R244)</f>
        <v>0</v>
      </c>
      <c r="T244" s="22" t="n">
        <f aca="false">MAX(T243,S244)</f>
        <v>0</v>
      </c>
      <c r="U244" s="22" t="n">
        <f aca="false">T244-S244</f>
        <v>0</v>
      </c>
      <c r="V244" s="16"/>
    </row>
    <row r="245" customFormat="false" ht="15" hidden="false" customHeight="true" outlineLevel="0" collapsed="false">
      <c r="A245" s="4" t="str">
        <f aca="false">IF(B245="","",ROW()-1)</f>
        <v/>
      </c>
      <c r="B245" s="15"/>
      <c r="C245" s="16"/>
      <c r="D245" s="17"/>
      <c r="E245" s="17"/>
      <c r="F245" s="17"/>
      <c r="G245" s="18"/>
      <c r="H245" s="17"/>
      <c r="I245" s="16"/>
      <c r="J245" s="16"/>
      <c r="K245" s="17"/>
      <c r="L245" s="19"/>
      <c r="M245" s="20" t="b">
        <f aca="false">AND(B245&lt;&gt;"",B245&gt;='Read Me'!$B$5,H245&lt;&gt;"")</f>
        <v>0</v>
      </c>
      <c r="N245" s="21" t="str">
        <f aca="false">IF(OR(D245="",E245=""),"",ABS(D245-E245))</f>
        <v/>
      </c>
      <c r="O245" s="22" t="str">
        <f aca="false">IF(OR(H245="",N245="",N245=0),"",IF(C245="BUY",1,-1)*(H245-D245)/N245)</f>
        <v/>
      </c>
      <c r="P245" s="23" t="str">
        <f aca="false">IF(OR(H245="",D245="",K245=""),"",IF(C245="BUY",1,-1)*(H245-D245)*K245*'Read Me'!$B$10-L245)</f>
        <v/>
      </c>
      <c r="Q245" s="4" t="str">
        <f aca="false">IF(O245="","",IF(O245&gt;0,"WIN","LOSS"))</f>
        <v/>
      </c>
      <c r="R245" s="22" t="str">
        <f aca="false">IF(AND(M245,O245&lt;&gt;""),O245,"")</f>
        <v/>
      </c>
      <c r="S245" s="22" t="n">
        <f aca="false">S244+IF(R245="",0,R245)</f>
        <v>0</v>
      </c>
      <c r="T245" s="22" t="n">
        <f aca="false">MAX(T244,S245)</f>
        <v>0</v>
      </c>
      <c r="U245" s="22" t="n">
        <f aca="false">T245-S245</f>
        <v>0</v>
      </c>
      <c r="V245" s="16"/>
    </row>
    <row r="246" customFormat="false" ht="15" hidden="false" customHeight="true" outlineLevel="0" collapsed="false">
      <c r="A246" s="4" t="str">
        <f aca="false">IF(B246="","",ROW()-1)</f>
        <v/>
      </c>
      <c r="B246" s="15"/>
      <c r="C246" s="16"/>
      <c r="D246" s="17"/>
      <c r="E246" s="17"/>
      <c r="F246" s="17"/>
      <c r="G246" s="18"/>
      <c r="H246" s="17"/>
      <c r="I246" s="16"/>
      <c r="J246" s="16"/>
      <c r="K246" s="17"/>
      <c r="L246" s="19"/>
      <c r="M246" s="20" t="b">
        <f aca="false">AND(B246&lt;&gt;"",B246&gt;='Read Me'!$B$5,H246&lt;&gt;"")</f>
        <v>0</v>
      </c>
      <c r="N246" s="21" t="str">
        <f aca="false">IF(OR(D246="",E246=""),"",ABS(D246-E246))</f>
        <v/>
      </c>
      <c r="O246" s="22" t="str">
        <f aca="false">IF(OR(H246="",N246="",N246=0),"",IF(C246="BUY",1,-1)*(H246-D246)/N246)</f>
        <v/>
      </c>
      <c r="P246" s="23" t="str">
        <f aca="false">IF(OR(H246="",D246="",K246=""),"",IF(C246="BUY",1,-1)*(H246-D246)*K246*'Read Me'!$B$10-L246)</f>
        <v/>
      </c>
      <c r="Q246" s="4" t="str">
        <f aca="false">IF(O246="","",IF(O246&gt;0,"WIN","LOSS"))</f>
        <v/>
      </c>
      <c r="R246" s="22" t="str">
        <f aca="false">IF(AND(M246,O246&lt;&gt;""),O246,"")</f>
        <v/>
      </c>
      <c r="S246" s="22" t="n">
        <f aca="false">S245+IF(R246="",0,R246)</f>
        <v>0</v>
      </c>
      <c r="T246" s="22" t="n">
        <f aca="false">MAX(T245,S246)</f>
        <v>0</v>
      </c>
      <c r="U246" s="22" t="n">
        <f aca="false">T246-S246</f>
        <v>0</v>
      </c>
      <c r="V246" s="16"/>
    </row>
    <row r="247" customFormat="false" ht="15" hidden="false" customHeight="true" outlineLevel="0" collapsed="false">
      <c r="A247" s="4" t="str">
        <f aca="false">IF(B247="","",ROW()-1)</f>
        <v/>
      </c>
      <c r="B247" s="15"/>
      <c r="C247" s="16"/>
      <c r="D247" s="17"/>
      <c r="E247" s="17"/>
      <c r="F247" s="17"/>
      <c r="G247" s="18"/>
      <c r="H247" s="17"/>
      <c r="I247" s="16"/>
      <c r="J247" s="16"/>
      <c r="K247" s="17"/>
      <c r="L247" s="19"/>
      <c r="M247" s="20" t="b">
        <f aca="false">AND(B247&lt;&gt;"",B247&gt;='Read Me'!$B$5,H247&lt;&gt;"")</f>
        <v>0</v>
      </c>
      <c r="N247" s="21" t="str">
        <f aca="false">IF(OR(D247="",E247=""),"",ABS(D247-E247))</f>
        <v/>
      </c>
      <c r="O247" s="22" t="str">
        <f aca="false">IF(OR(H247="",N247="",N247=0),"",IF(C247="BUY",1,-1)*(H247-D247)/N247)</f>
        <v/>
      </c>
      <c r="P247" s="23" t="str">
        <f aca="false">IF(OR(H247="",D247="",K247=""),"",IF(C247="BUY",1,-1)*(H247-D247)*K247*'Read Me'!$B$10-L247)</f>
        <v/>
      </c>
      <c r="Q247" s="4" t="str">
        <f aca="false">IF(O247="","",IF(O247&gt;0,"WIN","LOSS"))</f>
        <v/>
      </c>
      <c r="R247" s="22" t="str">
        <f aca="false">IF(AND(M247,O247&lt;&gt;""),O247,"")</f>
        <v/>
      </c>
      <c r="S247" s="22" t="n">
        <f aca="false">S246+IF(R247="",0,R247)</f>
        <v>0</v>
      </c>
      <c r="T247" s="22" t="n">
        <f aca="false">MAX(T246,S247)</f>
        <v>0</v>
      </c>
      <c r="U247" s="22" t="n">
        <f aca="false">T247-S247</f>
        <v>0</v>
      </c>
      <c r="V247" s="16"/>
    </row>
    <row r="248" customFormat="false" ht="15" hidden="false" customHeight="true" outlineLevel="0" collapsed="false">
      <c r="A248" s="4" t="str">
        <f aca="false">IF(B248="","",ROW()-1)</f>
        <v/>
      </c>
      <c r="B248" s="15"/>
      <c r="C248" s="16"/>
      <c r="D248" s="17"/>
      <c r="E248" s="17"/>
      <c r="F248" s="17"/>
      <c r="G248" s="18"/>
      <c r="H248" s="17"/>
      <c r="I248" s="16"/>
      <c r="J248" s="16"/>
      <c r="K248" s="17"/>
      <c r="L248" s="19"/>
      <c r="M248" s="20" t="b">
        <f aca="false">AND(B248&lt;&gt;"",B248&gt;='Read Me'!$B$5,H248&lt;&gt;"")</f>
        <v>0</v>
      </c>
      <c r="N248" s="21" t="str">
        <f aca="false">IF(OR(D248="",E248=""),"",ABS(D248-E248))</f>
        <v/>
      </c>
      <c r="O248" s="22" t="str">
        <f aca="false">IF(OR(H248="",N248="",N248=0),"",IF(C248="BUY",1,-1)*(H248-D248)/N248)</f>
        <v/>
      </c>
      <c r="P248" s="23" t="str">
        <f aca="false">IF(OR(H248="",D248="",K248=""),"",IF(C248="BUY",1,-1)*(H248-D248)*K248*'Read Me'!$B$10-L248)</f>
        <v/>
      </c>
      <c r="Q248" s="4" t="str">
        <f aca="false">IF(O248="","",IF(O248&gt;0,"WIN","LOSS"))</f>
        <v/>
      </c>
      <c r="R248" s="22" t="str">
        <f aca="false">IF(AND(M248,O248&lt;&gt;""),O248,"")</f>
        <v/>
      </c>
      <c r="S248" s="22" t="n">
        <f aca="false">S247+IF(R248="",0,R248)</f>
        <v>0</v>
      </c>
      <c r="T248" s="22" t="n">
        <f aca="false">MAX(T247,S248)</f>
        <v>0</v>
      </c>
      <c r="U248" s="22" t="n">
        <f aca="false">T248-S248</f>
        <v>0</v>
      </c>
      <c r="V248" s="16"/>
    </row>
    <row r="249" customFormat="false" ht="15" hidden="false" customHeight="true" outlineLevel="0" collapsed="false">
      <c r="A249" s="4" t="str">
        <f aca="false">IF(B249="","",ROW()-1)</f>
        <v/>
      </c>
      <c r="B249" s="15"/>
      <c r="C249" s="16"/>
      <c r="D249" s="17"/>
      <c r="E249" s="17"/>
      <c r="F249" s="17"/>
      <c r="G249" s="18"/>
      <c r="H249" s="17"/>
      <c r="I249" s="16"/>
      <c r="J249" s="16"/>
      <c r="K249" s="17"/>
      <c r="L249" s="19"/>
      <c r="M249" s="20" t="b">
        <f aca="false">AND(B249&lt;&gt;"",B249&gt;='Read Me'!$B$5,H249&lt;&gt;"")</f>
        <v>0</v>
      </c>
      <c r="N249" s="21" t="str">
        <f aca="false">IF(OR(D249="",E249=""),"",ABS(D249-E249))</f>
        <v/>
      </c>
      <c r="O249" s="22" t="str">
        <f aca="false">IF(OR(H249="",N249="",N249=0),"",IF(C249="BUY",1,-1)*(H249-D249)/N249)</f>
        <v/>
      </c>
      <c r="P249" s="23" t="str">
        <f aca="false">IF(OR(H249="",D249="",K249=""),"",IF(C249="BUY",1,-1)*(H249-D249)*K249*'Read Me'!$B$10-L249)</f>
        <v/>
      </c>
      <c r="Q249" s="4" t="str">
        <f aca="false">IF(O249="","",IF(O249&gt;0,"WIN","LOSS"))</f>
        <v/>
      </c>
      <c r="R249" s="22" t="str">
        <f aca="false">IF(AND(M249,O249&lt;&gt;""),O249,"")</f>
        <v/>
      </c>
      <c r="S249" s="22" t="n">
        <f aca="false">S248+IF(R249="",0,R249)</f>
        <v>0</v>
      </c>
      <c r="T249" s="22" t="n">
        <f aca="false">MAX(T248,S249)</f>
        <v>0</v>
      </c>
      <c r="U249" s="22" t="n">
        <f aca="false">T249-S249</f>
        <v>0</v>
      </c>
      <c r="V249" s="16"/>
    </row>
    <row r="250" customFormat="false" ht="15" hidden="false" customHeight="true" outlineLevel="0" collapsed="false">
      <c r="A250" s="4" t="str">
        <f aca="false">IF(B250="","",ROW()-1)</f>
        <v/>
      </c>
      <c r="B250" s="15"/>
      <c r="C250" s="16"/>
      <c r="D250" s="17"/>
      <c r="E250" s="17"/>
      <c r="F250" s="17"/>
      <c r="G250" s="18"/>
      <c r="H250" s="17"/>
      <c r="I250" s="16"/>
      <c r="J250" s="16"/>
      <c r="K250" s="17"/>
      <c r="L250" s="19"/>
      <c r="M250" s="20" t="b">
        <f aca="false">AND(B250&lt;&gt;"",B250&gt;='Read Me'!$B$5,H250&lt;&gt;"")</f>
        <v>0</v>
      </c>
      <c r="N250" s="21" t="str">
        <f aca="false">IF(OR(D250="",E250=""),"",ABS(D250-E250))</f>
        <v/>
      </c>
      <c r="O250" s="22" t="str">
        <f aca="false">IF(OR(H250="",N250="",N250=0),"",IF(C250="BUY",1,-1)*(H250-D250)/N250)</f>
        <v/>
      </c>
      <c r="P250" s="23" t="str">
        <f aca="false">IF(OR(H250="",D250="",K250=""),"",IF(C250="BUY",1,-1)*(H250-D250)*K250*'Read Me'!$B$10-L250)</f>
        <v/>
      </c>
      <c r="Q250" s="4" t="str">
        <f aca="false">IF(O250="","",IF(O250&gt;0,"WIN","LOSS"))</f>
        <v/>
      </c>
      <c r="R250" s="22" t="str">
        <f aca="false">IF(AND(M250,O250&lt;&gt;""),O250,"")</f>
        <v/>
      </c>
      <c r="S250" s="22" t="n">
        <f aca="false">S249+IF(R250="",0,R250)</f>
        <v>0</v>
      </c>
      <c r="T250" s="22" t="n">
        <f aca="false">MAX(T249,S250)</f>
        <v>0</v>
      </c>
      <c r="U250" s="22" t="n">
        <f aca="false">T250-S250</f>
        <v>0</v>
      </c>
      <c r="V250" s="16"/>
    </row>
    <row r="251" customFormat="false" ht="15" hidden="false" customHeight="true" outlineLevel="0" collapsed="false">
      <c r="A251" s="4" t="str">
        <f aca="false">IF(B251="","",ROW()-1)</f>
        <v/>
      </c>
      <c r="B251" s="15"/>
      <c r="C251" s="16"/>
      <c r="D251" s="17"/>
      <c r="E251" s="17"/>
      <c r="F251" s="17"/>
      <c r="G251" s="18"/>
      <c r="H251" s="17"/>
      <c r="I251" s="16"/>
      <c r="J251" s="16"/>
      <c r="K251" s="17"/>
      <c r="L251" s="19"/>
      <c r="M251" s="20" t="b">
        <f aca="false">AND(B251&lt;&gt;"",B251&gt;='Read Me'!$B$5,H251&lt;&gt;"")</f>
        <v>0</v>
      </c>
      <c r="N251" s="21" t="str">
        <f aca="false">IF(OR(D251="",E251=""),"",ABS(D251-E251))</f>
        <v/>
      </c>
      <c r="O251" s="22" t="str">
        <f aca="false">IF(OR(H251="",N251="",N251=0),"",IF(C251="BUY",1,-1)*(H251-D251)/N251)</f>
        <v/>
      </c>
      <c r="P251" s="23" t="str">
        <f aca="false">IF(OR(H251="",D251="",K251=""),"",IF(C251="BUY",1,-1)*(H251-D251)*K251*'Read Me'!$B$10-L251)</f>
        <v/>
      </c>
      <c r="Q251" s="4" t="str">
        <f aca="false">IF(O251="","",IF(O251&gt;0,"WIN","LOSS"))</f>
        <v/>
      </c>
      <c r="R251" s="22" t="str">
        <f aca="false">IF(AND(M251,O251&lt;&gt;""),O251,"")</f>
        <v/>
      </c>
      <c r="S251" s="22" t="n">
        <f aca="false">S250+IF(R251="",0,R251)</f>
        <v>0</v>
      </c>
      <c r="T251" s="22" t="n">
        <f aca="false">MAX(T250,S251)</f>
        <v>0</v>
      </c>
      <c r="U251" s="22" t="n">
        <f aca="false">T251-S251</f>
        <v>0</v>
      </c>
      <c r="V251" s="16"/>
    </row>
    <row r="252" customFormat="false" ht="15" hidden="false" customHeight="true" outlineLevel="0" collapsed="false">
      <c r="A252" s="4" t="str">
        <f aca="false">IF(B252="","",ROW()-1)</f>
        <v/>
      </c>
      <c r="B252" s="15"/>
      <c r="C252" s="16"/>
      <c r="D252" s="17"/>
      <c r="E252" s="17"/>
      <c r="F252" s="17"/>
      <c r="G252" s="18"/>
      <c r="H252" s="17"/>
      <c r="I252" s="16"/>
      <c r="J252" s="16"/>
      <c r="K252" s="17"/>
      <c r="L252" s="19"/>
      <c r="M252" s="20" t="b">
        <f aca="false">AND(B252&lt;&gt;"",B252&gt;='Read Me'!$B$5,H252&lt;&gt;"")</f>
        <v>0</v>
      </c>
      <c r="N252" s="21" t="str">
        <f aca="false">IF(OR(D252="",E252=""),"",ABS(D252-E252))</f>
        <v/>
      </c>
      <c r="O252" s="22" t="str">
        <f aca="false">IF(OR(H252="",N252="",N252=0),"",IF(C252="BUY",1,-1)*(H252-D252)/N252)</f>
        <v/>
      </c>
      <c r="P252" s="23" t="str">
        <f aca="false">IF(OR(H252="",D252="",K252=""),"",IF(C252="BUY",1,-1)*(H252-D252)*K252*'Read Me'!$B$10-L252)</f>
        <v/>
      </c>
      <c r="Q252" s="4" t="str">
        <f aca="false">IF(O252="","",IF(O252&gt;0,"WIN","LOSS"))</f>
        <v/>
      </c>
      <c r="R252" s="22" t="str">
        <f aca="false">IF(AND(M252,O252&lt;&gt;""),O252,"")</f>
        <v/>
      </c>
      <c r="S252" s="22" t="n">
        <f aca="false">S251+IF(R252="",0,R252)</f>
        <v>0</v>
      </c>
      <c r="T252" s="22" t="n">
        <f aca="false">MAX(T251,S252)</f>
        <v>0</v>
      </c>
      <c r="U252" s="22" t="n">
        <f aca="false">T252-S252</f>
        <v>0</v>
      </c>
      <c r="V252" s="16"/>
    </row>
    <row r="253" customFormat="false" ht="15" hidden="false" customHeight="true" outlineLevel="0" collapsed="false">
      <c r="A253" s="4" t="str">
        <f aca="false">IF(B253="","",ROW()-1)</f>
        <v/>
      </c>
      <c r="B253" s="15"/>
      <c r="C253" s="16"/>
      <c r="D253" s="17"/>
      <c r="E253" s="17"/>
      <c r="F253" s="17"/>
      <c r="G253" s="18"/>
      <c r="H253" s="17"/>
      <c r="I253" s="16"/>
      <c r="J253" s="16"/>
      <c r="K253" s="17"/>
      <c r="L253" s="19"/>
      <c r="M253" s="20" t="b">
        <f aca="false">AND(B253&lt;&gt;"",B253&gt;='Read Me'!$B$5,H253&lt;&gt;"")</f>
        <v>0</v>
      </c>
      <c r="N253" s="21" t="str">
        <f aca="false">IF(OR(D253="",E253=""),"",ABS(D253-E253))</f>
        <v/>
      </c>
      <c r="O253" s="22" t="str">
        <f aca="false">IF(OR(H253="",N253="",N253=0),"",IF(C253="BUY",1,-1)*(H253-D253)/N253)</f>
        <v/>
      </c>
      <c r="P253" s="23" t="str">
        <f aca="false">IF(OR(H253="",D253="",K253=""),"",IF(C253="BUY",1,-1)*(H253-D253)*K253*'Read Me'!$B$10-L253)</f>
        <v/>
      </c>
      <c r="Q253" s="4" t="str">
        <f aca="false">IF(O253="","",IF(O253&gt;0,"WIN","LOSS"))</f>
        <v/>
      </c>
      <c r="R253" s="22" t="str">
        <f aca="false">IF(AND(M253,O253&lt;&gt;""),O253,"")</f>
        <v/>
      </c>
      <c r="S253" s="22" t="n">
        <f aca="false">S252+IF(R253="",0,R253)</f>
        <v>0</v>
      </c>
      <c r="T253" s="22" t="n">
        <f aca="false">MAX(T252,S253)</f>
        <v>0</v>
      </c>
      <c r="U253" s="22" t="n">
        <f aca="false">T253-S253</f>
        <v>0</v>
      </c>
      <c r="V253" s="16"/>
    </row>
    <row r="254" customFormat="false" ht="15" hidden="false" customHeight="true" outlineLevel="0" collapsed="false">
      <c r="A254" s="4" t="str">
        <f aca="false">IF(B254="","",ROW()-1)</f>
        <v/>
      </c>
      <c r="B254" s="15"/>
      <c r="C254" s="16"/>
      <c r="D254" s="17"/>
      <c r="E254" s="17"/>
      <c r="F254" s="17"/>
      <c r="G254" s="18"/>
      <c r="H254" s="17"/>
      <c r="I254" s="16"/>
      <c r="J254" s="16"/>
      <c r="K254" s="17"/>
      <c r="L254" s="19"/>
      <c r="M254" s="20" t="b">
        <f aca="false">AND(B254&lt;&gt;"",B254&gt;='Read Me'!$B$5,H254&lt;&gt;"")</f>
        <v>0</v>
      </c>
      <c r="N254" s="21" t="str">
        <f aca="false">IF(OR(D254="",E254=""),"",ABS(D254-E254))</f>
        <v/>
      </c>
      <c r="O254" s="22" t="str">
        <f aca="false">IF(OR(H254="",N254="",N254=0),"",IF(C254="BUY",1,-1)*(H254-D254)/N254)</f>
        <v/>
      </c>
      <c r="P254" s="23" t="str">
        <f aca="false">IF(OR(H254="",D254="",K254=""),"",IF(C254="BUY",1,-1)*(H254-D254)*K254*'Read Me'!$B$10-L254)</f>
        <v/>
      </c>
      <c r="Q254" s="4" t="str">
        <f aca="false">IF(O254="","",IF(O254&gt;0,"WIN","LOSS"))</f>
        <v/>
      </c>
      <c r="R254" s="22" t="str">
        <f aca="false">IF(AND(M254,O254&lt;&gt;""),O254,"")</f>
        <v/>
      </c>
      <c r="S254" s="22" t="n">
        <f aca="false">S253+IF(R254="",0,R254)</f>
        <v>0</v>
      </c>
      <c r="T254" s="22" t="n">
        <f aca="false">MAX(T253,S254)</f>
        <v>0</v>
      </c>
      <c r="U254" s="22" t="n">
        <f aca="false">T254-S254</f>
        <v>0</v>
      </c>
      <c r="V254" s="16"/>
    </row>
    <row r="255" customFormat="false" ht="15" hidden="false" customHeight="true" outlineLevel="0" collapsed="false">
      <c r="A255" s="4" t="str">
        <f aca="false">IF(B255="","",ROW()-1)</f>
        <v/>
      </c>
      <c r="B255" s="15"/>
      <c r="C255" s="16"/>
      <c r="D255" s="17"/>
      <c r="E255" s="17"/>
      <c r="F255" s="17"/>
      <c r="G255" s="18"/>
      <c r="H255" s="17"/>
      <c r="I255" s="16"/>
      <c r="J255" s="16"/>
      <c r="K255" s="17"/>
      <c r="L255" s="19"/>
      <c r="M255" s="20" t="b">
        <f aca="false">AND(B255&lt;&gt;"",B255&gt;='Read Me'!$B$5,H255&lt;&gt;"")</f>
        <v>0</v>
      </c>
      <c r="N255" s="21" t="str">
        <f aca="false">IF(OR(D255="",E255=""),"",ABS(D255-E255))</f>
        <v/>
      </c>
      <c r="O255" s="22" t="str">
        <f aca="false">IF(OR(H255="",N255="",N255=0),"",IF(C255="BUY",1,-1)*(H255-D255)/N255)</f>
        <v/>
      </c>
      <c r="P255" s="23" t="str">
        <f aca="false">IF(OR(H255="",D255="",K255=""),"",IF(C255="BUY",1,-1)*(H255-D255)*K255*'Read Me'!$B$10-L255)</f>
        <v/>
      </c>
      <c r="Q255" s="4" t="str">
        <f aca="false">IF(O255="","",IF(O255&gt;0,"WIN","LOSS"))</f>
        <v/>
      </c>
      <c r="R255" s="22" t="str">
        <f aca="false">IF(AND(M255,O255&lt;&gt;""),O255,"")</f>
        <v/>
      </c>
      <c r="S255" s="22" t="n">
        <f aca="false">S254+IF(R255="",0,R255)</f>
        <v>0</v>
      </c>
      <c r="T255" s="22" t="n">
        <f aca="false">MAX(T254,S255)</f>
        <v>0</v>
      </c>
      <c r="U255" s="22" t="n">
        <f aca="false">T255-S255</f>
        <v>0</v>
      </c>
      <c r="V255" s="16"/>
    </row>
    <row r="256" customFormat="false" ht="15" hidden="false" customHeight="true" outlineLevel="0" collapsed="false">
      <c r="A256" s="4" t="str">
        <f aca="false">IF(B256="","",ROW()-1)</f>
        <v/>
      </c>
      <c r="B256" s="15"/>
      <c r="C256" s="16"/>
      <c r="D256" s="17"/>
      <c r="E256" s="17"/>
      <c r="F256" s="17"/>
      <c r="G256" s="18"/>
      <c r="H256" s="17"/>
      <c r="I256" s="16"/>
      <c r="J256" s="16"/>
      <c r="K256" s="17"/>
      <c r="L256" s="19"/>
      <c r="M256" s="20" t="b">
        <f aca="false">AND(B256&lt;&gt;"",B256&gt;='Read Me'!$B$5,H256&lt;&gt;"")</f>
        <v>0</v>
      </c>
      <c r="N256" s="21" t="str">
        <f aca="false">IF(OR(D256="",E256=""),"",ABS(D256-E256))</f>
        <v/>
      </c>
      <c r="O256" s="22" t="str">
        <f aca="false">IF(OR(H256="",N256="",N256=0),"",IF(C256="BUY",1,-1)*(H256-D256)/N256)</f>
        <v/>
      </c>
      <c r="P256" s="23" t="str">
        <f aca="false">IF(OR(H256="",D256="",K256=""),"",IF(C256="BUY",1,-1)*(H256-D256)*K256*'Read Me'!$B$10-L256)</f>
        <v/>
      </c>
      <c r="Q256" s="4" t="str">
        <f aca="false">IF(O256="","",IF(O256&gt;0,"WIN","LOSS"))</f>
        <v/>
      </c>
      <c r="R256" s="22" t="str">
        <f aca="false">IF(AND(M256,O256&lt;&gt;""),O256,"")</f>
        <v/>
      </c>
      <c r="S256" s="22" t="n">
        <f aca="false">S255+IF(R256="",0,R256)</f>
        <v>0</v>
      </c>
      <c r="T256" s="22" t="n">
        <f aca="false">MAX(T255,S256)</f>
        <v>0</v>
      </c>
      <c r="U256" s="22" t="n">
        <f aca="false">T256-S256</f>
        <v>0</v>
      </c>
      <c r="V256" s="16"/>
    </row>
    <row r="257" customFormat="false" ht="15" hidden="false" customHeight="true" outlineLevel="0" collapsed="false">
      <c r="A257" s="4" t="str">
        <f aca="false">IF(B257="","",ROW()-1)</f>
        <v/>
      </c>
      <c r="B257" s="15"/>
      <c r="C257" s="16"/>
      <c r="D257" s="17"/>
      <c r="E257" s="17"/>
      <c r="F257" s="17"/>
      <c r="G257" s="18"/>
      <c r="H257" s="17"/>
      <c r="I257" s="16"/>
      <c r="J257" s="16"/>
      <c r="K257" s="17"/>
      <c r="L257" s="19"/>
      <c r="M257" s="20" t="b">
        <f aca="false">AND(B257&lt;&gt;"",B257&gt;='Read Me'!$B$5,H257&lt;&gt;"")</f>
        <v>0</v>
      </c>
      <c r="N257" s="21" t="str">
        <f aca="false">IF(OR(D257="",E257=""),"",ABS(D257-E257))</f>
        <v/>
      </c>
      <c r="O257" s="22" t="str">
        <f aca="false">IF(OR(H257="",N257="",N257=0),"",IF(C257="BUY",1,-1)*(H257-D257)/N257)</f>
        <v/>
      </c>
      <c r="P257" s="23" t="str">
        <f aca="false">IF(OR(H257="",D257="",K257=""),"",IF(C257="BUY",1,-1)*(H257-D257)*K257*'Read Me'!$B$10-L257)</f>
        <v/>
      </c>
      <c r="Q257" s="4" t="str">
        <f aca="false">IF(O257="","",IF(O257&gt;0,"WIN","LOSS"))</f>
        <v/>
      </c>
      <c r="R257" s="22" t="str">
        <f aca="false">IF(AND(M257,O257&lt;&gt;""),O257,"")</f>
        <v/>
      </c>
      <c r="S257" s="22" t="n">
        <f aca="false">S256+IF(R257="",0,R257)</f>
        <v>0</v>
      </c>
      <c r="T257" s="22" t="n">
        <f aca="false">MAX(T256,S257)</f>
        <v>0</v>
      </c>
      <c r="U257" s="22" t="n">
        <f aca="false">T257-S257</f>
        <v>0</v>
      </c>
      <c r="V257" s="16"/>
    </row>
    <row r="258" customFormat="false" ht="15" hidden="false" customHeight="true" outlineLevel="0" collapsed="false">
      <c r="A258" s="4" t="str">
        <f aca="false">IF(B258="","",ROW()-1)</f>
        <v/>
      </c>
      <c r="B258" s="15"/>
      <c r="C258" s="16"/>
      <c r="D258" s="17"/>
      <c r="E258" s="17"/>
      <c r="F258" s="17"/>
      <c r="G258" s="18"/>
      <c r="H258" s="17"/>
      <c r="I258" s="16"/>
      <c r="J258" s="16"/>
      <c r="K258" s="17"/>
      <c r="L258" s="19"/>
      <c r="M258" s="20" t="b">
        <f aca="false">AND(B258&lt;&gt;"",B258&gt;='Read Me'!$B$5,H258&lt;&gt;"")</f>
        <v>0</v>
      </c>
      <c r="N258" s="21" t="str">
        <f aca="false">IF(OR(D258="",E258=""),"",ABS(D258-E258))</f>
        <v/>
      </c>
      <c r="O258" s="22" t="str">
        <f aca="false">IF(OR(H258="",N258="",N258=0),"",IF(C258="BUY",1,-1)*(H258-D258)/N258)</f>
        <v/>
      </c>
      <c r="P258" s="23" t="str">
        <f aca="false">IF(OR(H258="",D258="",K258=""),"",IF(C258="BUY",1,-1)*(H258-D258)*K258*'Read Me'!$B$10-L258)</f>
        <v/>
      </c>
      <c r="Q258" s="4" t="str">
        <f aca="false">IF(O258="","",IF(O258&gt;0,"WIN","LOSS"))</f>
        <v/>
      </c>
      <c r="R258" s="22" t="str">
        <f aca="false">IF(AND(M258,O258&lt;&gt;""),O258,"")</f>
        <v/>
      </c>
      <c r="S258" s="22" t="n">
        <f aca="false">S257+IF(R258="",0,R258)</f>
        <v>0</v>
      </c>
      <c r="T258" s="22" t="n">
        <f aca="false">MAX(T257,S258)</f>
        <v>0</v>
      </c>
      <c r="U258" s="22" t="n">
        <f aca="false">T258-S258</f>
        <v>0</v>
      </c>
      <c r="V258" s="16"/>
    </row>
    <row r="259" customFormat="false" ht="15" hidden="false" customHeight="true" outlineLevel="0" collapsed="false">
      <c r="A259" s="4" t="str">
        <f aca="false">IF(B259="","",ROW()-1)</f>
        <v/>
      </c>
      <c r="B259" s="15"/>
      <c r="C259" s="16"/>
      <c r="D259" s="17"/>
      <c r="E259" s="17"/>
      <c r="F259" s="17"/>
      <c r="G259" s="18"/>
      <c r="H259" s="17"/>
      <c r="I259" s="16"/>
      <c r="J259" s="16"/>
      <c r="K259" s="17"/>
      <c r="L259" s="19"/>
      <c r="M259" s="20" t="b">
        <f aca="false">AND(B259&lt;&gt;"",B259&gt;='Read Me'!$B$5,H259&lt;&gt;"")</f>
        <v>0</v>
      </c>
      <c r="N259" s="21" t="str">
        <f aca="false">IF(OR(D259="",E259=""),"",ABS(D259-E259))</f>
        <v/>
      </c>
      <c r="O259" s="22" t="str">
        <f aca="false">IF(OR(H259="",N259="",N259=0),"",IF(C259="BUY",1,-1)*(H259-D259)/N259)</f>
        <v/>
      </c>
      <c r="P259" s="23" t="str">
        <f aca="false">IF(OR(H259="",D259="",K259=""),"",IF(C259="BUY",1,-1)*(H259-D259)*K259*'Read Me'!$B$10-L259)</f>
        <v/>
      </c>
      <c r="Q259" s="4" t="str">
        <f aca="false">IF(O259="","",IF(O259&gt;0,"WIN","LOSS"))</f>
        <v/>
      </c>
      <c r="R259" s="22" t="str">
        <f aca="false">IF(AND(M259,O259&lt;&gt;""),O259,"")</f>
        <v/>
      </c>
      <c r="S259" s="22" t="n">
        <f aca="false">S258+IF(R259="",0,R259)</f>
        <v>0</v>
      </c>
      <c r="T259" s="22" t="n">
        <f aca="false">MAX(T258,S259)</f>
        <v>0</v>
      </c>
      <c r="U259" s="22" t="n">
        <f aca="false">T259-S259</f>
        <v>0</v>
      </c>
      <c r="V259" s="16"/>
    </row>
    <row r="260" customFormat="false" ht="15" hidden="false" customHeight="true" outlineLevel="0" collapsed="false">
      <c r="A260" s="4" t="str">
        <f aca="false">IF(B260="","",ROW()-1)</f>
        <v/>
      </c>
      <c r="B260" s="15"/>
      <c r="C260" s="16"/>
      <c r="D260" s="17"/>
      <c r="E260" s="17"/>
      <c r="F260" s="17"/>
      <c r="G260" s="18"/>
      <c r="H260" s="17"/>
      <c r="I260" s="16"/>
      <c r="J260" s="16"/>
      <c r="K260" s="17"/>
      <c r="L260" s="19"/>
      <c r="M260" s="20" t="b">
        <f aca="false">AND(B260&lt;&gt;"",B260&gt;='Read Me'!$B$5,H260&lt;&gt;"")</f>
        <v>0</v>
      </c>
      <c r="N260" s="21" t="str">
        <f aca="false">IF(OR(D260="",E260=""),"",ABS(D260-E260))</f>
        <v/>
      </c>
      <c r="O260" s="22" t="str">
        <f aca="false">IF(OR(H260="",N260="",N260=0),"",IF(C260="BUY",1,-1)*(H260-D260)/N260)</f>
        <v/>
      </c>
      <c r="P260" s="23" t="str">
        <f aca="false">IF(OR(H260="",D260="",K260=""),"",IF(C260="BUY",1,-1)*(H260-D260)*K260*'Read Me'!$B$10-L260)</f>
        <v/>
      </c>
      <c r="Q260" s="4" t="str">
        <f aca="false">IF(O260="","",IF(O260&gt;0,"WIN","LOSS"))</f>
        <v/>
      </c>
      <c r="R260" s="22" t="str">
        <f aca="false">IF(AND(M260,O260&lt;&gt;""),O260,"")</f>
        <v/>
      </c>
      <c r="S260" s="22" t="n">
        <f aca="false">S259+IF(R260="",0,R260)</f>
        <v>0</v>
      </c>
      <c r="T260" s="22" t="n">
        <f aca="false">MAX(T259,S260)</f>
        <v>0</v>
      </c>
      <c r="U260" s="22" t="n">
        <f aca="false">T260-S260</f>
        <v>0</v>
      </c>
      <c r="V260" s="16"/>
    </row>
    <row r="261" customFormat="false" ht="15" hidden="false" customHeight="true" outlineLevel="0" collapsed="false">
      <c r="A261" s="4" t="str">
        <f aca="false">IF(B261="","",ROW()-1)</f>
        <v/>
      </c>
      <c r="B261" s="15"/>
      <c r="C261" s="16"/>
      <c r="D261" s="17"/>
      <c r="E261" s="17"/>
      <c r="F261" s="17"/>
      <c r="G261" s="18"/>
      <c r="H261" s="17"/>
      <c r="I261" s="16"/>
      <c r="J261" s="16"/>
      <c r="K261" s="17"/>
      <c r="L261" s="19"/>
      <c r="M261" s="20" t="b">
        <f aca="false">AND(B261&lt;&gt;"",B261&gt;='Read Me'!$B$5,H261&lt;&gt;"")</f>
        <v>0</v>
      </c>
      <c r="N261" s="21" t="str">
        <f aca="false">IF(OR(D261="",E261=""),"",ABS(D261-E261))</f>
        <v/>
      </c>
      <c r="O261" s="22" t="str">
        <f aca="false">IF(OR(H261="",N261="",N261=0),"",IF(C261="BUY",1,-1)*(H261-D261)/N261)</f>
        <v/>
      </c>
      <c r="P261" s="23" t="str">
        <f aca="false">IF(OR(H261="",D261="",K261=""),"",IF(C261="BUY",1,-1)*(H261-D261)*K261*'Read Me'!$B$10-L261)</f>
        <v/>
      </c>
      <c r="Q261" s="4" t="str">
        <f aca="false">IF(O261="","",IF(O261&gt;0,"WIN","LOSS"))</f>
        <v/>
      </c>
      <c r="R261" s="22" t="str">
        <f aca="false">IF(AND(M261,O261&lt;&gt;""),O261,"")</f>
        <v/>
      </c>
      <c r="S261" s="22" t="n">
        <f aca="false">S260+IF(R261="",0,R261)</f>
        <v>0</v>
      </c>
      <c r="T261" s="22" t="n">
        <f aca="false">MAX(T260,S261)</f>
        <v>0</v>
      </c>
      <c r="U261" s="22" t="n">
        <f aca="false">T261-S261</f>
        <v>0</v>
      </c>
      <c r="V261" s="16"/>
    </row>
    <row r="262" customFormat="false" ht="15" hidden="false" customHeight="true" outlineLevel="0" collapsed="false">
      <c r="A262" s="4" t="str">
        <f aca="false">IF(B262="","",ROW()-1)</f>
        <v/>
      </c>
      <c r="B262" s="15"/>
      <c r="C262" s="16"/>
      <c r="D262" s="17"/>
      <c r="E262" s="17"/>
      <c r="F262" s="17"/>
      <c r="G262" s="18"/>
      <c r="H262" s="17"/>
      <c r="I262" s="16"/>
      <c r="J262" s="16"/>
      <c r="K262" s="17"/>
      <c r="L262" s="19"/>
      <c r="M262" s="20" t="b">
        <f aca="false">AND(B262&lt;&gt;"",B262&gt;='Read Me'!$B$5,H262&lt;&gt;"")</f>
        <v>0</v>
      </c>
      <c r="N262" s="21" t="str">
        <f aca="false">IF(OR(D262="",E262=""),"",ABS(D262-E262))</f>
        <v/>
      </c>
      <c r="O262" s="22" t="str">
        <f aca="false">IF(OR(H262="",N262="",N262=0),"",IF(C262="BUY",1,-1)*(H262-D262)/N262)</f>
        <v/>
      </c>
      <c r="P262" s="23" t="str">
        <f aca="false">IF(OR(H262="",D262="",K262=""),"",IF(C262="BUY",1,-1)*(H262-D262)*K262*'Read Me'!$B$10-L262)</f>
        <v/>
      </c>
      <c r="Q262" s="4" t="str">
        <f aca="false">IF(O262="","",IF(O262&gt;0,"WIN","LOSS"))</f>
        <v/>
      </c>
      <c r="R262" s="22" t="str">
        <f aca="false">IF(AND(M262,O262&lt;&gt;""),O262,"")</f>
        <v/>
      </c>
      <c r="S262" s="22" t="n">
        <f aca="false">S261+IF(R262="",0,R262)</f>
        <v>0</v>
      </c>
      <c r="T262" s="22" t="n">
        <f aca="false">MAX(T261,S262)</f>
        <v>0</v>
      </c>
      <c r="U262" s="22" t="n">
        <f aca="false">T262-S262</f>
        <v>0</v>
      </c>
      <c r="V262" s="16"/>
    </row>
    <row r="263" customFormat="false" ht="15" hidden="false" customHeight="true" outlineLevel="0" collapsed="false">
      <c r="A263" s="4" t="str">
        <f aca="false">IF(B263="","",ROW()-1)</f>
        <v/>
      </c>
      <c r="B263" s="15"/>
      <c r="C263" s="16"/>
      <c r="D263" s="17"/>
      <c r="E263" s="17"/>
      <c r="F263" s="17"/>
      <c r="G263" s="18"/>
      <c r="H263" s="17"/>
      <c r="I263" s="16"/>
      <c r="J263" s="16"/>
      <c r="K263" s="17"/>
      <c r="L263" s="19"/>
      <c r="M263" s="20" t="b">
        <f aca="false">AND(B263&lt;&gt;"",B263&gt;='Read Me'!$B$5,H263&lt;&gt;"")</f>
        <v>0</v>
      </c>
      <c r="N263" s="21" t="str">
        <f aca="false">IF(OR(D263="",E263=""),"",ABS(D263-E263))</f>
        <v/>
      </c>
      <c r="O263" s="22" t="str">
        <f aca="false">IF(OR(H263="",N263="",N263=0),"",IF(C263="BUY",1,-1)*(H263-D263)/N263)</f>
        <v/>
      </c>
      <c r="P263" s="23" t="str">
        <f aca="false">IF(OR(H263="",D263="",K263=""),"",IF(C263="BUY",1,-1)*(H263-D263)*K263*'Read Me'!$B$10-L263)</f>
        <v/>
      </c>
      <c r="Q263" s="4" t="str">
        <f aca="false">IF(O263="","",IF(O263&gt;0,"WIN","LOSS"))</f>
        <v/>
      </c>
      <c r="R263" s="22" t="str">
        <f aca="false">IF(AND(M263,O263&lt;&gt;""),O263,"")</f>
        <v/>
      </c>
      <c r="S263" s="22" t="n">
        <f aca="false">S262+IF(R263="",0,R263)</f>
        <v>0</v>
      </c>
      <c r="T263" s="22" t="n">
        <f aca="false">MAX(T262,S263)</f>
        <v>0</v>
      </c>
      <c r="U263" s="22" t="n">
        <f aca="false">T263-S263</f>
        <v>0</v>
      </c>
      <c r="V263" s="16"/>
    </row>
    <row r="264" customFormat="false" ht="15" hidden="false" customHeight="true" outlineLevel="0" collapsed="false">
      <c r="A264" s="4" t="str">
        <f aca="false">IF(B264="","",ROW()-1)</f>
        <v/>
      </c>
      <c r="B264" s="15"/>
      <c r="C264" s="16"/>
      <c r="D264" s="17"/>
      <c r="E264" s="17"/>
      <c r="F264" s="17"/>
      <c r="G264" s="18"/>
      <c r="H264" s="17"/>
      <c r="I264" s="16"/>
      <c r="J264" s="16"/>
      <c r="K264" s="17"/>
      <c r="L264" s="19"/>
      <c r="M264" s="20" t="b">
        <f aca="false">AND(B264&lt;&gt;"",B264&gt;='Read Me'!$B$5,H264&lt;&gt;"")</f>
        <v>0</v>
      </c>
      <c r="N264" s="21" t="str">
        <f aca="false">IF(OR(D264="",E264=""),"",ABS(D264-E264))</f>
        <v/>
      </c>
      <c r="O264" s="22" t="str">
        <f aca="false">IF(OR(H264="",N264="",N264=0),"",IF(C264="BUY",1,-1)*(H264-D264)/N264)</f>
        <v/>
      </c>
      <c r="P264" s="23" t="str">
        <f aca="false">IF(OR(H264="",D264="",K264=""),"",IF(C264="BUY",1,-1)*(H264-D264)*K264*'Read Me'!$B$10-L264)</f>
        <v/>
      </c>
      <c r="Q264" s="4" t="str">
        <f aca="false">IF(O264="","",IF(O264&gt;0,"WIN","LOSS"))</f>
        <v/>
      </c>
      <c r="R264" s="22" t="str">
        <f aca="false">IF(AND(M264,O264&lt;&gt;""),O264,"")</f>
        <v/>
      </c>
      <c r="S264" s="22" t="n">
        <f aca="false">S263+IF(R264="",0,R264)</f>
        <v>0</v>
      </c>
      <c r="T264" s="22" t="n">
        <f aca="false">MAX(T263,S264)</f>
        <v>0</v>
      </c>
      <c r="U264" s="22" t="n">
        <f aca="false">T264-S264</f>
        <v>0</v>
      </c>
      <c r="V264" s="16"/>
    </row>
    <row r="265" customFormat="false" ht="15" hidden="false" customHeight="true" outlineLevel="0" collapsed="false">
      <c r="A265" s="4" t="str">
        <f aca="false">IF(B265="","",ROW()-1)</f>
        <v/>
      </c>
      <c r="B265" s="15"/>
      <c r="C265" s="16"/>
      <c r="D265" s="17"/>
      <c r="E265" s="17"/>
      <c r="F265" s="17"/>
      <c r="G265" s="18"/>
      <c r="H265" s="17"/>
      <c r="I265" s="16"/>
      <c r="J265" s="16"/>
      <c r="K265" s="17"/>
      <c r="L265" s="19"/>
      <c r="M265" s="20" t="b">
        <f aca="false">AND(B265&lt;&gt;"",B265&gt;='Read Me'!$B$5,H265&lt;&gt;"")</f>
        <v>0</v>
      </c>
      <c r="N265" s="21" t="str">
        <f aca="false">IF(OR(D265="",E265=""),"",ABS(D265-E265))</f>
        <v/>
      </c>
      <c r="O265" s="22" t="str">
        <f aca="false">IF(OR(H265="",N265="",N265=0),"",IF(C265="BUY",1,-1)*(H265-D265)/N265)</f>
        <v/>
      </c>
      <c r="P265" s="23" t="str">
        <f aca="false">IF(OR(H265="",D265="",K265=""),"",IF(C265="BUY",1,-1)*(H265-D265)*K265*'Read Me'!$B$10-L265)</f>
        <v/>
      </c>
      <c r="Q265" s="4" t="str">
        <f aca="false">IF(O265="","",IF(O265&gt;0,"WIN","LOSS"))</f>
        <v/>
      </c>
      <c r="R265" s="22" t="str">
        <f aca="false">IF(AND(M265,O265&lt;&gt;""),O265,"")</f>
        <v/>
      </c>
      <c r="S265" s="22" t="n">
        <f aca="false">S264+IF(R265="",0,R265)</f>
        <v>0</v>
      </c>
      <c r="T265" s="22" t="n">
        <f aca="false">MAX(T264,S265)</f>
        <v>0</v>
      </c>
      <c r="U265" s="22" t="n">
        <f aca="false">T265-S265</f>
        <v>0</v>
      </c>
      <c r="V265" s="16"/>
    </row>
    <row r="266" customFormat="false" ht="15" hidden="false" customHeight="true" outlineLevel="0" collapsed="false">
      <c r="A266" s="4" t="str">
        <f aca="false">IF(B266="","",ROW()-1)</f>
        <v/>
      </c>
      <c r="B266" s="15"/>
      <c r="C266" s="16"/>
      <c r="D266" s="17"/>
      <c r="E266" s="17"/>
      <c r="F266" s="17"/>
      <c r="G266" s="18"/>
      <c r="H266" s="17"/>
      <c r="I266" s="16"/>
      <c r="J266" s="16"/>
      <c r="K266" s="17"/>
      <c r="L266" s="19"/>
      <c r="M266" s="20" t="b">
        <f aca="false">AND(B266&lt;&gt;"",B266&gt;='Read Me'!$B$5,H266&lt;&gt;"")</f>
        <v>0</v>
      </c>
      <c r="N266" s="21" t="str">
        <f aca="false">IF(OR(D266="",E266=""),"",ABS(D266-E266))</f>
        <v/>
      </c>
      <c r="O266" s="22" t="str">
        <f aca="false">IF(OR(H266="",N266="",N266=0),"",IF(C266="BUY",1,-1)*(H266-D266)/N266)</f>
        <v/>
      </c>
      <c r="P266" s="23" t="str">
        <f aca="false">IF(OR(H266="",D266="",K266=""),"",IF(C266="BUY",1,-1)*(H266-D266)*K266*'Read Me'!$B$10-L266)</f>
        <v/>
      </c>
      <c r="Q266" s="4" t="str">
        <f aca="false">IF(O266="","",IF(O266&gt;0,"WIN","LOSS"))</f>
        <v/>
      </c>
      <c r="R266" s="22" t="str">
        <f aca="false">IF(AND(M266,O266&lt;&gt;""),O266,"")</f>
        <v/>
      </c>
      <c r="S266" s="22" t="n">
        <f aca="false">S265+IF(R266="",0,R266)</f>
        <v>0</v>
      </c>
      <c r="T266" s="22" t="n">
        <f aca="false">MAX(T265,S266)</f>
        <v>0</v>
      </c>
      <c r="U266" s="22" t="n">
        <f aca="false">T266-S266</f>
        <v>0</v>
      </c>
      <c r="V266" s="16"/>
    </row>
    <row r="267" customFormat="false" ht="15" hidden="false" customHeight="true" outlineLevel="0" collapsed="false">
      <c r="A267" s="4" t="str">
        <f aca="false">IF(B267="","",ROW()-1)</f>
        <v/>
      </c>
      <c r="B267" s="15"/>
      <c r="C267" s="16"/>
      <c r="D267" s="17"/>
      <c r="E267" s="17"/>
      <c r="F267" s="17"/>
      <c r="G267" s="18"/>
      <c r="H267" s="17"/>
      <c r="I267" s="16"/>
      <c r="J267" s="16"/>
      <c r="K267" s="17"/>
      <c r="L267" s="19"/>
      <c r="M267" s="20" t="b">
        <f aca="false">AND(B267&lt;&gt;"",B267&gt;='Read Me'!$B$5,H267&lt;&gt;"")</f>
        <v>0</v>
      </c>
      <c r="N267" s="21" t="str">
        <f aca="false">IF(OR(D267="",E267=""),"",ABS(D267-E267))</f>
        <v/>
      </c>
      <c r="O267" s="22" t="str">
        <f aca="false">IF(OR(H267="",N267="",N267=0),"",IF(C267="BUY",1,-1)*(H267-D267)/N267)</f>
        <v/>
      </c>
      <c r="P267" s="23" t="str">
        <f aca="false">IF(OR(H267="",D267="",K267=""),"",IF(C267="BUY",1,-1)*(H267-D267)*K267*'Read Me'!$B$10-L267)</f>
        <v/>
      </c>
      <c r="Q267" s="4" t="str">
        <f aca="false">IF(O267="","",IF(O267&gt;0,"WIN","LOSS"))</f>
        <v/>
      </c>
      <c r="R267" s="22" t="str">
        <f aca="false">IF(AND(M267,O267&lt;&gt;""),O267,"")</f>
        <v/>
      </c>
      <c r="S267" s="22" t="n">
        <f aca="false">S266+IF(R267="",0,R267)</f>
        <v>0</v>
      </c>
      <c r="T267" s="22" t="n">
        <f aca="false">MAX(T266,S267)</f>
        <v>0</v>
      </c>
      <c r="U267" s="22" t="n">
        <f aca="false">T267-S267</f>
        <v>0</v>
      </c>
      <c r="V267" s="16"/>
    </row>
    <row r="268" customFormat="false" ht="15" hidden="false" customHeight="true" outlineLevel="0" collapsed="false">
      <c r="A268" s="4" t="str">
        <f aca="false">IF(B268="","",ROW()-1)</f>
        <v/>
      </c>
      <c r="B268" s="15"/>
      <c r="C268" s="16"/>
      <c r="D268" s="17"/>
      <c r="E268" s="17"/>
      <c r="F268" s="17"/>
      <c r="G268" s="18"/>
      <c r="H268" s="17"/>
      <c r="I268" s="16"/>
      <c r="J268" s="16"/>
      <c r="K268" s="17"/>
      <c r="L268" s="19"/>
      <c r="M268" s="20" t="b">
        <f aca="false">AND(B268&lt;&gt;"",B268&gt;='Read Me'!$B$5,H268&lt;&gt;"")</f>
        <v>0</v>
      </c>
      <c r="N268" s="21" t="str">
        <f aca="false">IF(OR(D268="",E268=""),"",ABS(D268-E268))</f>
        <v/>
      </c>
      <c r="O268" s="22" t="str">
        <f aca="false">IF(OR(H268="",N268="",N268=0),"",IF(C268="BUY",1,-1)*(H268-D268)/N268)</f>
        <v/>
      </c>
      <c r="P268" s="23" t="str">
        <f aca="false">IF(OR(H268="",D268="",K268=""),"",IF(C268="BUY",1,-1)*(H268-D268)*K268*'Read Me'!$B$10-L268)</f>
        <v/>
      </c>
      <c r="Q268" s="4" t="str">
        <f aca="false">IF(O268="","",IF(O268&gt;0,"WIN","LOSS"))</f>
        <v/>
      </c>
      <c r="R268" s="22" t="str">
        <f aca="false">IF(AND(M268,O268&lt;&gt;""),O268,"")</f>
        <v/>
      </c>
      <c r="S268" s="22" t="n">
        <f aca="false">S267+IF(R268="",0,R268)</f>
        <v>0</v>
      </c>
      <c r="T268" s="22" t="n">
        <f aca="false">MAX(T267,S268)</f>
        <v>0</v>
      </c>
      <c r="U268" s="22" t="n">
        <f aca="false">T268-S268</f>
        <v>0</v>
      </c>
      <c r="V268" s="16"/>
    </row>
    <row r="269" customFormat="false" ht="15" hidden="false" customHeight="true" outlineLevel="0" collapsed="false">
      <c r="A269" s="4" t="str">
        <f aca="false">IF(B269="","",ROW()-1)</f>
        <v/>
      </c>
      <c r="B269" s="15"/>
      <c r="C269" s="16"/>
      <c r="D269" s="17"/>
      <c r="E269" s="17"/>
      <c r="F269" s="17"/>
      <c r="G269" s="18"/>
      <c r="H269" s="17"/>
      <c r="I269" s="16"/>
      <c r="J269" s="16"/>
      <c r="K269" s="17"/>
      <c r="L269" s="19"/>
      <c r="M269" s="20" t="b">
        <f aca="false">AND(B269&lt;&gt;"",B269&gt;='Read Me'!$B$5,H269&lt;&gt;"")</f>
        <v>0</v>
      </c>
      <c r="N269" s="21" t="str">
        <f aca="false">IF(OR(D269="",E269=""),"",ABS(D269-E269))</f>
        <v/>
      </c>
      <c r="O269" s="22" t="str">
        <f aca="false">IF(OR(H269="",N269="",N269=0),"",IF(C269="BUY",1,-1)*(H269-D269)/N269)</f>
        <v/>
      </c>
      <c r="P269" s="23" t="str">
        <f aca="false">IF(OR(H269="",D269="",K269=""),"",IF(C269="BUY",1,-1)*(H269-D269)*K269*'Read Me'!$B$10-L269)</f>
        <v/>
      </c>
      <c r="Q269" s="4" t="str">
        <f aca="false">IF(O269="","",IF(O269&gt;0,"WIN","LOSS"))</f>
        <v/>
      </c>
      <c r="R269" s="22" t="str">
        <f aca="false">IF(AND(M269,O269&lt;&gt;""),O269,"")</f>
        <v/>
      </c>
      <c r="S269" s="22" t="n">
        <f aca="false">S268+IF(R269="",0,R269)</f>
        <v>0</v>
      </c>
      <c r="T269" s="22" t="n">
        <f aca="false">MAX(T268,S269)</f>
        <v>0</v>
      </c>
      <c r="U269" s="22" t="n">
        <f aca="false">T269-S269</f>
        <v>0</v>
      </c>
      <c r="V269" s="16"/>
    </row>
    <row r="270" customFormat="false" ht="15" hidden="false" customHeight="true" outlineLevel="0" collapsed="false">
      <c r="A270" s="4" t="str">
        <f aca="false">IF(B270="","",ROW()-1)</f>
        <v/>
      </c>
      <c r="B270" s="15"/>
      <c r="C270" s="16"/>
      <c r="D270" s="17"/>
      <c r="E270" s="17"/>
      <c r="F270" s="17"/>
      <c r="G270" s="18"/>
      <c r="H270" s="17"/>
      <c r="I270" s="16"/>
      <c r="J270" s="16"/>
      <c r="K270" s="17"/>
      <c r="L270" s="19"/>
      <c r="M270" s="20" t="b">
        <f aca="false">AND(B270&lt;&gt;"",B270&gt;='Read Me'!$B$5,H270&lt;&gt;"")</f>
        <v>0</v>
      </c>
      <c r="N270" s="21" t="str">
        <f aca="false">IF(OR(D270="",E270=""),"",ABS(D270-E270))</f>
        <v/>
      </c>
      <c r="O270" s="22" t="str">
        <f aca="false">IF(OR(H270="",N270="",N270=0),"",IF(C270="BUY",1,-1)*(H270-D270)/N270)</f>
        <v/>
      </c>
      <c r="P270" s="23" t="str">
        <f aca="false">IF(OR(H270="",D270="",K270=""),"",IF(C270="BUY",1,-1)*(H270-D270)*K270*'Read Me'!$B$10-L270)</f>
        <v/>
      </c>
      <c r="Q270" s="4" t="str">
        <f aca="false">IF(O270="","",IF(O270&gt;0,"WIN","LOSS"))</f>
        <v/>
      </c>
      <c r="R270" s="22" t="str">
        <f aca="false">IF(AND(M270,O270&lt;&gt;""),O270,"")</f>
        <v/>
      </c>
      <c r="S270" s="22" t="n">
        <f aca="false">S269+IF(R270="",0,R270)</f>
        <v>0</v>
      </c>
      <c r="T270" s="22" t="n">
        <f aca="false">MAX(T269,S270)</f>
        <v>0</v>
      </c>
      <c r="U270" s="22" t="n">
        <f aca="false">T270-S270</f>
        <v>0</v>
      </c>
      <c r="V270" s="16"/>
    </row>
    <row r="271" customFormat="false" ht="15" hidden="false" customHeight="true" outlineLevel="0" collapsed="false">
      <c r="A271" s="4" t="str">
        <f aca="false">IF(B271="","",ROW()-1)</f>
        <v/>
      </c>
      <c r="B271" s="15"/>
      <c r="C271" s="16"/>
      <c r="D271" s="17"/>
      <c r="E271" s="17"/>
      <c r="F271" s="17"/>
      <c r="G271" s="18"/>
      <c r="H271" s="17"/>
      <c r="I271" s="16"/>
      <c r="J271" s="16"/>
      <c r="K271" s="17"/>
      <c r="L271" s="19"/>
      <c r="M271" s="20" t="b">
        <f aca="false">AND(B271&lt;&gt;"",B271&gt;='Read Me'!$B$5,H271&lt;&gt;"")</f>
        <v>0</v>
      </c>
      <c r="N271" s="21" t="str">
        <f aca="false">IF(OR(D271="",E271=""),"",ABS(D271-E271))</f>
        <v/>
      </c>
      <c r="O271" s="22" t="str">
        <f aca="false">IF(OR(H271="",N271="",N271=0),"",IF(C271="BUY",1,-1)*(H271-D271)/N271)</f>
        <v/>
      </c>
      <c r="P271" s="23" t="str">
        <f aca="false">IF(OR(H271="",D271="",K271=""),"",IF(C271="BUY",1,-1)*(H271-D271)*K271*'Read Me'!$B$10-L271)</f>
        <v/>
      </c>
      <c r="Q271" s="4" t="str">
        <f aca="false">IF(O271="","",IF(O271&gt;0,"WIN","LOSS"))</f>
        <v/>
      </c>
      <c r="R271" s="22" t="str">
        <f aca="false">IF(AND(M271,O271&lt;&gt;""),O271,"")</f>
        <v/>
      </c>
      <c r="S271" s="22" t="n">
        <f aca="false">S270+IF(R271="",0,R271)</f>
        <v>0</v>
      </c>
      <c r="T271" s="22" t="n">
        <f aca="false">MAX(T270,S271)</f>
        <v>0</v>
      </c>
      <c r="U271" s="22" t="n">
        <f aca="false">T271-S271</f>
        <v>0</v>
      </c>
      <c r="V271" s="16"/>
    </row>
    <row r="272" customFormat="false" ht="15" hidden="false" customHeight="true" outlineLevel="0" collapsed="false">
      <c r="A272" s="4" t="str">
        <f aca="false">IF(B272="","",ROW()-1)</f>
        <v/>
      </c>
      <c r="B272" s="15"/>
      <c r="C272" s="16"/>
      <c r="D272" s="17"/>
      <c r="E272" s="17"/>
      <c r="F272" s="17"/>
      <c r="G272" s="18"/>
      <c r="H272" s="17"/>
      <c r="I272" s="16"/>
      <c r="J272" s="16"/>
      <c r="K272" s="17"/>
      <c r="L272" s="19"/>
      <c r="M272" s="20" t="b">
        <f aca="false">AND(B272&lt;&gt;"",B272&gt;='Read Me'!$B$5,H272&lt;&gt;"")</f>
        <v>0</v>
      </c>
      <c r="N272" s="21" t="str">
        <f aca="false">IF(OR(D272="",E272=""),"",ABS(D272-E272))</f>
        <v/>
      </c>
      <c r="O272" s="22" t="str">
        <f aca="false">IF(OR(H272="",N272="",N272=0),"",IF(C272="BUY",1,-1)*(H272-D272)/N272)</f>
        <v/>
      </c>
      <c r="P272" s="23" t="str">
        <f aca="false">IF(OR(H272="",D272="",K272=""),"",IF(C272="BUY",1,-1)*(H272-D272)*K272*'Read Me'!$B$10-L272)</f>
        <v/>
      </c>
      <c r="Q272" s="4" t="str">
        <f aca="false">IF(O272="","",IF(O272&gt;0,"WIN","LOSS"))</f>
        <v/>
      </c>
      <c r="R272" s="22" t="str">
        <f aca="false">IF(AND(M272,O272&lt;&gt;""),O272,"")</f>
        <v/>
      </c>
      <c r="S272" s="22" t="n">
        <f aca="false">S271+IF(R272="",0,R272)</f>
        <v>0</v>
      </c>
      <c r="T272" s="22" t="n">
        <f aca="false">MAX(T271,S272)</f>
        <v>0</v>
      </c>
      <c r="U272" s="22" t="n">
        <f aca="false">T272-S272</f>
        <v>0</v>
      </c>
      <c r="V272" s="16"/>
    </row>
    <row r="273" customFormat="false" ht="15" hidden="false" customHeight="true" outlineLevel="0" collapsed="false">
      <c r="A273" s="4" t="str">
        <f aca="false">IF(B273="","",ROW()-1)</f>
        <v/>
      </c>
      <c r="B273" s="15"/>
      <c r="C273" s="16"/>
      <c r="D273" s="17"/>
      <c r="E273" s="17"/>
      <c r="F273" s="17"/>
      <c r="G273" s="18"/>
      <c r="H273" s="17"/>
      <c r="I273" s="16"/>
      <c r="J273" s="16"/>
      <c r="K273" s="17"/>
      <c r="L273" s="19"/>
      <c r="M273" s="20" t="b">
        <f aca="false">AND(B273&lt;&gt;"",B273&gt;='Read Me'!$B$5,H273&lt;&gt;"")</f>
        <v>0</v>
      </c>
      <c r="N273" s="21" t="str">
        <f aca="false">IF(OR(D273="",E273=""),"",ABS(D273-E273))</f>
        <v/>
      </c>
      <c r="O273" s="22" t="str">
        <f aca="false">IF(OR(H273="",N273="",N273=0),"",IF(C273="BUY",1,-1)*(H273-D273)/N273)</f>
        <v/>
      </c>
      <c r="P273" s="23" t="str">
        <f aca="false">IF(OR(H273="",D273="",K273=""),"",IF(C273="BUY",1,-1)*(H273-D273)*K273*'Read Me'!$B$10-L273)</f>
        <v/>
      </c>
      <c r="Q273" s="4" t="str">
        <f aca="false">IF(O273="","",IF(O273&gt;0,"WIN","LOSS"))</f>
        <v/>
      </c>
      <c r="R273" s="22" t="str">
        <f aca="false">IF(AND(M273,O273&lt;&gt;""),O273,"")</f>
        <v/>
      </c>
      <c r="S273" s="22" t="n">
        <f aca="false">S272+IF(R273="",0,R273)</f>
        <v>0</v>
      </c>
      <c r="T273" s="22" t="n">
        <f aca="false">MAX(T272,S273)</f>
        <v>0</v>
      </c>
      <c r="U273" s="22" t="n">
        <f aca="false">T273-S273</f>
        <v>0</v>
      </c>
      <c r="V273" s="16"/>
    </row>
    <row r="274" customFormat="false" ht="15" hidden="false" customHeight="true" outlineLevel="0" collapsed="false">
      <c r="A274" s="4" t="str">
        <f aca="false">IF(B274="","",ROW()-1)</f>
        <v/>
      </c>
      <c r="B274" s="15"/>
      <c r="C274" s="16"/>
      <c r="D274" s="17"/>
      <c r="E274" s="17"/>
      <c r="F274" s="17"/>
      <c r="G274" s="18"/>
      <c r="H274" s="17"/>
      <c r="I274" s="16"/>
      <c r="J274" s="16"/>
      <c r="K274" s="17"/>
      <c r="L274" s="19"/>
      <c r="M274" s="20" t="b">
        <f aca="false">AND(B274&lt;&gt;"",B274&gt;='Read Me'!$B$5,H274&lt;&gt;"")</f>
        <v>0</v>
      </c>
      <c r="N274" s="21" t="str">
        <f aca="false">IF(OR(D274="",E274=""),"",ABS(D274-E274))</f>
        <v/>
      </c>
      <c r="O274" s="22" t="str">
        <f aca="false">IF(OR(H274="",N274="",N274=0),"",IF(C274="BUY",1,-1)*(H274-D274)/N274)</f>
        <v/>
      </c>
      <c r="P274" s="23" t="str">
        <f aca="false">IF(OR(H274="",D274="",K274=""),"",IF(C274="BUY",1,-1)*(H274-D274)*K274*'Read Me'!$B$10-L274)</f>
        <v/>
      </c>
      <c r="Q274" s="4" t="str">
        <f aca="false">IF(O274="","",IF(O274&gt;0,"WIN","LOSS"))</f>
        <v/>
      </c>
      <c r="R274" s="22" t="str">
        <f aca="false">IF(AND(M274,O274&lt;&gt;""),O274,"")</f>
        <v/>
      </c>
      <c r="S274" s="22" t="n">
        <f aca="false">S273+IF(R274="",0,R274)</f>
        <v>0</v>
      </c>
      <c r="T274" s="22" t="n">
        <f aca="false">MAX(T273,S274)</f>
        <v>0</v>
      </c>
      <c r="U274" s="22" t="n">
        <f aca="false">T274-S274</f>
        <v>0</v>
      </c>
      <c r="V274" s="16"/>
    </row>
    <row r="275" customFormat="false" ht="15" hidden="false" customHeight="true" outlineLevel="0" collapsed="false">
      <c r="A275" s="4" t="str">
        <f aca="false">IF(B275="","",ROW()-1)</f>
        <v/>
      </c>
      <c r="B275" s="15"/>
      <c r="C275" s="16"/>
      <c r="D275" s="17"/>
      <c r="E275" s="17"/>
      <c r="F275" s="17"/>
      <c r="G275" s="18"/>
      <c r="H275" s="17"/>
      <c r="I275" s="16"/>
      <c r="J275" s="16"/>
      <c r="K275" s="17"/>
      <c r="L275" s="19"/>
      <c r="M275" s="20" t="b">
        <f aca="false">AND(B275&lt;&gt;"",B275&gt;='Read Me'!$B$5,H275&lt;&gt;"")</f>
        <v>0</v>
      </c>
      <c r="N275" s="21" t="str">
        <f aca="false">IF(OR(D275="",E275=""),"",ABS(D275-E275))</f>
        <v/>
      </c>
      <c r="O275" s="22" t="str">
        <f aca="false">IF(OR(H275="",N275="",N275=0),"",IF(C275="BUY",1,-1)*(H275-D275)/N275)</f>
        <v/>
      </c>
      <c r="P275" s="23" t="str">
        <f aca="false">IF(OR(H275="",D275="",K275=""),"",IF(C275="BUY",1,-1)*(H275-D275)*K275*'Read Me'!$B$10-L275)</f>
        <v/>
      </c>
      <c r="Q275" s="4" t="str">
        <f aca="false">IF(O275="","",IF(O275&gt;0,"WIN","LOSS"))</f>
        <v/>
      </c>
      <c r="R275" s="22" t="str">
        <f aca="false">IF(AND(M275,O275&lt;&gt;""),O275,"")</f>
        <v/>
      </c>
      <c r="S275" s="22" t="n">
        <f aca="false">S274+IF(R275="",0,R275)</f>
        <v>0</v>
      </c>
      <c r="T275" s="22" t="n">
        <f aca="false">MAX(T274,S275)</f>
        <v>0</v>
      </c>
      <c r="U275" s="22" t="n">
        <f aca="false">T275-S275</f>
        <v>0</v>
      </c>
      <c r="V275" s="16"/>
    </row>
    <row r="276" customFormat="false" ht="15" hidden="false" customHeight="true" outlineLevel="0" collapsed="false">
      <c r="A276" s="4" t="str">
        <f aca="false">IF(B276="","",ROW()-1)</f>
        <v/>
      </c>
      <c r="B276" s="15"/>
      <c r="C276" s="16"/>
      <c r="D276" s="17"/>
      <c r="E276" s="17"/>
      <c r="F276" s="17"/>
      <c r="G276" s="18"/>
      <c r="H276" s="17"/>
      <c r="I276" s="16"/>
      <c r="J276" s="16"/>
      <c r="K276" s="17"/>
      <c r="L276" s="19"/>
      <c r="M276" s="20" t="b">
        <f aca="false">AND(B276&lt;&gt;"",B276&gt;='Read Me'!$B$5,H276&lt;&gt;"")</f>
        <v>0</v>
      </c>
      <c r="N276" s="21" t="str">
        <f aca="false">IF(OR(D276="",E276=""),"",ABS(D276-E276))</f>
        <v/>
      </c>
      <c r="O276" s="22" t="str">
        <f aca="false">IF(OR(H276="",N276="",N276=0),"",IF(C276="BUY",1,-1)*(H276-D276)/N276)</f>
        <v/>
      </c>
      <c r="P276" s="23" t="str">
        <f aca="false">IF(OR(H276="",D276="",K276=""),"",IF(C276="BUY",1,-1)*(H276-D276)*K276*'Read Me'!$B$10-L276)</f>
        <v/>
      </c>
      <c r="Q276" s="4" t="str">
        <f aca="false">IF(O276="","",IF(O276&gt;0,"WIN","LOSS"))</f>
        <v/>
      </c>
      <c r="R276" s="22" t="str">
        <f aca="false">IF(AND(M276,O276&lt;&gt;""),O276,"")</f>
        <v/>
      </c>
      <c r="S276" s="22" t="n">
        <f aca="false">S275+IF(R276="",0,R276)</f>
        <v>0</v>
      </c>
      <c r="T276" s="22" t="n">
        <f aca="false">MAX(T275,S276)</f>
        <v>0</v>
      </c>
      <c r="U276" s="22" t="n">
        <f aca="false">T276-S276</f>
        <v>0</v>
      </c>
      <c r="V276" s="16"/>
    </row>
    <row r="277" customFormat="false" ht="15" hidden="false" customHeight="true" outlineLevel="0" collapsed="false">
      <c r="A277" s="4" t="str">
        <f aca="false">IF(B277="","",ROW()-1)</f>
        <v/>
      </c>
      <c r="B277" s="15"/>
      <c r="C277" s="16"/>
      <c r="D277" s="17"/>
      <c r="E277" s="17"/>
      <c r="F277" s="17"/>
      <c r="G277" s="18"/>
      <c r="H277" s="17"/>
      <c r="I277" s="16"/>
      <c r="J277" s="16"/>
      <c r="K277" s="17"/>
      <c r="L277" s="19"/>
      <c r="M277" s="20" t="b">
        <f aca="false">AND(B277&lt;&gt;"",B277&gt;='Read Me'!$B$5,H277&lt;&gt;"")</f>
        <v>0</v>
      </c>
      <c r="N277" s="21" t="str">
        <f aca="false">IF(OR(D277="",E277=""),"",ABS(D277-E277))</f>
        <v/>
      </c>
      <c r="O277" s="22" t="str">
        <f aca="false">IF(OR(H277="",N277="",N277=0),"",IF(C277="BUY",1,-1)*(H277-D277)/N277)</f>
        <v/>
      </c>
      <c r="P277" s="23" t="str">
        <f aca="false">IF(OR(H277="",D277="",K277=""),"",IF(C277="BUY",1,-1)*(H277-D277)*K277*'Read Me'!$B$10-L277)</f>
        <v/>
      </c>
      <c r="Q277" s="4" t="str">
        <f aca="false">IF(O277="","",IF(O277&gt;0,"WIN","LOSS"))</f>
        <v/>
      </c>
      <c r="R277" s="22" t="str">
        <f aca="false">IF(AND(M277,O277&lt;&gt;""),O277,"")</f>
        <v/>
      </c>
      <c r="S277" s="22" t="n">
        <f aca="false">S276+IF(R277="",0,R277)</f>
        <v>0</v>
      </c>
      <c r="T277" s="22" t="n">
        <f aca="false">MAX(T276,S277)</f>
        <v>0</v>
      </c>
      <c r="U277" s="22" t="n">
        <f aca="false">T277-S277</f>
        <v>0</v>
      </c>
      <c r="V277" s="16"/>
    </row>
    <row r="278" customFormat="false" ht="15" hidden="false" customHeight="true" outlineLevel="0" collapsed="false">
      <c r="A278" s="4" t="str">
        <f aca="false">IF(B278="","",ROW()-1)</f>
        <v/>
      </c>
      <c r="B278" s="15"/>
      <c r="C278" s="16"/>
      <c r="D278" s="17"/>
      <c r="E278" s="17"/>
      <c r="F278" s="17"/>
      <c r="G278" s="18"/>
      <c r="H278" s="17"/>
      <c r="I278" s="16"/>
      <c r="J278" s="16"/>
      <c r="K278" s="17"/>
      <c r="L278" s="19"/>
      <c r="M278" s="20" t="b">
        <f aca="false">AND(B278&lt;&gt;"",B278&gt;='Read Me'!$B$5,H278&lt;&gt;"")</f>
        <v>0</v>
      </c>
      <c r="N278" s="21" t="str">
        <f aca="false">IF(OR(D278="",E278=""),"",ABS(D278-E278))</f>
        <v/>
      </c>
      <c r="O278" s="22" t="str">
        <f aca="false">IF(OR(H278="",N278="",N278=0),"",IF(C278="BUY",1,-1)*(H278-D278)/N278)</f>
        <v/>
      </c>
      <c r="P278" s="23" t="str">
        <f aca="false">IF(OR(H278="",D278="",K278=""),"",IF(C278="BUY",1,-1)*(H278-D278)*K278*'Read Me'!$B$10-L278)</f>
        <v/>
      </c>
      <c r="Q278" s="4" t="str">
        <f aca="false">IF(O278="","",IF(O278&gt;0,"WIN","LOSS"))</f>
        <v/>
      </c>
      <c r="R278" s="22" t="str">
        <f aca="false">IF(AND(M278,O278&lt;&gt;""),O278,"")</f>
        <v/>
      </c>
      <c r="S278" s="22" t="n">
        <f aca="false">S277+IF(R278="",0,R278)</f>
        <v>0</v>
      </c>
      <c r="T278" s="22" t="n">
        <f aca="false">MAX(T277,S278)</f>
        <v>0</v>
      </c>
      <c r="U278" s="22" t="n">
        <f aca="false">T278-S278</f>
        <v>0</v>
      </c>
      <c r="V278" s="16"/>
    </row>
    <row r="279" customFormat="false" ht="15" hidden="false" customHeight="true" outlineLevel="0" collapsed="false">
      <c r="A279" s="4" t="str">
        <f aca="false">IF(B279="","",ROW()-1)</f>
        <v/>
      </c>
      <c r="B279" s="15"/>
      <c r="C279" s="16"/>
      <c r="D279" s="17"/>
      <c r="E279" s="17"/>
      <c r="F279" s="17"/>
      <c r="G279" s="18"/>
      <c r="H279" s="17"/>
      <c r="I279" s="16"/>
      <c r="J279" s="16"/>
      <c r="K279" s="17"/>
      <c r="L279" s="19"/>
      <c r="M279" s="20" t="b">
        <f aca="false">AND(B279&lt;&gt;"",B279&gt;='Read Me'!$B$5,H279&lt;&gt;"")</f>
        <v>0</v>
      </c>
      <c r="N279" s="21" t="str">
        <f aca="false">IF(OR(D279="",E279=""),"",ABS(D279-E279))</f>
        <v/>
      </c>
      <c r="O279" s="22" t="str">
        <f aca="false">IF(OR(H279="",N279="",N279=0),"",IF(C279="BUY",1,-1)*(H279-D279)/N279)</f>
        <v/>
      </c>
      <c r="P279" s="23" t="str">
        <f aca="false">IF(OR(H279="",D279="",K279=""),"",IF(C279="BUY",1,-1)*(H279-D279)*K279*'Read Me'!$B$10-L279)</f>
        <v/>
      </c>
      <c r="Q279" s="4" t="str">
        <f aca="false">IF(O279="","",IF(O279&gt;0,"WIN","LOSS"))</f>
        <v/>
      </c>
      <c r="R279" s="22" t="str">
        <f aca="false">IF(AND(M279,O279&lt;&gt;""),O279,"")</f>
        <v/>
      </c>
      <c r="S279" s="22" t="n">
        <f aca="false">S278+IF(R279="",0,R279)</f>
        <v>0</v>
      </c>
      <c r="T279" s="22" t="n">
        <f aca="false">MAX(T278,S279)</f>
        <v>0</v>
      </c>
      <c r="U279" s="22" t="n">
        <f aca="false">T279-S279</f>
        <v>0</v>
      </c>
      <c r="V279" s="16"/>
    </row>
    <row r="280" customFormat="false" ht="15" hidden="false" customHeight="true" outlineLevel="0" collapsed="false">
      <c r="A280" s="4" t="str">
        <f aca="false">IF(B280="","",ROW()-1)</f>
        <v/>
      </c>
      <c r="B280" s="15"/>
      <c r="C280" s="16"/>
      <c r="D280" s="17"/>
      <c r="E280" s="17"/>
      <c r="F280" s="17"/>
      <c r="G280" s="18"/>
      <c r="H280" s="17"/>
      <c r="I280" s="16"/>
      <c r="J280" s="16"/>
      <c r="K280" s="17"/>
      <c r="L280" s="19"/>
      <c r="M280" s="20" t="b">
        <f aca="false">AND(B280&lt;&gt;"",B280&gt;='Read Me'!$B$5,H280&lt;&gt;"")</f>
        <v>0</v>
      </c>
      <c r="N280" s="21" t="str">
        <f aca="false">IF(OR(D280="",E280=""),"",ABS(D280-E280))</f>
        <v/>
      </c>
      <c r="O280" s="22" t="str">
        <f aca="false">IF(OR(H280="",N280="",N280=0),"",IF(C280="BUY",1,-1)*(H280-D280)/N280)</f>
        <v/>
      </c>
      <c r="P280" s="23" t="str">
        <f aca="false">IF(OR(H280="",D280="",K280=""),"",IF(C280="BUY",1,-1)*(H280-D280)*K280*'Read Me'!$B$10-L280)</f>
        <v/>
      </c>
      <c r="Q280" s="4" t="str">
        <f aca="false">IF(O280="","",IF(O280&gt;0,"WIN","LOSS"))</f>
        <v/>
      </c>
      <c r="R280" s="22" t="str">
        <f aca="false">IF(AND(M280,O280&lt;&gt;""),O280,"")</f>
        <v/>
      </c>
      <c r="S280" s="22" t="n">
        <f aca="false">S279+IF(R280="",0,R280)</f>
        <v>0</v>
      </c>
      <c r="T280" s="22" t="n">
        <f aca="false">MAX(T279,S280)</f>
        <v>0</v>
      </c>
      <c r="U280" s="22" t="n">
        <f aca="false">T280-S280</f>
        <v>0</v>
      </c>
      <c r="V280" s="16"/>
    </row>
    <row r="281" customFormat="false" ht="15" hidden="false" customHeight="true" outlineLevel="0" collapsed="false">
      <c r="A281" s="4" t="str">
        <f aca="false">IF(B281="","",ROW()-1)</f>
        <v/>
      </c>
      <c r="B281" s="15"/>
      <c r="C281" s="16"/>
      <c r="D281" s="17"/>
      <c r="E281" s="17"/>
      <c r="F281" s="17"/>
      <c r="G281" s="18"/>
      <c r="H281" s="17"/>
      <c r="I281" s="16"/>
      <c r="J281" s="16"/>
      <c r="K281" s="17"/>
      <c r="L281" s="19"/>
      <c r="M281" s="20" t="b">
        <f aca="false">AND(B281&lt;&gt;"",B281&gt;='Read Me'!$B$5,H281&lt;&gt;"")</f>
        <v>0</v>
      </c>
      <c r="N281" s="21" t="str">
        <f aca="false">IF(OR(D281="",E281=""),"",ABS(D281-E281))</f>
        <v/>
      </c>
      <c r="O281" s="22" t="str">
        <f aca="false">IF(OR(H281="",N281="",N281=0),"",IF(C281="BUY",1,-1)*(H281-D281)/N281)</f>
        <v/>
      </c>
      <c r="P281" s="23" t="str">
        <f aca="false">IF(OR(H281="",D281="",K281=""),"",IF(C281="BUY",1,-1)*(H281-D281)*K281*'Read Me'!$B$10-L281)</f>
        <v/>
      </c>
      <c r="Q281" s="4" t="str">
        <f aca="false">IF(O281="","",IF(O281&gt;0,"WIN","LOSS"))</f>
        <v/>
      </c>
      <c r="R281" s="22" t="str">
        <f aca="false">IF(AND(M281,O281&lt;&gt;""),O281,"")</f>
        <v/>
      </c>
      <c r="S281" s="22" t="n">
        <f aca="false">S280+IF(R281="",0,R281)</f>
        <v>0</v>
      </c>
      <c r="T281" s="22" t="n">
        <f aca="false">MAX(T280,S281)</f>
        <v>0</v>
      </c>
      <c r="U281" s="22" t="n">
        <f aca="false">T281-S281</f>
        <v>0</v>
      </c>
      <c r="V281" s="16"/>
    </row>
    <row r="282" customFormat="false" ht="15" hidden="false" customHeight="true" outlineLevel="0" collapsed="false">
      <c r="A282" s="4" t="str">
        <f aca="false">IF(B282="","",ROW()-1)</f>
        <v/>
      </c>
      <c r="B282" s="15"/>
      <c r="C282" s="16"/>
      <c r="D282" s="17"/>
      <c r="E282" s="17"/>
      <c r="F282" s="17"/>
      <c r="G282" s="18"/>
      <c r="H282" s="17"/>
      <c r="I282" s="16"/>
      <c r="J282" s="16"/>
      <c r="K282" s="17"/>
      <c r="L282" s="19"/>
      <c r="M282" s="20" t="b">
        <f aca="false">AND(B282&lt;&gt;"",B282&gt;='Read Me'!$B$5,H282&lt;&gt;"")</f>
        <v>0</v>
      </c>
      <c r="N282" s="21" t="str">
        <f aca="false">IF(OR(D282="",E282=""),"",ABS(D282-E282))</f>
        <v/>
      </c>
      <c r="O282" s="22" t="str">
        <f aca="false">IF(OR(H282="",N282="",N282=0),"",IF(C282="BUY",1,-1)*(H282-D282)/N282)</f>
        <v/>
      </c>
      <c r="P282" s="23" t="str">
        <f aca="false">IF(OR(H282="",D282="",K282=""),"",IF(C282="BUY",1,-1)*(H282-D282)*K282*'Read Me'!$B$10-L282)</f>
        <v/>
      </c>
      <c r="Q282" s="4" t="str">
        <f aca="false">IF(O282="","",IF(O282&gt;0,"WIN","LOSS"))</f>
        <v/>
      </c>
      <c r="R282" s="22" t="str">
        <f aca="false">IF(AND(M282,O282&lt;&gt;""),O282,"")</f>
        <v/>
      </c>
      <c r="S282" s="22" t="n">
        <f aca="false">S281+IF(R282="",0,R282)</f>
        <v>0</v>
      </c>
      <c r="T282" s="22" t="n">
        <f aca="false">MAX(T281,S282)</f>
        <v>0</v>
      </c>
      <c r="U282" s="22" t="n">
        <f aca="false">T282-S282</f>
        <v>0</v>
      </c>
      <c r="V282" s="16"/>
    </row>
    <row r="283" customFormat="false" ht="15" hidden="false" customHeight="true" outlineLevel="0" collapsed="false">
      <c r="A283" s="4" t="str">
        <f aca="false">IF(B283="","",ROW()-1)</f>
        <v/>
      </c>
      <c r="B283" s="15"/>
      <c r="C283" s="16"/>
      <c r="D283" s="17"/>
      <c r="E283" s="17"/>
      <c r="F283" s="17"/>
      <c r="G283" s="18"/>
      <c r="H283" s="17"/>
      <c r="I283" s="16"/>
      <c r="J283" s="16"/>
      <c r="K283" s="17"/>
      <c r="L283" s="19"/>
      <c r="M283" s="20" t="b">
        <f aca="false">AND(B283&lt;&gt;"",B283&gt;='Read Me'!$B$5,H283&lt;&gt;"")</f>
        <v>0</v>
      </c>
      <c r="N283" s="21" t="str">
        <f aca="false">IF(OR(D283="",E283=""),"",ABS(D283-E283))</f>
        <v/>
      </c>
      <c r="O283" s="22" t="str">
        <f aca="false">IF(OR(H283="",N283="",N283=0),"",IF(C283="BUY",1,-1)*(H283-D283)/N283)</f>
        <v/>
      </c>
      <c r="P283" s="23" t="str">
        <f aca="false">IF(OR(H283="",D283="",K283=""),"",IF(C283="BUY",1,-1)*(H283-D283)*K283*'Read Me'!$B$10-L283)</f>
        <v/>
      </c>
      <c r="Q283" s="4" t="str">
        <f aca="false">IF(O283="","",IF(O283&gt;0,"WIN","LOSS"))</f>
        <v/>
      </c>
      <c r="R283" s="22" t="str">
        <f aca="false">IF(AND(M283,O283&lt;&gt;""),O283,"")</f>
        <v/>
      </c>
      <c r="S283" s="22" t="n">
        <f aca="false">S282+IF(R283="",0,R283)</f>
        <v>0</v>
      </c>
      <c r="T283" s="22" t="n">
        <f aca="false">MAX(T282,S283)</f>
        <v>0</v>
      </c>
      <c r="U283" s="22" t="n">
        <f aca="false">T283-S283</f>
        <v>0</v>
      </c>
      <c r="V283" s="16"/>
    </row>
    <row r="284" customFormat="false" ht="15" hidden="false" customHeight="true" outlineLevel="0" collapsed="false">
      <c r="A284" s="4" t="str">
        <f aca="false">IF(B284="","",ROW()-1)</f>
        <v/>
      </c>
      <c r="B284" s="15"/>
      <c r="C284" s="16"/>
      <c r="D284" s="17"/>
      <c r="E284" s="17"/>
      <c r="F284" s="17"/>
      <c r="G284" s="18"/>
      <c r="H284" s="17"/>
      <c r="I284" s="16"/>
      <c r="J284" s="16"/>
      <c r="K284" s="17"/>
      <c r="L284" s="19"/>
      <c r="M284" s="20" t="b">
        <f aca="false">AND(B284&lt;&gt;"",B284&gt;='Read Me'!$B$5,H284&lt;&gt;"")</f>
        <v>0</v>
      </c>
      <c r="N284" s="21" t="str">
        <f aca="false">IF(OR(D284="",E284=""),"",ABS(D284-E284))</f>
        <v/>
      </c>
      <c r="O284" s="22" t="str">
        <f aca="false">IF(OR(H284="",N284="",N284=0),"",IF(C284="BUY",1,-1)*(H284-D284)/N284)</f>
        <v/>
      </c>
      <c r="P284" s="23" t="str">
        <f aca="false">IF(OR(H284="",D284="",K284=""),"",IF(C284="BUY",1,-1)*(H284-D284)*K284*'Read Me'!$B$10-L284)</f>
        <v/>
      </c>
      <c r="Q284" s="4" t="str">
        <f aca="false">IF(O284="","",IF(O284&gt;0,"WIN","LOSS"))</f>
        <v/>
      </c>
      <c r="R284" s="22" t="str">
        <f aca="false">IF(AND(M284,O284&lt;&gt;""),O284,"")</f>
        <v/>
      </c>
      <c r="S284" s="22" t="n">
        <f aca="false">S283+IF(R284="",0,R284)</f>
        <v>0</v>
      </c>
      <c r="T284" s="22" t="n">
        <f aca="false">MAX(T283,S284)</f>
        <v>0</v>
      </c>
      <c r="U284" s="22" t="n">
        <f aca="false">T284-S284</f>
        <v>0</v>
      </c>
      <c r="V284" s="16"/>
    </row>
    <row r="285" customFormat="false" ht="15" hidden="false" customHeight="true" outlineLevel="0" collapsed="false">
      <c r="A285" s="4" t="str">
        <f aca="false">IF(B285="","",ROW()-1)</f>
        <v/>
      </c>
      <c r="B285" s="15"/>
      <c r="C285" s="16"/>
      <c r="D285" s="17"/>
      <c r="E285" s="17"/>
      <c r="F285" s="17"/>
      <c r="G285" s="18"/>
      <c r="H285" s="17"/>
      <c r="I285" s="16"/>
      <c r="J285" s="16"/>
      <c r="K285" s="17"/>
      <c r="L285" s="19"/>
      <c r="M285" s="20" t="b">
        <f aca="false">AND(B285&lt;&gt;"",B285&gt;='Read Me'!$B$5,H285&lt;&gt;"")</f>
        <v>0</v>
      </c>
      <c r="N285" s="21" t="str">
        <f aca="false">IF(OR(D285="",E285=""),"",ABS(D285-E285))</f>
        <v/>
      </c>
      <c r="O285" s="22" t="str">
        <f aca="false">IF(OR(H285="",N285="",N285=0),"",IF(C285="BUY",1,-1)*(H285-D285)/N285)</f>
        <v/>
      </c>
      <c r="P285" s="23" t="str">
        <f aca="false">IF(OR(H285="",D285="",K285=""),"",IF(C285="BUY",1,-1)*(H285-D285)*K285*'Read Me'!$B$10-L285)</f>
        <v/>
      </c>
      <c r="Q285" s="4" t="str">
        <f aca="false">IF(O285="","",IF(O285&gt;0,"WIN","LOSS"))</f>
        <v/>
      </c>
      <c r="R285" s="22" t="str">
        <f aca="false">IF(AND(M285,O285&lt;&gt;""),O285,"")</f>
        <v/>
      </c>
      <c r="S285" s="22" t="n">
        <f aca="false">S284+IF(R285="",0,R285)</f>
        <v>0</v>
      </c>
      <c r="T285" s="22" t="n">
        <f aca="false">MAX(T284,S285)</f>
        <v>0</v>
      </c>
      <c r="U285" s="22" t="n">
        <f aca="false">T285-S285</f>
        <v>0</v>
      </c>
      <c r="V285" s="16"/>
    </row>
    <row r="286" customFormat="false" ht="15" hidden="false" customHeight="true" outlineLevel="0" collapsed="false">
      <c r="A286" s="4" t="str">
        <f aca="false">IF(B286="","",ROW()-1)</f>
        <v/>
      </c>
      <c r="B286" s="15"/>
      <c r="C286" s="16"/>
      <c r="D286" s="17"/>
      <c r="E286" s="17"/>
      <c r="F286" s="17"/>
      <c r="G286" s="18"/>
      <c r="H286" s="17"/>
      <c r="I286" s="16"/>
      <c r="J286" s="16"/>
      <c r="K286" s="17"/>
      <c r="L286" s="19"/>
      <c r="M286" s="20" t="b">
        <f aca="false">AND(B286&lt;&gt;"",B286&gt;='Read Me'!$B$5,H286&lt;&gt;"")</f>
        <v>0</v>
      </c>
      <c r="N286" s="21" t="str">
        <f aca="false">IF(OR(D286="",E286=""),"",ABS(D286-E286))</f>
        <v/>
      </c>
      <c r="O286" s="22" t="str">
        <f aca="false">IF(OR(H286="",N286="",N286=0),"",IF(C286="BUY",1,-1)*(H286-D286)/N286)</f>
        <v/>
      </c>
      <c r="P286" s="23" t="str">
        <f aca="false">IF(OR(H286="",D286="",K286=""),"",IF(C286="BUY",1,-1)*(H286-D286)*K286*'Read Me'!$B$10-L286)</f>
        <v/>
      </c>
      <c r="Q286" s="4" t="str">
        <f aca="false">IF(O286="","",IF(O286&gt;0,"WIN","LOSS"))</f>
        <v/>
      </c>
      <c r="R286" s="22" t="str">
        <f aca="false">IF(AND(M286,O286&lt;&gt;""),O286,"")</f>
        <v/>
      </c>
      <c r="S286" s="22" t="n">
        <f aca="false">S285+IF(R286="",0,R286)</f>
        <v>0</v>
      </c>
      <c r="T286" s="22" t="n">
        <f aca="false">MAX(T285,S286)</f>
        <v>0</v>
      </c>
      <c r="U286" s="22" t="n">
        <f aca="false">T286-S286</f>
        <v>0</v>
      </c>
      <c r="V286" s="16"/>
    </row>
    <row r="287" customFormat="false" ht="15" hidden="false" customHeight="true" outlineLevel="0" collapsed="false">
      <c r="A287" s="4" t="str">
        <f aca="false">IF(B287="","",ROW()-1)</f>
        <v/>
      </c>
      <c r="B287" s="15"/>
      <c r="C287" s="16"/>
      <c r="D287" s="17"/>
      <c r="E287" s="17"/>
      <c r="F287" s="17"/>
      <c r="G287" s="18"/>
      <c r="H287" s="17"/>
      <c r="I287" s="16"/>
      <c r="J287" s="16"/>
      <c r="K287" s="17"/>
      <c r="L287" s="19"/>
      <c r="M287" s="20" t="b">
        <f aca="false">AND(B287&lt;&gt;"",B287&gt;='Read Me'!$B$5,H287&lt;&gt;"")</f>
        <v>0</v>
      </c>
      <c r="N287" s="21" t="str">
        <f aca="false">IF(OR(D287="",E287=""),"",ABS(D287-E287))</f>
        <v/>
      </c>
      <c r="O287" s="22" t="str">
        <f aca="false">IF(OR(H287="",N287="",N287=0),"",IF(C287="BUY",1,-1)*(H287-D287)/N287)</f>
        <v/>
      </c>
      <c r="P287" s="23" t="str">
        <f aca="false">IF(OR(H287="",D287="",K287=""),"",IF(C287="BUY",1,-1)*(H287-D287)*K287*'Read Me'!$B$10-L287)</f>
        <v/>
      </c>
      <c r="Q287" s="4" t="str">
        <f aca="false">IF(O287="","",IF(O287&gt;0,"WIN","LOSS"))</f>
        <v/>
      </c>
      <c r="R287" s="22" t="str">
        <f aca="false">IF(AND(M287,O287&lt;&gt;""),O287,"")</f>
        <v/>
      </c>
      <c r="S287" s="22" t="n">
        <f aca="false">S286+IF(R287="",0,R287)</f>
        <v>0</v>
      </c>
      <c r="T287" s="22" t="n">
        <f aca="false">MAX(T286,S287)</f>
        <v>0</v>
      </c>
      <c r="U287" s="22" t="n">
        <f aca="false">T287-S287</f>
        <v>0</v>
      </c>
      <c r="V287" s="16"/>
    </row>
    <row r="288" customFormat="false" ht="15" hidden="false" customHeight="true" outlineLevel="0" collapsed="false">
      <c r="A288" s="4" t="str">
        <f aca="false">IF(B288="","",ROW()-1)</f>
        <v/>
      </c>
      <c r="B288" s="15"/>
      <c r="C288" s="16"/>
      <c r="D288" s="17"/>
      <c r="E288" s="17"/>
      <c r="F288" s="17"/>
      <c r="G288" s="18"/>
      <c r="H288" s="17"/>
      <c r="I288" s="16"/>
      <c r="J288" s="16"/>
      <c r="K288" s="17"/>
      <c r="L288" s="19"/>
      <c r="M288" s="20" t="b">
        <f aca="false">AND(B288&lt;&gt;"",B288&gt;='Read Me'!$B$5,H288&lt;&gt;"")</f>
        <v>0</v>
      </c>
      <c r="N288" s="21" t="str">
        <f aca="false">IF(OR(D288="",E288=""),"",ABS(D288-E288))</f>
        <v/>
      </c>
      <c r="O288" s="22" t="str">
        <f aca="false">IF(OR(H288="",N288="",N288=0),"",IF(C288="BUY",1,-1)*(H288-D288)/N288)</f>
        <v/>
      </c>
      <c r="P288" s="23" t="str">
        <f aca="false">IF(OR(H288="",D288="",K288=""),"",IF(C288="BUY",1,-1)*(H288-D288)*K288*'Read Me'!$B$10-L288)</f>
        <v/>
      </c>
      <c r="Q288" s="4" t="str">
        <f aca="false">IF(O288="","",IF(O288&gt;0,"WIN","LOSS"))</f>
        <v/>
      </c>
      <c r="R288" s="22" t="str">
        <f aca="false">IF(AND(M288,O288&lt;&gt;""),O288,"")</f>
        <v/>
      </c>
      <c r="S288" s="22" t="n">
        <f aca="false">S287+IF(R288="",0,R288)</f>
        <v>0</v>
      </c>
      <c r="T288" s="22" t="n">
        <f aca="false">MAX(T287,S288)</f>
        <v>0</v>
      </c>
      <c r="U288" s="22" t="n">
        <f aca="false">T288-S288</f>
        <v>0</v>
      </c>
      <c r="V288" s="16"/>
    </row>
    <row r="289" customFormat="false" ht="15" hidden="false" customHeight="true" outlineLevel="0" collapsed="false">
      <c r="A289" s="4" t="str">
        <f aca="false">IF(B289="","",ROW()-1)</f>
        <v/>
      </c>
      <c r="B289" s="15"/>
      <c r="C289" s="16"/>
      <c r="D289" s="17"/>
      <c r="E289" s="17"/>
      <c r="F289" s="17"/>
      <c r="G289" s="18"/>
      <c r="H289" s="17"/>
      <c r="I289" s="16"/>
      <c r="J289" s="16"/>
      <c r="K289" s="17"/>
      <c r="L289" s="19"/>
      <c r="M289" s="20" t="b">
        <f aca="false">AND(B289&lt;&gt;"",B289&gt;='Read Me'!$B$5,H289&lt;&gt;"")</f>
        <v>0</v>
      </c>
      <c r="N289" s="21" t="str">
        <f aca="false">IF(OR(D289="",E289=""),"",ABS(D289-E289))</f>
        <v/>
      </c>
      <c r="O289" s="22" t="str">
        <f aca="false">IF(OR(H289="",N289="",N289=0),"",IF(C289="BUY",1,-1)*(H289-D289)/N289)</f>
        <v/>
      </c>
      <c r="P289" s="23" t="str">
        <f aca="false">IF(OR(H289="",D289="",K289=""),"",IF(C289="BUY",1,-1)*(H289-D289)*K289*'Read Me'!$B$10-L289)</f>
        <v/>
      </c>
      <c r="Q289" s="4" t="str">
        <f aca="false">IF(O289="","",IF(O289&gt;0,"WIN","LOSS"))</f>
        <v/>
      </c>
      <c r="R289" s="22" t="str">
        <f aca="false">IF(AND(M289,O289&lt;&gt;""),O289,"")</f>
        <v/>
      </c>
      <c r="S289" s="22" t="n">
        <f aca="false">S288+IF(R289="",0,R289)</f>
        <v>0</v>
      </c>
      <c r="T289" s="22" t="n">
        <f aca="false">MAX(T288,S289)</f>
        <v>0</v>
      </c>
      <c r="U289" s="22" t="n">
        <f aca="false">T289-S289</f>
        <v>0</v>
      </c>
      <c r="V289" s="16"/>
    </row>
    <row r="290" customFormat="false" ht="15" hidden="false" customHeight="true" outlineLevel="0" collapsed="false">
      <c r="A290" s="4" t="str">
        <f aca="false">IF(B290="","",ROW()-1)</f>
        <v/>
      </c>
      <c r="B290" s="15"/>
      <c r="C290" s="16"/>
      <c r="D290" s="17"/>
      <c r="E290" s="17"/>
      <c r="F290" s="17"/>
      <c r="G290" s="18"/>
      <c r="H290" s="17"/>
      <c r="I290" s="16"/>
      <c r="J290" s="16"/>
      <c r="K290" s="17"/>
      <c r="L290" s="19"/>
      <c r="M290" s="20" t="b">
        <f aca="false">AND(B290&lt;&gt;"",B290&gt;='Read Me'!$B$5,H290&lt;&gt;"")</f>
        <v>0</v>
      </c>
      <c r="N290" s="21" t="str">
        <f aca="false">IF(OR(D290="",E290=""),"",ABS(D290-E290))</f>
        <v/>
      </c>
      <c r="O290" s="22" t="str">
        <f aca="false">IF(OR(H290="",N290="",N290=0),"",IF(C290="BUY",1,-1)*(H290-D290)/N290)</f>
        <v/>
      </c>
      <c r="P290" s="23" t="str">
        <f aca="false">IF(OR(H290="",D290="",K290=""),"",IF(C290="BUY",1,-1)*(H290-D290)*K290*'Read Me'!$B$10-L290)</f>
        <v/>
      </c>
      <c r="Q290" s="4" t="str">
        <f aca="false">IF(O290="","",IF(O290&gt;0,"WIN","LOSS"))</f>
        <v/>
      </c>
      <c r="R290" s="22" t="str">
        <f aca="false">IF(AND(M290,O290&lt;&gt;""),O290,"")</f>
        <v/>
      </c>
      <c r="S290" s="22" t="n">
        <f aca="false">S289+IF(R290="",0,R290)</f>
        <v>0</v>
      </c>
      <c r="T290" s="22" t="n">
        <f aca="false">MAX(T289,S290)</f>
        <v>0</v>
      </c>
      <c r="U290" s="22" t="n">
        <f aca="false">T290-S290</f>
        <v>0</v>
      </c>
      <c r="V290" s="16"/>
    </row>
    <row r="291" customFormat="false" ht="15" hidden="false" customHeight="true" outlineLevel="0" collapsed="false">
      <c r="A291" s="4" t="str">
        <f aca="false">IF(B291="","",ROW()-1)</f>
        <v/>
      </c>
      <c r="B291" s="15"/>
      <c r="C291" s="16"/>
      <c r="D291" s="17"/>
      <c r="E291" s="17"/>
      <c r="F291" s="17"/>
      <c r="G291" s="18"/>
      <c r="H291" s="17"/>
      <c r="I291" s="16"/>
      <c r="J291" s="16"/>
      <c r="K291" s="17"/>
      <c r="L291" s="19"/>
      <c r="M291" s="20" t="b">
        <f aca="false">AND(B291&lt;&gt;"",B291&gt;='Read Me'!$B$5,H291&lt;&gt;"")</f>
        <v>0</v>
      </c>
      <c r="N291" s="21" t="str">
        <f aca="false">IF(OR(D291="",E291=""),"",ABS(D291-E291))</f>
        <v/>
      </c>
      <c r="O291" s="22" t="str">
        <f aca="false">IF(OR(H291="",N291="",N291=0),"",IF(C291="BUY",1,-1)*(H291-D291)/N291)</f>
        <v/>
      </c>
      <c r="P291" s="23" t="str">
        <f aca="false">IF(OR(H291="",D291="",K291=""),"",IF(C291="BUY",1,-1)*(H291-D291)*K291*'Read Me'!$B$10-L291)</f>
        <v/>
      </c>
      <c r="Q291" s="4" t="str">
        <f aca="false">IF(O291="","",IF(O291&gt;0,"WIN","LOSS"))</f>
        <v/>
      </c>
      <c r="R291" s="22" t="str">
        <f aca="false">IF(AND(M291,O291&lt;&gt;""),O291,"")</f>
        <v/>
      </c>
      <c r="S291" s="22" t="n">
        <f aca="false">S290+IF(R291="",0,R291)</f>
        <v>0</v>
      </c>
      <c r="T291" s="22" t="n">
        <f aca="false">MAX(T290,S291)</f>
        <v>0</v>
      </c>
      <c r="U291" s="22" t="n">
        <f aca="false">T291-S291</f>
        <v>0</v>
      </c>
      <c r="V291" s="16"/>
    </row>
    <row r="292" customFormat="false" ht="15" hidden="false" customHeight="true" outlineLevel="0" collapsed="false">
      <c r="A292" s="4" t="str">
        <f aca="false">IF(B292="","",ROW()-1)</f>
        <v/>
      </c>
      <c r="B292" s="15"/>
      <c r="C292" s="16"/>
      <c r="D292" s="17"/>
      <c r="E292" s="17"/>
      <c r="F292" s="17"/>
      <c r="G292" s="18"/>
      <c r="H292" s="17"/>
      <c r="I292" s="16"/>
      <c r="J292" s="16"/>
      <c r="K292" s="17"/>
      <c r="L292" s="19"/>
      <c r="M292" s="20" t="b">
        <f aca="false">AND(B292&lt;&gt;"",B292&gt;='Read Me'!$B$5,H292&lt;&gt;"")</f>
        <v>0</v>
      </c>
      <c r="N292" s="21" t="str">
        <f aca="false">IF(OR(D292="",E292=""),"",ABS(D292-E292))</f>
        <v/>
      </c>
      <c r="O292" s="22" t="str">
        <f aca="false">IF(OR(H292="",N292="",N292=0),"",IF(C292="BUY",1,-1)*(H292-D292)/N292)</f>
        <v/>
      </c>
      <c r="P292" s="23" t="str">
        <f aca="false">IF(OR(H292="",D292="",K292=""),"",IF(C292="BUY",1,-1)*(H292-D292)*K292*'Read Me'!$B$10-L292)</f>
        <v/>
      </c>
      <c r="Q292" s="4" t="str">
        <f aca="false">IF(O292="","",IF(O292&gt;0,"WIN","LOSS"))</f>
        <v/>
      </c>
      <c r="R292" s="22" t="str">
        <f aca="false">IF(AND(M292,O292&lt;&gt;""),O292,"")</f>
        <v/>
      </c>
      <c r="S292" s="22" t="n">
        <f aca="false">S291+IF(R292="",0,R292)</f>
        <v>0</v>
      </c>
      <c r="T292" s="22" t="n">
        <f aca="false">MAX(T291,S292)</f>
        <v>0</v>
      </c>
      <c r="U292" s="22" t="n">
        <f aca="false">T292-S292</f>
        <v>0</v>
      </c>
      <c r="V292" s="16"/>
    </row>
    <row r="293" customFormat="false" ht="15" hidden="false" customHeight="true" outlineLevel="0" collapsed="false">
      <c r="A293" s="4" t="str">
        <f aca="false">IF(B293="","",ROW()-1)</f>
        <v/>
      </c>
      <c r="B293" s="15"/>
      <c r="C293" s="16"/>
      <c r="D293" s="17"/>
      <c r="E293" s="17"/>
      <c r="F293" s="17"/>
      <c r="G293" s="18"/>
      <c r="H293" s="17"/>
      <c r="I293" s="16"/>
      <c r="J293" s="16"/>
      <c r="K293" s="17"/>
      <c r="L293" s="19"/>
      <c r="M293" s="20" t="b">
        <f aca="false">AND(B293&lt;&gt;"",B293&gt;='Read Me'!$B$5,H293&lt;&gt;"")</f>
        <v>0</v>
      </c>
      <c r="N293" s="21" t="str">
        <f aca="false">IF(OR(D293="",E293=""),"",ABS(D293-E293))</f>
        <v/>
      </c>
      <c r="O293" s="22" t="str">
        <f aca="false">IF(OR(H293="",N293="",N293=0),"",IF(C293="BUY",1,-1)*(H293-D293)/N293)</f>
        <v/>
      </c>
      <c r="P293" s="23" t="str">
        <f aca="false">IF(OR(H293="",D293="",K293=""),"",IF(C293="BUY",1,-1)*(H293-D293)*K293*'Read Me'!$B$10-L293)</f>
        <v/>
      </c>
      <c r="Q293" s="4" t="str">
        <f aca="false">IF(O293="","",IF(O293&gt;0,"WIN","LOSS"))</f>
        <v/>
      </c>
      <c r="R293" s="22" t="str">
        <f aca="false">IF(AND(M293,O293&lt;&gt;""),O293,"")</f>
        <v/>
      </c>
      <c r="S293" s="22" t="n">
        <f aca="false">S292+IF(R293="",0,R293)</f>
        <v>0</v>
      </c>
      <c r="T293" s="22" t="n">
        <f aca="false">MAX(T292,S293)</f>
        <v>0</v>
      </c>
      <c r="U293" s="22" t="n">
        <f aca="false">T293-S293</f>
        <v>0</v>
      </c>
      <c r="V293" s="16"/>
    </row>
    <row r="294" customFormat="false" ht="15" hidden="false" customHeight="true" outlineLevel="0" collapsed="false">
      <c r="A294" s="4" t="str">
        <f aca="false">IF(B294="","",ROW()-1)</f>
        <v/>
      </c>
      <c r="B294" s="15"/>
      <c r="C294" s="16"/>
      <c r="D294" s="17"/>
      <c r="E294" s="17"/>
      <c r="F294" s="17"/>
      <c r="G294" s="18"/>
      <c r="H294" s="17"/>
      <c r="I294" s="16"/>
      <c r="J294" s="16"/>
      <c r="K294" s="17"/>
      <c r="L294" s="19"/>
      <c r="M294" s="20" t="b">
        <f aca="false">AND(B294&lt;&gt;"",B294&gt;='Read Me'!$B$5,H294&lt;&gt;"")</f>
        <v>0</v>
      </c>
      <c r="N294" s="21" t="str">
        <f aca="false">IF(OR(D294="",E294=""),"",ABS(D294-E294))</f>
        <v/>
      </c>
      <c r="O294" s="22" t="str">
        <f aca="false">IF(OR(H294="",N294="",N294=0),"",IF(C294="BUY",1,-1)*(H294-D294)/N294)</f>
        <v/>
      </c>
      <c r="P294" s="23" t="str">
        <f aca="false">IF(OR(H294="",D294="",K294=""),"",IF(C294="BUY",1,-1)*(H294-D294)*K294*'Read Me'!$B$10-L294)</f>
        <v/>
      </c>
      <c r="Q294" s="4" t="str">
        <f aca="false">IF(O294="","",IF(O294&gt;0,"WIN","LOSS"))</f>
        <v/>
      </c>
      <c r="R294" s="22" t="str">
        <f aca="false">IF(AND(M294,O294&lt;&gt;""),O294,"")</f>
        <v/>
      </c>
      <c r="S294" s="22" t="n">
        <f aca="false">S293+IF(R294="",0,R294)</f>
        <v>0</v>
      </c>
      <c r="T294" s="22" t="n">
        <f aca="false">MAX(T293,S294)</f>
        <v>0</v>
      </c>
      <c r="U294" s="22" t="n">
        <f aca="false">T294-S294</f>
        <v>0</v>
      </c>
      <c r="V294" s="16"/>
    </row>
    <row r="295" customFormat="false" ht="15" hidden="false" customHeight="true" outlineLevel="0" collapsed="false">
      <c r="A295" s="4" t="str">
        <f aca="false">IF(B295="","",ROW()-1)</f>
        <v/>
      </c>
      <c r="B295" s="15"/>
      <c r="C295" s="16"/>
      <c r="D295" s="17"/>
      <c r="E295" s="17"/>
      <c r="F295" s="17"/>
      <c r="G295" s="18"/>
      <c r="H295" s="17"/>
      <c r="I295" s="16"/>
      <c r="J295" s="16"/>
      <c r="K295" s="17"/>
      <c r="L295" s="19"/>
      <c r="M295" s="20" t="b">
        <f aca="false">AND(B295&lt;&gt;"",B295&gt;='Read Me'!$B$5,H295&lt;&gt;"")</f>
        <v>0</v>
      </c>
      <c r="N295" s="21" t="str">
        <f aca="false">IF(OR(D295="",E295=""),"",ABS(D295-E295))</f>
        <v/>
      </c>
      <c r="O295" s="22" t="str">
        <f aca="false">IF(OR(H295="",N295="",N295=0),"",IF(C295="BUY",1,-1)*(H295-D295)/N295)</f>
        <v/>
      </c>
      <c r="P295" s="23" t="str">
        <f aca="false">IF(OR(H295="",D295="",K295=""),"",IF(C295="BUY",1,-1)*(H295-D295)*K295*'Read Me'!$B$10-L295)</f>
        <v/>
      </c>
      <c r="Q295" s="4" t="str">
        <f aca="false">IF(O295="","",IF(O295&gt;0,"WIN","LOSS"))</f>
        <v/>
      </c>
      <c r="R295" s="22" t="str">
        <f aca="false">IF(AND(M295,O295&lt;&gt;""),O295,"")</f>
        <v/>
      </c>
      <c r="S295" s="22" t="n">
        <f aca="false">S294+IF(R295="",0,R295)</f>
        <v>0</v>
      </c>
      <c r="T295" s="22" t="n">
        <f aca="false">MAX(T294,S295)</f>
        <v>0</v>
      </c>
      <c r="U295" s="22" t="n">
        <f aca="false">T295-S295</f>
        <v>0</v>
      </c>
      <c r="V295" s="16"/>
    </row>
    <row r="296" customFormat="false" ht="15" hidden="false" customHeight="true" outlineLevel="0" collapsed="false">
      <c r="A296" s="4" t="str">
        <f aca="false">IF(B296="","",ROW()-1)</f>
        <v/>
      </c>
      <c r="B296" s="15"/>
      <c r="C296" s="16"/>
      <c r="D296" s="17"/>
      <c r="E296" s="17"/>
      <c r="F296" s="17"/>
      <c r="G296" s="18"/>
      <c r="H296" s="17"/>
      <c r="I296" s="16"/>
      <c r="J296" s="16"/>
      <c r="K296" s="17"/>
      <c r="L296" s="19"/>
      <c r="M296" s="20" t="b">
        <f aca="false">AND(B296&lt;&gt;"",B296&gt;='Read Me'!$B$5,H296&lt;&gt;"")</f>
        <v>0</v>
      </c>
      <c r="N296" s="21" t="str">
        <f aca="false">IF(OR(D296="",E296=""),"",ABS(D296-E296))</f>
        <v/>
      </c>
      <c r="O296" s="22" t="str">
        <f aca="false">IF(OR(H296="",N296="",N296=0),"",IF(C296="BUY",1,-1)*(H296-D296)/N296)</f>
        <v/>
      </c>
      <c r="P296" s="23" t="str">
        <f aca="false">IF(OR(H296="",D296="",K296=""),"",IF(C296="BUY",1,-1)*(H296-D296)*K296*'Read Me'!$B$10-L296)</f>
        <v/>
      </c>
      <c r="Q296" s="4" t="str">
        <f aca="false">IF(O296="","",IF(O296&gt;0,"WIN","LOSS"))</f>
        <v/>
      </c>
      <c r="R296" s="22" t="str">
        <f aca="false">IF(AND(M296,O296&lt;&gt;""),O296,"")</f>
        <v/>
      </c>
      <c r="S296" s="22" t="n">
        <f aca="false">S295+IF(R296="",0,R296)</f>
        <v>0</v>
      </c>
      <c r="T296" s="22" t="n">
        <f aca="false">MAX(T295,S296)</f>
        <v>0</v>
      </c>
      <c r="U296" s="22" t="n">
        <f aca="false">T296-S296</f>
        <v>0</v>
      </c>
      <c r="V296" s="16"/>
    </row>
    <row r="297" customFormat="false" ht="15" hidden="false" customHeight="true" outlineLevel="0" collapsed="false">
      <c r="A297" s="4" t="str">
        <f aca="false">IF(B297="","",ROW()-1)</f>
        <v/>
      </c>
      <c r="B297" s="15"/>
      <c r="C297" s="16"/>
      <c r="D297" s="17"/>
      <c r="E297" s="17"/>
      <c r="F297" s="17"/>
      <c r="G297" s="18"/>
      <c r="H297" s="17"/>
      <c r="I297" s="16"/>
      <c r="J297" s="16"/>
      <c r="K297" s="17"/>
      <c r="L297" s="19"/>
      <c r="M297" s="20" t="b">
        <f aca="false">AND(B297&lt;&gt;"",B297&gt;='Read Me'!$B$5,H297&lt;&gt;"")</f>
        <v>0</v>
      </c>
      <c r="N297" s="21" t="str">
        <f aca="false">IF(OR(D297="",E297=""),"",ABS(D297-E297))</f>
        <v/>
      </c>
      <c r="O297" s="22" t="str">
        <f aca="false">IF(OR(H297="",N297="",N297=0),"",IF(C297="BUY",1,-1)*(H297-D297)/N297)</f>
        <v/>
      </c>
      <c r="P297" s="23" t="str">
        <f aca="false">IF(OR(H297="",D297="",K297=""),"",IF(C297="BUY",1,-1)*(H297-D297)*K297*'Read Me'!$B$10-L297)</f>
        <v/>
      </c>
      <c r="Q297" s="4" t="str">
        <f aca="false">IF(O297="","",IF(O297&gt;0,"WIN","LOSS"))</f>
        <v/>
      </c>
      <c r="R297" s="22" t="str">
        <f aca="false">IF(AND(M297,O297&lt;&gt;""),O297,"")</f>
        <v/>
      </c>
      <c r="S297" s="22" t="n">
        <f aca="false">S296+IF(R297="",0,R297)</f>
        <v>0</v>
      </c>
      <c r="T297" s="22" t="n">
        <f aca="false">MAX(T296,S297)</f>
        <v>0</v>
      </c>
      <c r="U297" s="22" t="n">
        <f aca="false">T297-S297</f>
        <v>0</v>
      </c>
      <c r="V297" s="16"/>
    </row>
    <row r="298" customFormat="false" ht="15" hidden="false" customHeight="true" outlineLevel="0" collapsed="false">
      <c r="A298" s="4" t="str">
        <f aca="false">IF(B298="","",ROW()-1)</f>
        <v/>
      </c>
      <c r="B298" s="15"/>
      <c r="C298" s="16"/>
      <c r="D298" s="17"/>
      <c r="E298" s="17"/>
      <c r="F298" s="17"/>
      <c r="G298" s="18"/>
      <c r="H298" s="17"/>
      <c r="I298" s="16"/>
      <c r="J298" s="16"/>
      <c r="K298" s="17"/>
      <c r="L298" s="19"/>
      <c r="M298" s="20" t="b">
        <f aca="false">AND(B298&lt;&gt;"",B298&gt;='Read Me'!$B$5,H298&lt;&gt;"")</f>
        <v>0</v>
      </c>
      <c r="N298" s="21" t="str">
        <f aca="false">IF(OR(D298="",E298=""),"",ABS(D298-E298))</f>
        <v/>
      </c>
      <c r="O298" s="22" t="str">
        <f aca="false">IF(OR(H298="",N298="",N298=0),"",IF(C298="BUY",1,-1)*(H298-D298)/N298)</f>
        <v/>
      </c>
      <c r="P298" s="23" t="str">
        <f aca="false">IF(OR(H298="",D298="",K298=""),"",IF(C298="BUY",1,-1)*(H298-D298)*K298*'Read Me'!$B$10-L298)</f>
        <v/>
      </c>
      <c r="Q298" s="4" t="str">
        <f aca="false">IF(O298="","",IF(O298&gt;0,"WIN","LOSS"))</f>
        <v/>
      </c>
      <c r="R298" s="22" t="str">
        <f aca="false">IF(AND(M298,O298&lt;&gt;""),O298,"")</f>
        <v/>
      </c>
      <c r="S298" s="22" t="n">
        <f aca="false">S297+IF(R298="",0,R298)</f>
        <v>0</v>
      </c>
      <c r="T298" s="22" t="n">
        <f aca="false">MAX(T297,S298)</f>
        <v>0</v>
      </c>
      <c r="U298" s="22" t="n">
        <f aca="false">T298-S298</f>
        <v>0</v>
      </c>
      <c r="V298" s="16"/>
    </row>
    <row r="299" customFormat="false" ht="15" hidden="false" customHeight="true" outlineLevel="0" collapsed="false">
      <c r="A299" s="4" t="str">
        <f aca="false">IF(B299="","",ROW()-1)</f>
        <v/>
      </c>
      <c r="B299" s="15"/>
      <c r="C299" s="16"/>
      <c r="D299" s="17"/>
      <c r="E299" s="17"/>
      <c r="F299" s="17"/>
      <c r="G299" s="18"/>
      <c r="H299" s="17"/>
      <c r="I299" s="16"/>
      <c r="J299" s="16"/>
      <c r="K299" s="17"/>
      <c r="L299" s="19"/>
      <c r="M299" s="20" t="b">
        <f aca="false">AND(B299&lt;&gt;"",B299&gt;='Read Me'!$B$5,H299&lt;&gt;"")</f>
        <v>0</v>
      </c>
      <c r="N299" s="21" t="str">
        <f aca="false">IF(OR(D299="",E299=""),"",ABS(D299-E299))</f>
        <v/>
      </c>
      <c r="O299" s="22" t="str">
        <f aca="false">IF(OR(H299="",N299="",N299=0),"",IF(C299="BUY",1,-1)*(H299-D299)/N299)</f>
        <v/>
      </c>
      <c r="P299" s="23" t="str">
        <f aca="false">IF(OR(H299="",D299="",K299=""),"",IF(C299="BUY",1,-1)*(H299-D299)*K299*'Read Me'!$B$10-L299)</f>
        <v/>
      </c>
      <c r="Q299" s="4" t="str">
        <f aca="false">IF(O299="","",IF(O299&gt;0,"WIN","LOSS"))</f>
        <v/>
      </c>
      <c r="R299" s="22" t="str">
        <f aca="false">IF(AND(M299,O299&lt;&gt;""),O299,"")</f>
        <v/>
      </c>
      <c r="S299" s="22" t="n">
        <f aca="false">S298+IF(R299="",0,R299)</f>
        <v>0</v>
      </c>
      <c r="T299" s="22" t="n">
        <f aca="false">MAX(T298,S299)</f>
        <v>0</v>
      </c>
      <c r="U299" s="22" t="n">
        <f aca="false">T299-S299</f>
        <v>0</v>
      </c>
      <c r="V299" s="16"/>
    </row>
    <row r="300" customFormat="false" ht="15" hidden="false" customHeight="true" outlineLevel="0" collapsed="false">
      <c r="A300" s="4" t="str">
        <f aca="false">IF(B300="","",ROW()-1)</f>
        <v/>
      </c>
      <c r="B300" s="15"/>
      <c r="C300" s="16"/>
      <c r="D300" s="17"/>
      <c r="E300" s="17"/>
      <c r="F300" s="17"/>
      <c r="G300" s="18"/>
      <c r="H300" s="17"/>
      <c r="I300" s="16"/>
      <c r="J300" s="16"/>
      <c r="K300" s="17"/>
      <c r="L300" s="19"/>
      <c r="M300" s="20" t="b">
        <f aca="false">AND(B300&lt;&gt;"",B300&gt;='Read Me'!$B$5,H300&lt;&gt;"")</f>
        <v>0</v>
      </c>
      <c r="N300" s="21" t="str">
        <f aca="false">IF(OR(D300="",E300=""),"",ABS(D300-E300))</f>
        <v/>
      </c>
      <c r="O300" s="22" t="str">
        <f aca="false">IF(OR(H300="",N300="",N300=0),"",IF(C300="BUY",1,-1)*(H300-D300)/N300)</f>
        <v/>
      </c>
      <c r="P300" s="23" t="str">
        <f aca="false">IF(OR(H300="",D300="",K300=""),"",IF(C300="BUY",1,-1)*(H300-D300)*K300*'Read Me'!$B$10-L300)</f>
        <v/>
      </c>
      <c r="Q300" s="4" t="str">
        <f aca="false">IF(O300="","",IF(O300&gt;0,"WIN","LOSS"))</f>
        <v/>
      </c>
      <c r="R300" s="22" t="str">
        <f aca="false">IF(AND(M300,O300&lt;&gt;""),O300,"")</f>
        <v/>
      </c>
      <c r="S300" s="22" t="n">
        <f aca="false">S299+IF(R300="",0,R300)</f>
        <v>0</v>
      </c>
      <c r="T300" s="22" t="n">
        <f aca="false">MAX(T299,S300)</f>
        <v>0</v>
      </c>
      <c r="U300" s="22" t="n">
        <f aca="false">T300-S300</f>
        <v>0</v>
      </c>
      <c r="V300" s="16"/>
    </row>
    <row r="301" customFormat="false" ht="15" hidden="false" customHeight="true" outlineLevel="0" collapsed="false">
      <c r="A301" s="4" t="str">
        <f aca="false">IF(B301="","",ROW()-1)</f>
        <v/>
      </c>
      <c r="B301" s="15"/>
      <c r="C301" s="16"/>
      <c r="D301" s="17"/>
      <c r="E301" s="17"/>
      <c r="F301" s="17"/>
      <c r="G301" s="18"/>
      <c r="H301" s="17"/>
      <c r="I301" s="16"/>
      <c r="J301" s="16"/>
      <c r="K301" s="17"/>
      <c r="L301" s="19"/>
      <c r="M301" s="20" t="b">
        <f aca="false">AND(B301&lt;&gt;"",B301&gt;='Read Me'!$B$5,H301&lt;&gt;"")</f>
        <v>0</v>
      </c>
      <c r="N301" s="21" t="str">
        <f aca="false">IF(OR(D301="",E301=""),"",ABS(D301-E301))</f>
        <v/>
      </c>
      <c r="O301" s="22" t="str">
        <f aca="false">IF(OR(H301="",N301="",N301=0),"",IF(C301="BUY",1,-1)*(H301-D301)/N301)</f>
        <v/>
      </c>
      <c r="P301" s="23" t="str">
        <f aca="false">IF(OR(H301="",D301="",K301=""),"",IF(C301="BUY",1,-1)*(H301-D301)*K301*'Read Me'!$B$10-L301)</f>
        <v/>
      </c>
      <c r="Q301" s="4" t="str">
        <f aca="false">IF(O301="","",IF(O301&gt;0,"WIN","LOSS"))</f>
        <v/>
      </c>
      <c r="R301" s="22" t="str">
        <f aca="false">IF(AND(M301,O301&lt;&gt;""),O301,"")</f>
        <v/>
      </c>
      <c r="S301" s="22" t="n">
        <f aca="false">S300+IF(R301="",0,R301)</f>
        <v>0</v>
      </c>
      <c r="T301" s="22" t="n">
        <f aca="false">MAX(T300,S301)</f>
        <v>0</v>
      </c>
      <c r="U301" s="22" t="n">
        <f aca="false">T301-S301</f>
        <v>0</v>
      </c>
      <c r="V301" s="16"/>
    </row>
    <row r="302" customFormat="false" ht="15" hidden="false" customHeight="true" outlineLevel="0" collapsed="false">
      <c r="A302" s="4" t="str">
        <f aca="false">IF(B302="","",ROW()-1)</f>
        <v/>
      </c>
      <c r="B302" s="15"/>
      <c r="C302" s="16"/>
      <c r="D302" s="17"/>
      <c r="E302" s="17"/>
      <c r="F302" s="17"/>
      <c r="G302" s="18"/>
      <c r="H302" s="17"/>
      <c r="I302" s="16"/>
      <c r="J302" s="16"/>
      <c r="K302" s="17"/>
      <c r="L302" s="19"/>
      <c r="M302" s="20" t="b">
        <f aca="false">AND(B302&lt;&gt;"",B302&gt;='Read Me'!$B$5,H302&lt;&gt;"")</f>
        <v>0</v>
      </c>
      <c r="N302" s="21" t="str">
        <f aca="false">IF(OR(D302="",E302=""),"",ABS(D302-E302))</f>
        <v/>
      </c>
      <c r="O302" s="22" t="str">
        <f aca="false">IF(OR(H302="",N302="",N302=0),"",IF(C302="BUY",1,-1)*(H302-D302)/N302)</f>
        <v/>
      </c>
      <c r="P302" s="23" t="str">
        <f aca="false">IF(OR(H302="",D302="",K302=""),"",IF(C302="BUY",1,-1)*(H302-D302)*K302*'Read Me'!$B$10-L302)</f>
        <v/>
      </c>
      <c r="Q302" s="4" t="str">
        <f aca="false">IF(O302="","",IF(O302&gt;0,"WIN","LOSS"))</f>
        <v/>
      </c>
      <c r="R302" s="22" t="str">
        <f aca="false">IF(AND(M302,O302&lt;&gt;""),O302,"")</f>
        <v/>
      </c>
      <c r="S302" s="22" t="n">
        <f aca="false">S301+IF(R302="",0,R302)</f>
        <v>0</v>
      </c>
      <c r="T302" s="22" t="n">
        <f aca="false">MAX(T301,S302)</f>
        <v>0</v>
      </c>
      <c r="U302" s="22" t="n">
        <f aca="false">T302-S302</f>
        <v>0</v>
      </c>
      <c r="V302" s="16"/>
    </row>
    <row r="303" customFormat="false" ht="15" hidden="false" customHeight="true" outlineLevel="0" collapsed="false">
      <c r="A303" s="4" t="str">
        <f aca="false">IF(B303="","",ROW()-1)</f>
        <v/>
      </c>
      <c r="B303" s="15"/>
      <c r="C303" s="16"/>
      <c r="D303" s="17"/>
      <c r="E303" s="17"/>
      <c r="F303" s="17"/>
      <c r="G303" s="18"/>
      <c r="H303" s="17"/>
      <c r="I303" s="16"/>
      <c r="J303" s="16"/>
      <c r="K303" s="17"/>
      <c r="L303" s="19"/>
      <c r="M303" s="20" t="b">
        <f aca="false">AND(B303&lt;&gt;"",B303&gt;='Read Me'!$B$5,H303&lt;&gt;"")</f>
        <v>0</v>
      </c>
      <c r="N303" s="21" t="str">
        <f aca="false">IF(OR(D303="",E303=""),"",ABS(D303-E303))</f>
        <v/>
      </c>
      <c r="O303" s="22" t="str">
        <f aca="false">IF(OR(H303="",N303="",N303=0),"",IF(C303="BUY",1,-1)*(H303-D303)/N303)</f>
        <v/>
      </c>
      <c r="P303" s="23" t="str">
        <f aca="false">IF(OR(H303="",D303="",K303=""),"",IF(C303="BUY",1,-1)*(H303-D303)*K303*'Read Me'!$B$10-L303)</f>
        <v/>
      </c>
      <c r="Q303" s="4" t="str">
        <f aca="false">IF(O303="","",IF(O303&gt;0,"WIN","LOSS"))</f>
        <v/>
      </c>
      <c r="R303" s="22" t="str">
        <f aca="false">IF(AND(M303,O303&lt;&gt;""),O303,"")</f>
        <v/>
      </c>
      <c r="S303" s="22" t="n">
        <f aca="false">S302+IF(R303="",0,R303)</f>
        <v>0</v>
      </c>
      <c r="T303" s="22" t="n">
        <f aca="false">MAX(T302,S303)</f>
        <v>0</v>
      </c>
      <c r="U303" s="22" t="n">
        <f aca="false">T303-S303</f>
        <v>0</v>
      </c>
      <c r="V303" s="16"/>
    </row>
    <row r="304" customFormat="false" ht="15" hidden="false" customHeight="true" outlineLevel="0" collapsed="false">
      <c r="A304" s="4" t="str">
        <f aca="false">IF(B304="","",ROW()-1)</f>
        <v/>
      </c>
      <c r="B304" s="15"/>
      <c r="C304" s="16"/>
      <c r="D304" s="17"/>
      <c r="E304" s="17"/>
      <c r="F304" s="17"/>
      <c r="G304" s="18"/>
      <c r="H304" s="17"/>
      <c r="I304" s="16"/>
      <c r="J304" s="16"/>
      <c r="K304" s="17"/>
      <c r="L304" s="19"/>
      <c r="M304" s="20" t="b">
        <f aca="false">AND(B304&lt;&gt;"",B304&gt;='Read Me'!$B$5,H304&lt;&gt;"")</f>
        <v>0</v>
      </c>
      <c r="N304" s="21" t="str">
        <f aca="false">IF(OR(D304="",E304=""),"",ABS(D304-E304))</f>
        <v/>
      </c>
      <c r="O304" s="22" t="str">
        <f aca="false">IF(OR(H304="",N304="",N304=0),"",IF(C304="BUY",1,-1)*(H304-D304)/N304)</f>
        <v/>
      </c>
      <c r="P304" s="23" t="str">
        <f aca="false">IF(OR(H304="",D304="",K304=""),"",IF(C304="BUY",1,-1)*(H304-D304)*K304*'Read Me'!$B$10-L304)</f>
        <v/>
      </c>
      <c r="Q304" s="4" t="str">
        <f aca="false">IF(O304="","",IF(O304&gt;0,"WIN","LOSS"))</f>
        <v/>
      </c>
      <c r="R304" s="22" t="str">
        <f aca="false">IF(AND(M304,O304&lt;&gt;""),O304,"")</f>
        <v/>
      </c>
      <c r="S304" s="22" t="n">
        <f aca="false">S303+IF(R304="",0,R304)</f>
        <v>0</v>
      </c>
      <c r="T304" s="22" t="n">
        <f aca="false">MAX(T303,S304)</f>
        <v>0</v>
      </c>
      <c r="U304" s="22" t="n">
        <f aca="false">T304-S304</f>
        <v>0</v>
      </c>
      <c r="V304" s="16"/>
    </row>
    <row r="305" customFormat="false" ht="15" hidden="false" customHeight="true" outlineLevel="0" collapsed="false">
      <c r="A305" s="4" t="str">
        <f aca="false">IF(B305="","",ROW()-1)</f>
        <v/>
      </c>
      <c r="B305" s="15"/>
      <c r="C305" s="16"/>
      <c r="D305" s="17"/>
      <c r="E305" s="17"/>
      <c r="F305" s="17"/>
      <c r="G305" s="18"/>
      <c r="H305" s="17"/>
      <c r="I305" s="16"/>
      <c r="J305" s="16"/>
      <c r="K305" s="17"/>
      <c r="L305" s="19"/>
      <c r="M305" s="20" t="b">
        <f aca="false">AND(B305&lt;&gt;"",B305&gt;='Read Me'!$B$5,H305&lt;&gt;"")</f>
        <v>0</v>
      </c>
      <c r="N305" s="21" t="str">
        <f aca="false">IF(OR(D305="",E305=""),"",ABS(D305-E305))</f>
        <v/>
      </c>
      <c r="O305" s="22" t="str">
        <f aca="false">IF(OR(H305="",N305="",N305=0),"",IF(C305="BUY",1,-1)*(H305-D305)/N305)</f>
        <v/>
      </c>
      <c r="P305" s="23" t="str">
        <f aca="false">IF(OR(H305="",D305="",K305=""),"",IF(C305="BUY",1,-1)*(H305-D305)*K305*'Read Me'!$B$10-L305)</f>
        <v/>
      </c>
      <c r="Q305" s="4" t="str">
        <f aca="false">IF(O305="","",IF(O305&gt;0,"WIN","LOSS"))</f>
        <v/>
      </c>
      <c r="R305" s="22" t="str">
        <f aca="false">IF(AND(M305,O305&lt;&gt;""),O305,"")</f>
        <v/>
      </c>
      <c r="S305" s="22" t="n">
        <f aca="false">S304+IF(R305="",0,R305)</f>
        <v>0</v>
      </c>
      <c r="T305" s="22" t="n">
        <f aca="false">MAX(T304,S305)</f>
        <v>0</v>
      </c>
      <c r="U305" s="22" t="n">
        <f aca="false">T305-S305</f>
        <v>0</v>
      </c>
      <c r="V305" s="16"/>
    </row>
    <row r="306" customFormat="false" ht="15" hidden="false" customHeight="true" outlineLevel="0" collapsed="false">
      <c r="A306" s="4" t="str">
        <f aca="false">IF(B306="","",ROW()-1)</f>
        <v/>
      </c>
      <c r="B306" s="15"/>
      <c r="C306" s="16"/>
      <c r="D306" s="17"/>
      <c r="E306" s="17"/>
      <c r="F306" s="17"/>
      <c r="G306" s="18"/>
      <c r="H306" s="17"/>
      <c r="I306" s="16"/>
      <c r="J306" s="16"/>
      <c r="K306" s="17"/>
      <c r="L306" s="19"/>
      <c r="M306" s="20" t="b">
        <f aca="false">AND(B306&lt;&gt;"",B306&gt;='Read Me'!$B$5,H306&lt;&gt;"")</f>
        <v>0</v>
      </c>
      <c r="N306" s="21" t="str">
        <f aca="false">IF(OR(D306="",E306=""),"",ABS(D306-E306))</f>
        <v/>
      </c>
      <c r="O306" s="22" t="str">
        <f aca="false">IF(OR(H306="",N306="",N306=0),"",IF(C306="BUY",1,-1)*(H306-D306)/N306)</f>
        <v/>
      </c>
      <c r="P306" s="23" t="str">
        <f aca="false">IF(OR(H306="",D306="",K306=""),"",IF(C306="BUY",1,-1)*(H306-D306)*K306*'Read Me'!$B$10-L306)</f>
        <v/>
      </c>
      <c r="Q306" s="4" t="str">
        <f aca="false">IF(O306="","",IF(O306&gt;0,"WIN","LOSS"))</f>
        <v/>
      </c>
      <c r="R306" s="22" t="str">
        <f aca="false">IF(AND(M306,O306&lt;&gt;""),O306,"")</f>
        <v/>
      </c>
      <c r="S306" s="22" t="n">
        <f aca="false">S305+IF(R306="",0,R306)</f>
        <v>0</v>
      </c>
      <c r="T306" s="22" t="n">
        <f aca="false">MAX(T305,S306)</f>
        <v>0</v>
      </c>
      <c r="U306" s="22" t="n">
        <f aca="false">T306-S306</f>
        <v>0</v>
      </c>
      <c r="V306" s="16"/>
    </row>
    <row r="307" customFormat="false" ht="15" hidden="false" customHeight="true" outlineLevel="0" collapsed="false">
      <c r="A307" s="4" t="str">
        <f aca="false">IF(B307="","",ROW()-1)</f>
        <v/>
      </c>
      <c r="B307" s="15"/>
      <c r="C307" s="16"/>
      <c r="D307" s="17"/>
      <c r="E307" s="17"/>
      <c r="F307" s="17"/>
      <c r="G307" s="18"/>
      <c r="H307" s="17"/>
      <c r="I307" s="16"/>
      <c r="J307" s="16"/>
      <c r="K307" s="17"/>
      <c r="L307" s="19"/>
      <c r="M307" s="20" t="b">
        <f aca="false">AND(B307&lt;&gt;"",B307&gt;='Read Me'!$B$5,H307&lt;&gt;"")</f>
        <v>0</v>
      </c>
      <c r="N307" s="21" t="str">
        <f aca="false">IF(OR(D307="",E307=""),"",ABS(D307-E307))</f>
        <v/>
      </c>
      <c r="O307" s="22" t="str">
        <f aca="false">IF(OR(H307="",N307="",N307=0),"",IF(C307="BUY",1,-1)*(H307-D307)/N307)</f>
        <v/>
      </c>
      <c r="P307" s="23" t="str">
        <f aca="false">IF(OR(H307="",D307="",K307=""),"",IF(C307="BUY",1,-1)*(H307-D307)*K307*'Read Me'!$B$10-L307)</f>
        <v/>
      </c>
      <c r="Q307" s="4" t="str">
        <f aca="false">IF(O307="","",IF(O307&gt;0,"WIN","LOSS"))</f>
        <v/>
      </c>
      <c r="R307" s="22" t="str">
        <f aca="false">IF(AND(M307,O307&lt;&gt;""),O307,"")</f>
        <v/>
      </c>
      <c r="S307" s="22" t="n">
        <f aca="false">S306+IF(R307="",0,R307)</f>
        <v>0</v>
      </c>
      <c r="T307" s="22" t="n">
        <f aca="false">MAX(T306,S307)</f>
        <v>0</v>
      </c>
      <c r="U307" s="22" t="n">
        <f aca="false">T307-S307</f>
        <v>0</v>
      </c>
      <c r="V307" s="16"/>
    </row>
    <row r="308" customFormat="false" ht="15" hidden="false" customHeight="true" outlineLevel="0" collapsed="false">
      <c r="A308" s="4" t="str">
        <f aca="false">IF(B308="","",ROW()-1)</f>
        <v/>
      </c>
      <c r="B308" s="15"/>
      <c r="C308" s="16"/>
      <c r="D308" s="17"/>
      <c r="E308" s="17"/>
      <c r="F308" s="17"/>
      <c r="G308" s="18"/>
      <c r="H308" s="17"/>
      <c r="I308" s="16"/>
      <c r="J308" s="16"/>
      <c r="K308" s="17"/>
      <c r="L308" s="19"/>
      <c r="M308" s="20" t="b">
        <f aca="false">AND(B308&lt;&gt;"",B308&gt;='Read Me'!$B$5,H308&lt;&gt;"")</f>
        <v>0</v>
      </c>
      <c r="N308" s="21" t="str">
        <f aca="false">IF(OR(D308="",E308=""),"",ABS(D308-E308))</f>
        <v/>
      </c>
      <c r="O308" s="22" t="str">
        <f aca="false">IF(OR(H308="",N308="",N308=0),"",IF(C308="BUY",1,-1)*(H308-D308)/N308)</f>
        <v/>
      </c>
      <c r="P308" s="23" t="str">
        <f aca="false">IF(OR(H308="",D308="",K308=""),"",IF(C308="BUY",1,-1)*(H308-D308)*K308*'Read Me'!$B$10-L308)</f>
        <v/>
      </c>
      <c r="Q308" s="4" t="str">
        <f aca="false">IF(O308="","",IF(O308&gt;0,"WIN","LOSS"))</f>
        <v/>
      </c>
      <c r="R308" s="22" t="str">
        <f aca="false">IF(AND(M308,O308&lt;&gt;""),O308,"")</f>
        <v/>
      </c>
      <c r="S308" s="22" t="n">
        <f aca="false">S307+IF(R308="",0,R308)</f>
        <v>0</v>
      </c>
      <c r="T308" s="22" t="n">
        <f aca="false">MAX(T307,S308)</f>
        <v>0</v>
      </c>
      <c r="U308" s="22" t="n">
        <f aca="false">T308-S308</f>
        <v>0</v>
      </c>
      <c r="V308" s="16"/>
    </row>
    <row r="309" customFormat="false" ht="15" hidden="false" customHeight="true" outlineLevel="0" collapsed="false">
      <c r="A309" s="4" t="str">
        <f aca="false">IF(B309="","",ROW()-1)</f>
        <v/>
      </c>
      <c r="B309" s="15"/>
      <c r="C309" s="16"/>
      <c r="D309" s="17"/>
      <c r="E309" s="17"/>
      <c r="F309" s="17"/>
      <c r="G309" s="18"/>
      <c r="H309" s="17"/>
      <c r="I309" s="16"/>
      <c r="J309" s="16"/>
      <c r="K309" s="17"/>
      <c r="L309" s="19"/>
      <c r="M309" s="20" t="b">
        <f aca="false">AND(B309&lt;&gt;"",B309&gt;='Read Me'!$B$5,H309&lt;&gt;"")</f>
        <v>0</v>
      </c>
      <c r="N309" s="21" t="str">
        <f aca="false">IF(OR(D309="",E309=""),"",ABS(D309-E309))</f>
        <v/>
      </c>
      <c r="O309" s="22" t="str">
        <f aca="false">IF(OR(H309="",N309="",N309=0),"",IF(C309="BUY",1,-1)*(H309-D309)/N309)</f>
        <v/>
      </c>
      <c r="P309" s="23" t="str">
        <f aca="false">IF(OR(H309="",D309="",K309=""),"",IF(C309="BUY",1,-1)*(H309-D309)*K309*'Read Me'!$B$10-L309)</f>
        <v/>
      </c>
      <c r="Q309" s="4" t="str">
        <f aca="false">IF(O309="","",IF(O309&gt;0,"WIN","LOSS"))</f>
        <v/>
      </c>
      <c r="R309" s="22" t="str">
        <f aca="false">IF(AND(M309,O309&lt;&gt;""),O309,"")</f>
        <v/>
      </c>
      <c r="S309" s="22" t="n">
        <f aca="false">S308+IF(R309="",0,R309)</f>
        <v>0</v>
      </c>
      <c r="T309" s="22" t="n">
        <f aca="false">MAX(T308,S309)</f>
        <v>0</v>
      </c>
      <c r="U309" s="22" t="n">
        <f aca="false">T309-S309</f>
        <v>0</v>
      </c>
      <c r="V309" s="16"/>
    </row>
    <row r="310" customFormat="false" ht="15" hidden="false" customHeight="true" outlineLevel="0" collapsed="false">
      <c r="A310" s="4" t="str">
        <f aca="false">IF(B310="","",ROW()-1)</f>
        <v/>
      </c>
      <c r="B310" s="15"/>
      <c r="C310" s="16"/>
      <c r="D310" s="17"/>
      <c r="E310" s="17"/>
      <c r="F310" s="17"/>
      <c r="G310" s="18"/>
      <c r="H310" s="17"/>
      <c r="I310" s="16"/>
      <c r="J310" s="16"/>
      <c r="K310" s="17"/>
      <c r="L310" s="19"/>
      <c r="M310" s="20" t="b">
        <f aca="false">AND(B310&lt;&gt;"",B310&gt;='Read Me'!$B$5,H310&lt;&gt;"")</f>
        <v>0</v>
      </c>
      <c r="N310" s="21" t="str">
        <f aca="false">IF(OR(D310="",E310=""),"",ABS(D310-E310))</f>
        <v/>
      </c>
      <c r="O310" s="22" t="str">
        <f aca="false">IF(OR(H310="",N310="",N310=0),"",IF(C310="BUY",1,-1)*(H310-D310)/N310)</f>
        <v/>
      </c>
      <c r="P310" s="23" t="str">
        <f aca="false">IF(OR(H310="",D310="",K310=""),"",IF(C310="BUY",1,-1)*(H310-D310)*K310*'Read Me'!$B$10-L310)</f>
        <v/>
      </c>
      <c r="Q310" s="4" t="str">
        <f aca="false">IF(O310="","",IF(O310&gt;0,"WIN","LOSS"))</f>
        <v/>
      </c>
      <c r="R310" s="22" t="str">
        <f aca="false">IF(AND(M310,O310&lt;&gt;""),O310,"")</f>
        <v/>
      </c>
      <c r="S310" s="22" t="n">
        <f aca="false">S309+IF(R310="",0,R310)</f>
        <v>0</v>
      </c>
      <c r="T310" s="22" t="n">
        <f aca="false">MAX(T309,S310)</f>
        <v>0</v>
      </c>
      <c r="U310" s="22" t="n">
        <f aca="false">T310-S310</f>
        <v>0</v>
      </c>
      <c r="V310" s="16"/>
    </row>
    <row r="311" customFormat="false" ht="15" hidden="false" customHeight="true" outlineLevel="0" collapsed="false">
      <c r="A311" s="4" t="str">
        <f aca="false">IF(B311="","",ROW()-1)</f>
        <v/>
      </c>
      <c r="B311" s="15"/>
      <c r="C311" s="16"/>
      <c r="D311" s="17"/>
      <c r="E311" s="17"/>
      <c r="F311" s="17"/>
      <c r="G311" s="18"/>
      <c r="H311" s="17"/>
      <c r="I311" s="16"/>
      <c r="J311" s="16"/>
      <c r="K311" s="17"/>
      <c r="L311" s="19"/>
      <c r="M311" s="20" t="b">
        <f aca="false">AND(B311&lt;&gt;"",B311&gt;='Read Me'!$B$5,H311&lt;&gt;"")</f>
        <v>0</v>
      </c>
      <c r="N311" s="21" t="str">
        <f aca="false">IF(OR(D311="",E311=""),"",ABS(D311-E311))</f>
        <v/>
      </c>
      <c r="O311" s="22" t="str">
        <f aca="false">IF(OR(H311="",N311="",N311=0),"",IF(C311="BUY",1,-1)*(H311-D311)/N311)</f>
        <v/>
      </c>
      <c r="P311" s="23" t="str">
        <f aca="false">IF(OR(H311="",D311="",K311=""),"",IF(C311="BUY",1,-1)*(H311-D311)*K311*'Read Me'!$B$10-L311)</f>
        <v/>
      </c>
      <c r="Q311" s="4" t="str">
        <f aca="false">IF(O311="","",IF(O311&gt;0,"WIN","LOSS"))</f>
        <v/>
      </c>
      <c r="R311" s="22" t="str">
        <f aca="false">IF(AND(M311,O311&lt;&gt;""),O311,"")</f>
        <v/>
      </c>
      <c r="S311" s="22" t="n">
        <f aca="false">S310+IF(R311="",0,R311)</f>
        <v>0</v>
      </c>
      <c r="T311" s="22" t="n">
        <f aca="false">MAX(T310,S311)</f>
        <v>0</v>
      </c>
      <c r="U311" s="22" t="n">
        <f aca="false">T311-S311</f>
        <v>0</v>
      </c>
      <c r="V311" s="16"/>
    </row>
    <row r="312" customFormat="false" ht="15" hidden="false" customHeight="true" outlineLevel="0" collapsed="false">
      <c r="A312" s="4" t="str">
        <f aca="false">IF(B312="","",ROW()-1)</f>
        <v/>
      </c>
      <c r="B312" s="15"/>
      <c r="C312" s="16"/>
      <c r="D312" s="17"/>
      <c r="E312" s="17"/>
      <c r="F312" s="17"/>
      <c r="G312" s="18"/>
      <c r="H312" s="17"/>
      <c r="I312" s="16"/>
      <c r="J312" s="16"/>
      <c r="K312" s="17"/>
      <c r="L312" s="19"/>
      <c r="M312" s="20" t="b">
        <f aca="false">AND(B312&lt;&gt;"",B312&gt;='Read Me'!$B$5,H312&lt;&gt;"")</f>
        <v>0</v>
      </c>
      <c r="N312" s="21" t="str">
        <f aca="false">IF(OR(D312="",E312=""),"",ABS(D312-E312))</f>
        <v/>
      </c>
      <c r="O312" s="22" t="str">
        <f aca="false">IF(OR(H312="",N312="",N312=0),"",IF(C312="BUY",1,-1)*(H312-D312)/N312)</f>
        <v/>
      </c>
      <c r="P312" s="23" t="str">
        <f aca="false">IF(OR(H312="",D312="",K312=""),"",IF(C312="BUY",1,-1)*(H312-D312)*K312*'Read Me'!$B$10-L312)</f>
        <v/>
      </c>
      <c r="Q312" s="4" t="str">
        <f aca="false">IF(O312="","",IF(O312&gt;0,"WIN","LOSS"))</f>
        <v/>
      </c>
      <c r="R312" s="22" t="str">
        <f aca="false">IF(AND(M312,O312&lt;&gt;""),O312,"")</f>
        <v/>
      </c>
      <c r="S312" s="22" t="n">
        <f aca="false">S311+IF(R312="",0,R312)</f>
        <v>0</v>
      </c>
      <c r="T312" s="22" t="n">
        <f aca="false">MAX(T311,S312)</f>
        <v>0</v>
      </c>
      <c r="U312" s="22" t="n">
        <f aca="false">T312-S312</f>
        <v>0</v>
      </c>
      <c r="V312" s="16"/>
    </row>
    <row r="313" customFormat="false" ht="15" hidden="false" customHeight="true" outlineLevel="0" collapsed="false">
      <c r="A313" s="4" t="str">
        <f aca="false">IF(B313="","",ROW()-1)</f>
        <v/>
      </c>
      <c r="B313" s="15"/>
      <c r="C313" s="16"/>
      <c r="D313" s="17"/>
      <c r="E313" s="17"/>
      <c r="F313" s="17"/>
      <c r="G313" s="18"/>
      <c r="H313" s="17"/>
      <c r="I313" s="16"/>
      <c r="J313" s="16"/>
      <c r="K313" s="17"/>
      <c r="L313" s="19"/>
      <c r="M313" s="20" t="b">
        <f aca="false">AND(B313&lt;&gt;"",B313&gt;='Read Me'!$B$5,H313&lt;&gt;"")</f>
        <v>0</v>
      </c>
      <c r="N313" s="21" t="str">
        <f aca="false">IF(OR(D313="",E313=""),"",ABS(D313-E313))</f>
        <v/>
      </c>
      <c r="O313" s="22" t="str">
        <f aca="false">IF(OR(H313="",N313="",N313=0),"",IF(C313="BUY",1,-1)*(H313-D313)/N313)</f>
        <v/>
      </c>
      <c r="P313" s="23" t="str">
        <f aca="false">IF(OR(H313="",D313="",K313=""),"",IF(C313="BUY",1,-1)*(H313-D313)*K313*'Read Me'!$B$10-L313)</f>
        <v/>
      </c>
      <c r="Q313" s="4" t="str">
        <f aca="false">IF(O313="","",IF(O313&gt;0,"WIN","LOSS"))</f>
        <v/>
      </c>
      <c r="R313" s="22" t="str">
        <f aca="false">IF(AND(M313,O313&lt;&gt;""),O313,"")</f>
        <v/>
      </c>
      <c r="S313" s="22" t="n">
        <f aca="false">S312+IF(R313="",0,R313)</f>
        <v>0</v>
      </c>
      <c r="T313" s="22" t="n">
        <f aca="false">MAX(T312,S313)</f>
        <v>0</v>
      </c>
      <c r="U313" s="22" t="n">
        <f aca="false">T313-S313</f>
        <v>0</v>
      </c>
      <c r="V313" s="16"/>
    </row>
    <row r="314" customFormat="false" ht="15" hidden="false" customHeight="true" outlineLevel="0" collapsed="false">
      <c r="A314" s="4" t="str">
        <f aca="false">IF(B314="","",ROW()-1)</f>
        <v/>
      </c>
      <c r="B314" s="15"/>
      <c r="C314" s="16"/>
      <c r="D314" s="17"/>
      <c r="E314" s="17"/>
      <c r="F314" s="17"/>
      <c r="G314" s="18"/>
      <c r="H314" s="17"/>
      <c r="I314" s="16"/>
      <c r="J314" s="16"/>
      <c r="K314" s="17"/>
      <c r="L314" s="19"/>
      <c r="M314" s="20" t="b">
        <f aca="false">AND(B314&lt;&gt;"",B314&gt;='Read Me'!$B$5,H314&lt;&gt;"")</f>
        <v>0</v>
      </c>
      <c r="N314" s="21" t="str">
        <f aca="false">IF(OR(D314="",E314=""),"",ABS(D314-E314))</f>
        <v/>
      </c>
      <c r="O314" s="22" t="str">
        <f aca="false">IF(OR(H314="",N314="",N314=0),"",IF(C314="BUY",1,-1)*(H314-D314)/N314)</f>
        <v/>
      </c>
      <c r="P314" s="23" t="str">
        <f aca="false">IF(OR(H314="",D314="",K314=""),"",IF(C314="BUY",1,-1)*(H314-D314)*K314*'Read Me'!$B$10-L314)</f>
        <v/>
      </c>
      <c r="Q314" s="4" t="str">
        <f aca="false">IF(O314="","",IF(O314&gt;0,"WIN","LOSS"))</f>
        <v/>
      </c>
      <c r="R314" s="22" t="str">
        <f aca="false">IF(AND(M314,O314&lt;&gt;""),O314,"")</f>
        <v/>
      </c>
      <c r="S314" s="22" t="n">
        <f aca="false">S313+IF(R314="",0,R314)</f>
        <v>0</v>
      </c>
      <c r="T314" s="22" t="n">
        <f aca="false">MAX(T313,S314)</f>
        <v>0</v>
      </c>
      <c r="U314" s="22" t="n">
        <f aca="false">T314-S314</f>
        <v>0</v>
      </c>
      <c r="V314" s="16"/>
    </row>
    <row r="315" customFormat="false" ht="15" hidden="false" customHeight="true" outlineLevel="0" collapsed="false">
      <c r="A315" s="4" t="str">
        <f aca="false">IF(B315="","",ROW()-1)</f>
        <v/>
      </c>
      <c r="B315" s="15"/>
      <c r="C315" s="16"/>
      <c r="D315" s="17"/>
      <c r="E315" s="17"/>
      <c r="F315" s="17"/>
      <c r="G315" s="18"/>
      <c r="H315" s="17"/>
      <c r="I315" s="16"/>
      <c r="J315" s="16"/>
      <c r="K315" s="17"/>
      <c r="L315" s="19"/>
      <c r="M315" s="20" t="b">
        <f aca="false">AND(B315&lt;&gt;"",B315&gt;='Read Me'!$B$5,H315&lt;&gt;"")</f>
        <v>0</v>
      </c>
      <c r="N315" s="21" t="str">
        <f aca="false">IF(OR(D315="",E315=""),"",ABS(D315-E315))</f>
        <v/>
      </c>
      <c r="O315" s="22" t="str">
        <f aca="false">IF(OR(H315="",N315="",N315=0),"",IF(C315="BUY",1,-1)*(H315-D315)/N315)</f>
        <v/>
      </c>
      <c r="P315" s="23" t="str">
        <f aca="false">IF(OR(H315="",D315="",K315=""),"",IF(C315="BUY",1,-1)*(H315-D315)*K315*'Read Me'!$B$10-L315)</f>
        <v/>
      </c>
      <c r="Q315" s="4" t="str">
        <f aca="false">IF(O315="","",IF(O315&gt;0,"WIN","LOSS"))</f>
        <v/>
      </c>
      <c r="R315" s="22" t="str">
        <f aca="false">IF(AND(M315,O315&lt;&gt;""),O315,"")</f>
        <v/>
      </c>
      <c r="S315" s="22" t="n">
        <f aca="false">S314+IF(R315="",0,R315)</f>
        <v>0</v>
      </c>
      <c r="T315" s="22" t="n">
        <f aca="false">MAX(T314,S315)</f>
        <v>0</v>
      </c>
      <c r="U315" s="22" t="n">
        <f aca="false">T315-S315</f>
        <v>0</v>
      </c>
      <c r="V315" s="16"/>
    </row>
    <row r="316" customFormat="false" ht="15" hidden="false" customHeight="true" outlineLevel="0" collapsed="false">
      <c r="A316" s="4" t="str">
        <f aca="false">IF(B316="","",ROW()-1)</f>
        <v/>
      </c>
      <c r="B316" s="15"/>
      <c r="C316" s="16"/>
      <c r="D316" s="17"/>
      <c r="E316" s="17"/>
      <c r="F316" s="17"/>
      <c r="G316" s="18"/>
      <c r="H316" s="17"/>
      <c r="I316" s="16"/>
      <c r="J316" s="16"/>
      <c r="K316" s="17"/>
      <c r="L316" s="19"/>
      <c r="M316" s="20" t="b">
        <f aca="false">AND(B316&lt;&gt;"",B316&gt;='Read Me'!$B$5,H316&lt;&gt;"")</f>
        <v>0</v>
      </c>
      <c r="N316" s="21" t="str">
        <f aca="false">IF(OR(D316="",E316=""),"",ABS(D316-E316))</f>
        <v/>
      </c>
      <c r="O316" s="22" t="str">
        <f aca="false">IF(OR(H316="",N316="",N316=0),"",IF(C316="BUY",1,-1)*(H316-D316)/N316)</f>
        <v/>
      </c>
      <c r="P316" s="23" t="str">
        <f aca="false">IF(OR(H316="",D316="",K316=""),"",IF(C316="BUY",1,-1)*(H316-D316)*K316*'Read Me'!$B$10-L316)</f>
        <v/>
      </c>
      <c r="Q316" s="4" t="str">
        <f aca="false">IF(O316="","",IF(O316&gt;0,"WIN","LOSS"))</f>
        <v/>
      </c>
      <c r="R316" s="22" t="str">
        <f aca="false">IF(AND(M316,O316&lt;&gt;""),O316,"")</f>
        <v/>
      </c>
      <c r="S316" s="22" t="n">
        <f aca="false">S315+IF(R316="",0,R316)</f>
        <v>0</v>
      </c>
      <c r="T316" s="22" t="n">
        <f aca="false">MAX(T315,S316)</f>
        <v>0</v>
      </c>
      <c r="U316" s="22" t="n">
        <f aca="false">T316-S316</f>
        <v>0</v>
      </c>
      <c r="V316" s="16"/>
    </row>
    <row r="317" customFormat="false" ht="15" hidden="false" customHeight="true" outlineLevel="0" collapsed="false">
      <c r="A317" s="4" t="str">
        <f aca="false">IF(B317="","",ROW()-1)</f>
        <v/>
      </c>
      <c r="B317" s="15"/>
      <c r="C317" s="16"/>
      <c r="D317" s="17"/>
      <c r="E317" s="17"/>
      <c r="F317" s="17"/>
      <c r="G317" s="18"/>
      <c r="H317" s="17"/>
      <c r="I317" s="16"/>
      <c r="J317" s="16"/>
      <c r="K317" s="17"/>
      <c r="L317" s="19"/>
      <c r="M317" s="20" t="b">
        <f aca="false">AND(B317&lt;&gt;"",B317&gt;='Read Me'!$B$5,H317&lt;&gt;"")</f>
        <v>0</v>
      </c>
      <c r="N317" s="21" t="str">
        <f aca="false">IF(OR(D317="",E317=""),"",ABS(D317-E317))</f>
        <v/>
      </c>
      <c r="O317" s="22" t="str">
        <f aca="false">IF(OR(H317="",N317="",N317=0),"",IF(C317="BUY",1,-1)*(H317-D317)/N317)</f>
        <v/>
      </c>
      <c r="P317" s="23" t="str">
        <f aca="false">IF(OR(H317="",D317="",K317=""),"",IF(C317="BUY",1,-1)*(H317-D317)*K317*'Read Me'!$B$10-L317)</f>
        <v/>
      </c>
      <c r="Q317" s="4" t="str">
        <f aca="false">IF(O317="","",IF(O317&gt;0,"WIN","LOSS"))</f>
        <v/>
      </c>
      <c r="R317" s="22" t="str">
        <f aca="false">IF(AND(M317,O317&lt;&gt;""),O317,"")</f>
        <v/>
      </c>
      <c r="S317" s="22" t="n">
        <f aca="false">S316+IF(R317="",0,R317)</f>
        <v>0</v>
      </c>
      <c r="T317" s="22" t="n">
        <f aca="false">MAX(T316,S317)</f>
        <v>0</v>
      </c>
      <c r="U317" s="22" t="n">
        <f aca="false">T317-S317</f>
        <v>0</v>
      </c>
      <c r="V317" s="16"/>
    </row>
    <row r="318" customFormat="false" ht="15" hidden="false" customHeight="true" outlineLevel="0" collapsed="false">
      <c r="A318" s="4" t="str">
        <f aca="false">IF(B318="","",ROW()-1)</f>
        <v/>
      </c>
      <c r="B318" s="15"/>
      <c r="C318" s="16"/>
      <c r="D318" s="17"/>
      <c r="E318" s="17"/>
      <c r="F318" s="17"/>
      <c r="G318" s="18"/>
      <c r="H318" s="17"/>
      <c r="I318" s="16"/>
      <c r="J318" s="16"/>
      <c r="K318" s="17"/>
      <c r="L318" s="19"/>
      <c r="M318" s="20" t="b">
        <f aca="false">AND(B318&lt;&gt;"",B318&gt;='Read Me'!$B$5,H318&lt;&gt;"")</f>
        <v>0</v>
      </c>
      <c r="N318" s="21" t="str">
        <f aca="false">IF(OR(D318="",E318=""),"",ABS(D318-E318))</f>
        <v/>
      </c>
      <c r="O318" s="22" t="str">
        <f aca="false">IF(OR(H318="",N318="",N318=0),"",IF(C318="BUY",1,-1)*(H318-D318)/N318)</f>
        <v/>
      </c>
      <c r="P318" s="23" t="str">
        <f aca="false">IF(OR(H318="",D318="",K318=""),"",IF(C318="BUY",1,-1)*(H318-D318)*K318*'Read Me'!$B$10-L318)</f>
        <v/>
      </c>
      <c r="Q318" s="4" t="str">
        <f aca="false">IF(O318="","",IF(O318&gt;0,"WIN","LOSS"))</f>
        <v/>
      </c>
      <c r="R318" s="22" t="str">
        <f aca="false">IF(AND(M318,O318&lt;&gt;""),O318,"")</f>
        <v/>
      </c>
      <c r="S318" s="22" t="n">
        <f aca="false">S317+IF(R318="",0,R318)</f>
        <v>0</v>
      </c>
      <c r="T318" s="22" t="n">
        <f aca="false">MAX(T317,S318)</f>
        <v>0</v>
      </c>
      <c r="U318" s="22" t="n">
        <f aca="false">T318-S318</f>
        <v>0</v>
      </c>
      <c r="V318" s="16"/>
    </row>
    <row r="319" customFormat="false" ht="15" hidden="false" customHeight="true" outlineLevel="0" collapsed="false">
      <c r="A319" s="4" t="str">
        <f aca="false">IF(B319="","",ROW()-1)</f>
        <v/>
      </c>
      <c r="B319" s="15"/>
      <c r="C319" s="16"/>
      <c r="D319" s="17"/>
      <c r="E319" s="17"/>
      <c r="F319" s="17"/>
      <c r="G319" s="18"/>
      <c r="H319" s="17"/>
      <c r="I319" s="16"/>
      <c r="J319" s="16"/>
      <c r="K319" s="17"/>
      <c r="L319" s="19"/>
      <c r="M319" s="20" t="b">
        <f aca="false">AND(B319&lt;&gt;"",B319&gt;='Read Me'!$B$5,H319&lt;&gt;"")</f>
        <v>0</v>
      </c>
      <c r="N319" s="21" t="str">
        <f aca="false">IF(OR(D319="",E319=""),"",ABS(D319-E319))</f>
        <v/>
      </c>
      <c r="O319" s="22" t="str">
        <f aca="false">IF(OR(H319="",N319="",N319=0),"",IF(C319="BUY",1,-1)*(H319-D319)/N319)</f>
        <v/>
      </c>
      <c r="P319" s="23" t="str">
        <f aca="false">IF(OR(H319="",D319="",K319=""),"",IF(C319="BUY",1,-1)*(H319-D319)*K319*'Read Me'!$B$10-L319)</f>
        <v/>
      </c>
      <c r="Q319" s="4" t="str">
        <f aca="false">IF(O319="","",IF(O319&gt;0,"WIN","LOSS"))</f>
        <v/>
      </c>
      <c r="R319" s="22" t="str">
        <f aca="false">IF(AND(M319,O319&lt;&gt;""),O319,"")</f>
        <v/>
      </c>
      <c r="S319" s="22" t="n">
        <f aca="false">S318+IF(R319="",0,R319)</f>
        <v>0</v>
      </c>
      <c r="T319" s="22" t="n">
        <f aca="false">MAX(T318,S319)</f>
        <v>0</v>
      </c>
      <c r="U319" s="22" t="n">
        <f aca="false">T319-S319</f>
        <v>0</v>
      </c>
      <c r="V319" s="16"/>
    </row>
    <row r="320" customFormat="false" ht="15" hidden="false" customHeight="true" outlineLevel="0" collapsed="false">
      <c r="A320" s="4" t="str">
        <f aca="false">IF(B320="","",ROW()-1)</f>
        <v/>
      </c>
      <c r="B320" s="15"/>
      <c r="C320" s="16"/>
      <c r="D320" s="17"/>
      <c r="E320" s="17"/>
      <c r="F320" s="17"/>
      <c r="G320" s="18"/>
      <c r="H320" s="17"/>
      <c r="I320" s="16"/>
      <c r="J320" s="16"/>
      <c r="K320" s="17"/>
      <c r="L320" s="19"/>
      <c r="M320" s="20" t="b">
        <f aca="false">AND(B320&lt;&gt;"",B320&gt;='Read Me'!$B$5,H320&lt;&gt;"")</f>
        <v>0</v>
      </c>
      <c r="N320" s="21" t="str">
        <f aca="false">IF(OR(D320="",E320=""),"",ABS(D320-E320))</f>
        <v/>
      </c>
      <c r="O320" s="22" t="str">
        <f aca="false">IF(OR(H320="",N320="",N320=0),"",IF(C320="BUY",1,-1)*(H320-D320)/N320)</f>
        <v/>
      </c>
      <c r="P320" s="23" t="str">
        <f aca="false">IF(OR(H320="",D320="",K320=""),"",IF(C320="BUY",1,-1)*(H320-D320)*K320*'Read Me'!$B$10-L320)</f>
        <v/>
      </c>
      <c r="Q320" s="4" t="str">
        <f aca="false">IF(O320="","",IF(O320&gt;0,"WIN","LOSS"))</f>
        <v/>
      </c>
      <c r="R320" s="22" t="str">
        <f aca="false">IF(AND(M320,O320&lt;&gt;""),O320,"")</f>
        <v/>
      </c>
      <c r="S320" s="22" t="n">
        <f aca="false">S319+IF(R320="",0,R320)</f>
        <v>0</v>
      </c>
      <c r="T320" s="22" t="n">
        <f aca="false">MAX(T319,S320)</f>
        <v>0</v>
      </c>
      <c r="U320" s="22" t="n">
        <f aca="false">T320-S320</f>
        <v>0</v>
      </c>
      <c r="V320" s="16"/>
    </row>
    <row r="321" customFormat="false" ht="15" hidden="false" customHeight="true" outlineLevel="0" collapsed="false">
      <c r="A321" s="4" t="str">
        <f aca="false">IF(B321="","",ROW()-1)</f>
        <v/>
      </c>
      <c r="B321" s="15"/>
      <c r="C321" s="16"/>
      <c r="D321" s="17"/>
      <c r="E321" s="17"/>
      <c r="F321" s="17"/>
      <c r="G321" s="18"/>
      <c r="H321" s="17"/>
      <c r="I321" s="16"/>
      <c r="J321" s="16"/>
      <c r="K321" s="17"/>
      <c r="L321" s="19"/>
      <c r="M321" s="20" t="b">
        <f aca="false">AND(B321&lt;&gt;"",B321&gt;='Read Me'!$B$5,H321&lt;&gt;"")</f>
        <v>0</v>
      </c>
      <c r="N321" s="21" t="str">
        <f aca="false">IF(OR(D321="",E321=""),"",ABS(D321-E321))</f>
        <v/>
      </c>
      <c r="O321" s="22" t="str">
        <f aca="false">IF(OR(H321="",N321="",N321=0),"",IF(C321="BUY",1,-1)*(H321-D321)/N321)</f>
        <v/>
      </c>
      <c r="P321" s="23" t="str">
        <f aca="false">IF(OR(H321="",D321="",K321=""),"",IF(C321="BUY",1,-1)*(H321-D321)*K321*'Read Me'!$B$10-L321)</f>
        <v/>
      </c>
      <c r="Q321" s="4" t="str">
        <f aca="false">IF(O321="","",IF(O321&gt;0,"WIN","LOSS"))</f>
        <v/>
      </c>
      <c r="R321" s="22" t="str">
        <f aca="false">IF(AND(M321,O321&lt;&gt;""),O321,"")</f>
        <v/>
      </c>
      <c r="S321" s="22" t="n">
        <f aca="false">S320+IF(R321="",0,R321)</f>
        <v>0</v>
      </c>
      <c r="T321" s="22" t="n">
        <f aca="false">MAX(T320,S321)</f>
        <v>0</v>
      </c>
      <c r="U321" s="22" t="n">
        <f aca="false">T321-S321</f>
        <v>0</v>
      </c>
      <c r="V321" s="16"/>
    </row>
    <row r="322" customFormat="false" ht="15" hidden="false" customHeight="true" outlineLevel="0" collapsed="false">
      <c r="A322" s="4" t="str">
        <f aca="false">IF(B322="","",ROW()-1)</f>
        <v/>
      </c>
      <c r="B322" s="15"/>
      <c r="C322" s="16"/>
      <c r="D322" s="17"/>
      <c r="E322" s="17"/>
      <c r="F322" s="17"/>
      <c r="G322" s="18"/>
      <c r="H322" s="17"/>
      <c r="I322" s="16"/>
      <c r="J322" s="16"/>
      <c r="K322" s="17"/>
      <c r="L322" s="19"/>
      <c r="M322" s="20" t="b">
        <f aca="false">AND(B322&lt;&gt;"",B322&gt;='Read Me'!$B$5,H322&lt;&gt;"")</f>
        <v>0</v>
      </c>
      <c r="N322" s="21" t="str">
        <f aca="false">IF(OR(D322="",E322=""),"",ABS(D322-E322))</f>
        <v/>
      </c>
      <c r="O322" s="22" t="str">
        <f aca="false">IF(OR(H322="",N322="",N322=0),"",IF(C322="BUY",1,-1)*(H322-D322)/N322)</f>
        <v/>
      </c>
      <c r="P322" s="23" t="str">
        <f aca="false">IF(OR(H322="",D322="",K322=""),"",IF(C322="BUY",1,-1)*(H322-D322)*K322*'Read Me'!$B$10-L322)</f>
        <v/>
      </c>
      <c r="Q322" s="4" t="str">
        <f aca="false">IF(O322="","",IF(O322&gt;0,"WIN","LOSS"))</f>
        <v/>
      </c>
      <c r="R322" s="22" t="str">
        <f aca="false">IF(AND(M322,O322&lt;&gt;""),O322,"")</f>
        <v/>
      </c>
      <c r="S322" s="22" t="n">
        <f aca="false">S321+IF(R322="",0,R322)</f>
        <v>0</v>
      </c>
      <c r="T322" s="22" t="n">
        <f aca="false">MAX(T321,S322)</f>
        <v>0</v>
      </c>
      <c r="U322" s="22" t="n">
        <f aca="false">T322-S322</f>
        <v>0</v>
      </c>
      <c r="V322" s="16"/>
    </row>
    <row r="323" customFormat="false" ht="15" hidden="false" customHeight="true" outlineLevel="0" collapsed="false">
      <c r="A323" s="4" t="str">
        <f aca="false">IF(B323="","",ROW()-1)</f>
        <v/>
      </c>
      <c r="B323" s="15"/>
      <c r="C323" s="16"/>
      <c r="D323" s="17"/>
      <c r="E323" s="17"/>
      <c r="F323" s="17"/>
      <c r="G323" s="18"/>
      <c r="H323" s="17"/>
      <c r="I323" s="16"/>
      <c r="J323" s="16"/>
      <c r="K323" s="17"/>
      <c r="L323" s="19"/>
      <c r="M323" s="20" t="b">
        <f aca="false">AND(B323&lt;&gt;"",B323&gt;='Read Me'!$B$5,H323&lt;&gt;"")</f>
        <v>0</v>
      </c>
      <c r="N323" s="21" t="str">
        <f aca="false">IF(OR(D323="",E323=""),"",ABS(D323-E323))</f>
        <v/>
      </c>
      <c r="O323" s="22" t="str">
        <f aca="false">IF(OR(H323="",N323="",N323=0),"",IF(C323="BUY",1,-1)*(H323-D323)/N323)</f>
        <v/>
      </c>
      <c r="P323" s="23" t="str">
        <f aca="false">IF(OR(H323="",D323="",K323=""),"",IF(C323="BUY",1,-1)*(H323-D323)*K323*'Read Me'!$B$10-L323)</f>
        <v/>
      </c>
      <c r="Q323" s="4" t="str">
        <f aca="false">IF(O323="","",IF(O323&gt;0,"WIN","LOSS"))</f>
        <v/>
      </c>
      <c r="R323" s="22" t="str">
        <f aca="false">IF(AND(M323,O323&lt;&gt;""),O323,"")</f>
        <v/>
      </c>
      <c r="S323" s="22" t="n">
        <f aca="false">S322+IF(R323="",0,R323)</f>
        <v>0</v>
      </c>
      <c r="T323" s="22" t="n">
        <f aca="false">MAX(T322,S323)</f>
        <v>0</v>
      </c>
      <c r="U323" s="22" t="n">
        <f aca="false">T323-S323</f>
        <v>0</v>
      </c>
      <c r="V323" s="16"/>
    </row>
    <row r="324" customFormat="false" ht="15" hidden="false" customHeight="true" outlineLevel="0" collapsed="false">
      <c r="A324" s="4" t="str">
        <f aca="false">IF(B324="","",ROW()-1)</f>
        <v/>
      </c>
      <c r="B324" s="15"/>
      <c r="C324" s="16"/>
      <c r="D324" s="17"/>
      <c r="E324" s="17"/>
      <c r="F324" s="17"/>
      <c r="G324" s="18"/>
      <c r="H324" s="17"/>
      <c r="I324" s="16"/>
      <c r="J324" s="16"/>
      <c r="K324" s="17"/>
      <c r="L324" s="19"/>
      <c r="M324" s="20" t="b">
        <f aca="false">AND(B324&lt;&gt;"",B324&gt;='Read Me'!$B$5,H324&lt;&gt;"")</f>
        <v>0</v>
      </c>
      <c r="N324" s="21" t="str">
        <f aca="false">IF(OR(D324="",E324=""),"",ABS(D324-E324))</f>
        <v/>
      </c>
      <c r="O324" s="22" t="str">
        <f aca="false">IF(OR(H324="",N324="",N324=0),"",IF(C324="BUY",1,-1)*(H324-D324)/N324)</f>
        <v/>
      </c>
      <c r="P324" s="23" t="str">
        <f aca="false">IF(OR(H324="",D324="",K324=""),"",IF(C324="BUY",1,-1)*(H324-D324)*K324*'Read Me'!$B$10-L324)</f>
        <v/>
      </c>
      <c r="Q324" s="4" t="str">
        <f aca="false">IF(O324="","",IF(O324&gt;0,"WIN","LOSS"))</f>
        <v/>
      </c>
      <c r="R324" s="22" t="str">
        <f aca="false">IF(AND(M324,O324&lt;&gt;""),O324,"")</f>
        <v/>
      </c>
      <c r="S324" s="22" t="n">
        <f aca="false">S323+IF(R324="",0,R324)</f>
        <v>0</v>
      </c>
      <c r="T324" s="22" t="n">
        <f aca="false">MAX(T323,S324)</f>
        <v>0</v>
      </c>
      <c r="U324" s="22" t="n">
        <f aca="false">T324-S324</f>
        <v>0</v>
      </c>
      <c r="V324" s="16"/>
    </row>
    <row r="325" customFormat="false" ht="15" hidden="false" customHeight="true" outlineLevel="0" collapsed="false">
      <c r="A325" s="4" t="str">
        <f aca="false">IF(B325="","",ROW()-1)</f>
        <v/>
      </c>
      <c r="B325" s="15"/>
      <c r="C325" s="16"/>
      <c r="D325" s="17"/>
      <c r="E325" s="17"/>
      <c r="F325" s="17"/>
      <c r="G325" s="18"/>
      <c r="H325" s="17"/>
      <c r="I325" s="16"/>
      <c r="J325" s="16"/>
      <c r="K325" s="17"/>
      <c r="L325" s="19"/>
      <c r="M325" s="20" t="b">
        <f aca="false">AND(B325&lt;&gt;"",B325&gt;='Read Me'!$B$5,H325&lt;&gt;"")</f>
        <v>0</v>
      </c>
      <c r="N325" s="21" t="str">
        <f aca="false">IF(OR(D325="",E325=""),"",ABS(D325-E325))</f>
        <v/>
      </c>
      <c r="O325" s="22" t="str">
        <f aca="false">IF(OR(H325="",N325="",N325=0),"",IF(C325="BUY",1,-1)*(H325-D325)/N325)</f>
        <v/>
      </c>
      <c r="P325" s="23" t="str">
        <f aca="false">IF(OR(H325="",D325="",K325=""),"",IF(C325="BUY",1,-1)*(H325-D325)*K325*'Read Me'!$B$10-L325)</f>
        <v/>
      </c>
      <c r="Q325" s="4" t="str">
        <f aca="false">IF(O325="","",IF(O325&gt;0,"WIN","LOSS"))</f>
        <v/>
      </c>
      <c r="R325" s="22" t="str">
        <f aca="false">IF(AND(M325,O325&lt;&gt;""),O325,"")</f>
        <v/>
      </c>
      <c r="S325" s="22" t="n">
        <f aca="false">S324+IF(R325="",0,R325)</f>
        <v>0</v>
      </c>
      <c r="T325" s="22" t="n">
        <f aca="false">MAX(T324,S325)</f>
        <v>0</v>
      </c>
      <c r="U325" s="22" t="n">
        <f aca="false">T325-S325</f>
        <v>0</v>
      </c>
      <c r="V325" s="16"/>
    </row>
    <row r="326" customFormat="false" ht="15" hidden="false" customHeight="true" outlineLevel="0" collapsed="false">
      <c r="A326" s="4" t="str">
        <f aca="false">IF(B326="","",ROW()-1)</f>
        <v/>
      </c>
      <c r="B326" s="15"/>
      <c r="C326" s="16"/>
      <c r="D326" s="17"/>
      <c r="E326" s="17"/>
      <c r="F326" s="17"/>
      <c r="G326" s="18"/>
      <c r="H326" s="17"/>
      <c r="I326" s="16"/>
      <c r="J326" s="16"/>
      <c r="K326" s="17"/>
      <c r="L326" s="19"/>
      <c r="M326" s="20" t="b">
        <f aca="false">AND(B326&lt;&gt;"",B326&gt;='Read Me'!$B$5,H326&lt;&gt;"")</f>
        <v>0</v>
      </c>
      <c r="N326" s="21" t="str">
        <f aca="false">IF(OR(D326="",E326=""),"",ABS(D326-E326))</f>
        <v/>
      </c>
      <c r="O326" s="22" t="str">
        <f aca="false">IF(OR(H326="",N326="",N326=0),"",IF(C326="BUY",1,-1)*(H326-D326)/N326)</f>
        <v/>
      </c>
      <c r="P326" s="23" t="str">
        <f aca="false">IF(OR(H326="",D326="",K326=""),"",IF(C326="BUY",1,-1)*(H326-D326)*K326*'Read Me'!$B$10-L326)</f>
        <v/>
      </c>
      <c r="Q326" s="4" t="str">
        <f aca="false">IF(O326="","",IF(O326&gt;0,"WIN","LOSS"))</f>
        <v/>
      </c>
      <c r="R326" s="22" t="str">
        <f aca="false">IF(AND(M326,O326&lt;&gt;""),O326,"")</f>
        <v/>
      </c>
      <c r="S326" s="22" t="n">
        <f aca="false">S325+IF(R326="",0,R326)</f>
        <v>0</v>
      </c>
      <c r="T326" s="22" t="n">
        <f aca="false">MAX(T325,S326)</f>
        <v>0</v>
      </c>
      <c r="U326" s="22" t="n">
        <f aca="false">T326-S326</f>
        <v>0</v>
      </c>
      <c r="V326" s="16"/>
    </row>
    <row r="327" customFormat="false" ht="15" hidden="false" customHeight="true" outlineLevel="0" collapsed="false">
      <c r="A327" s="4" t="str">
        <f aca="false">IF(B327="","",ROW()-1)</f>
        <v/>
      </c>
      <c r="B327" s="15"/>
      <c r="C327" s="16"/>
      <c r="D327" s="17"/>
      <c r="E327" s="17"/>
      <c r="F327" s="17"/>
      <c r="G327" s="18"/>
      <c r="H327" s="17"/>
      <c r="I327" s="16"/>
      <c r="J327" s="16"/>
      <c r="K327" s="17"/>
      <c r="L327" s="19"/>
      <c r="M327" s="20" t="b">
        <f aca="false">AND(B327&lt;&gt;"",B327&gt;='Read Me'!$B$5,H327&lt;&gt;"")</f>
        <v>0</v>
      </c>
      <c r="N327" s="21" t="str">
        <f aca="false">IF(OR(D327="",E327=""),"",ABS(D327-E327))</f>
        <v/>
      </c>
      <c r="O327" s="22" t="str">
        <f aca="false">IF(OR(H327="",N327="",N327=0),"",IF(C327="BUY",1,-1)*(H327-D327)/N327)</f>
        <v/>
      </c>
      <c r="P327" s="23" t="str">
        <f aca="false">IF(OR(H327="",D327="",K327=""),"",IF(C327="BUY",1,-1)*(H327-D327)*K327*'Read Me'!$B$10-L327)</f>
        <v/>
      </c>
      <c r="Q327" s="4" t="str">
        <f aca="false">IF(O327="","",IF(O327&gt;0,"WIN","LOSS"))</f>
        <v/>
      </c>
      <c r="R327" s="22" t="str">
        <f aca="false">IF(AND(M327,O327&lt;&gt;""),O327,"")</f>
        <v/>
      </c>
      <c r="S327" s="22" t="n">
        <f aca="false">S326+IF(R327="",0,R327)</f>
        <v>0</v>
      </c>
      <c r="T327" s="22" t="n">
        <f aca="false">MAX(T326,S327)</f>
        <v>0</v>
      </c>
      <c r="U327" s="22" t="n">
        <f aca="false">T327-S327</f>
        <v>0</v>
      </c>
      <c r="V327" s="16"/>
    </row>
    <row r="328" customFormat="false" ht="15" hidden="false" customHeight="true" outlineLevel="0" collapsed="false">
      <c r="A328" s="4" t="str">
        <f aca="false">IF(B328="","",ROW()-1)</f>
        <v/>
      </c>
      <c r="B328" s="15"/>
      <c r="C328" s="16"/>
      <c r="D328" s="17"/>
      <c r="E328" s="17"/>
      <c r="F328" s="17"/>
      <c r="G328" s="18"/>
      <c r="H328" s="17"/>
      <c r="I328" s="16"/>
      <c r="J328" s="16"/>
      <c r="K328" s="17"/>
      <c r="L328" s="19"/>
      <c r="M328" s="20" t="b">
        <f aca="false">AND(B328&lt;&gt;"",B328&gt;='Read Me'!$B$5,H328&lt;&gt;"")</f>
        <v>0</v>
      </c>
      <c r="N328" s="21" t="str">
        <f aca="false">IF(OR(D328="",E328=""),"",ABS(D328-E328))</f>
        <v/>
      </c>
      <c r="O328" s="22" t="str">
        <f aca="false">IF(OR(H328="",N328="",N328=0),"",IF(C328="BUY",1,-1)*(H328-D328)/N328)</f>
        <v/>
      </c>
      <c r="P328" s="23" t="str">
        <f aca="false">IF(OR(H328="",D328="",K328=""),"",IF(C328="BUY",1,-1)*(H328-D328)*K328*'Read Me'!$B$10-L328)</f>
        <v/>
      </c>
      <c r="Q328" s="4" t="str">
        <f aca="false">IF(O328="","",IF(O328&gt;0,"WIN","LOSS"))</f>
        <v/>
      </c>
      <c r="R328" s="22" t="str">
        <f aca="false">IF(AND(M328,O328&lt;&gt;""),O328,"")</f>
        <v/>
      </c>
      <c r="S328" s="22" t="n">
        <f aca="false">S327+IF(R328="",0,R328)</f>
        <v>0</v>
      </c>
      <c r="T328" s="22" t="n">
        <f aca="false">MAX(T327,S328)</f>
        <v>0</v>
      </c>
      <c r="U328" s="22" t="n">
        <f aca="false">T328-S328</f>
        <v>0</v>
      </c>
      <c r="V328" s="16"/>
    </row>
    <row r="329" customFormat="false" ht="15" hidden="false" customHeight="true" outlineLevel="0" collapsed="false">
      <c r="A329" s="4" t="str">
        <f aca="false">IF(B329="","",ROW()-1)</f>
        <v/>
      </c>
      <c r="B329" s="15"/>
      <c r="C329" s="16"/>
      <c r="D329" s="17"/>
      <c r="E329" s="17"/>
      <c r="F329" s="17"/>
      <c r="G329" s="18"/>
      <c r="H329" s="17"/>
      <c r="I329" s="16"/>
      <c r="J329" s="16"/>
      <c r="K329" s="17"/>
      <c r="L329" s="19"/>
      <c r="M329" s="20" t="b">
        <f aca="false">AND(B329&lt;&gt;"",B329&gt;='Read Me'!$B$5,H329&lt;&gt;"")</f>
        <v>0</v>
      </c>
      <c r="N329" s="21" t="str">
        <f aca="false">IF(OR(D329="",E329=""),"",ABS(D329-E329))</f>
        <v/>
      </c>
      <c r="O329" s="22" t="str">
        <f aca="false">IF(OR(H329="",N329="",N329=0),"",IF(C329="BUY",1,-1)*(H329-D329)/N329)</f>
        <v/>
      </c>
      <c r="P329" s="23" t="str">
        <f aca="false">IF(OR(H329="",D329="",K329=""),"",IF(C329="BUY",1,-1)*(H329-D329)*K329*'Read Me'!$B$10-L329)</f>
        <v/>
      </c>
      <c r="Q329" s="4" t="str">
        <f aca="false">IF(O329="","",IF(O329&gt;0,"WIN","LOSS"))</f>
        <v/>
      </c>
      <c r="R329" s="22" t="str">
        <f aca="false">IF(AND(M329,O329&lt;&gt;""),O329,"")</f>
        <v/>
      </c>
      <c r="S329" s="22" t="n">
        <f aca="false">S328+IF(R329="",0,R329)</f>
        <v>0</v>
      </c>
      <c r="T329" s="22" t="n">
        <f aca="false">MAX(T328,S329)</f>
        <v>0</v>
      </c>
      <c r="U329" s="22" t="n">
        <f aca="false">T329-S329</f>
        <v>0</v>
      </c>
      <c r="V329" s="16"/>
    </row>
    <row r="330" customFormat="false" ht="15" hidden="false" customHeight="true" outlineLevel="0" collapsed="false">
      <c r="A330" s="4" t="str">
        <f aca="false">IF(B330="","",ROW()-1)</f>
        <v/>
      </c>
      <c r="B330" s="15"/>
      <c r="C330" s="16"/>
      <c r="D330" s="17"/>
      <c r="E330" s="17"/>
      <c r="F330" s="17"/>
      <c r="G330" s="18"/>
      <c r="H330" s="17"/>
      <c r="I330" s="16"/>
      <c r="J330" s="16"/>
      <c r="K330" s="17"/>
      <c r="L330" s="19"/>
      <c r="M330" s="20" t="b">
        <f aca="false">AND(B330&lt;&gt;"",B330&gt;='Read Me'!$B$5,H330&lt;&gt;"")</f>
        <v>0</v>
      </c>
      <c r="N330" s="21" t="str">
        <f aca="false">IF(OR(D330="",E330=""),"",ABS(D330-E330))</f>
        <v/>
      </c>
      <c r="O330" s="22" t="str">
        <f aca="false">IF(OR(H330="",N330="",N330=0),"",IF(C330="BUY",1,-1)*(H330-D330)/N330)</f>
        <v/>
      </c>
      <c r="P330" s="23" t="str">
        <f aca="false">IF(OR(H330="",D330="",K330=""),"",IF(C330="BUY",1,-1)*(H330-D330)*K330*'Read Me'!$B$10-L330)</f>
        <v/>
      </c>
      <c r="Q330" s="4" t="str">
        <f aca="false">IF(O330="","",IF(O330&gt;0,"WIN","LOSS"))</f>
        <v/>
      </c>
      <c r="R330" s="22" t="str">
        <f aca="false">IF(AND(M330,O330&lt;&gt;""),O330,"")</f>
        <v/>
      </c>
      <c r="S330" s="22" t="n">
        <f aca="false">S329+IF(R330="",0,R330)</f>
        <v>0</v>
      </c>
      <c r="T330" s="22" t="n">
        <f aca="false">MAX(T329,S330)</f>
        <v>0</v>
      </c>
      <c r="U330" s="22" t="n">
        <f aca="false">T330-S330</f>
        <v>0</v>
      </c>
      <c r="V330" s="16"/>
    </row>
    <row r="331" customFormat="false" ht="15" hidden="false" customHeight="true" outlineLevel="0" collapsed="false">
      <c r="A331" s="4" t="str">
        <f aca="false">IF(B331="","",ROW()-1)</f>
        <v/>
      </c>
      <c r="B331" s="15"/>
      <c r="C331" s="16"/>
      <c r="D331" s="17"/>
      <c r="E331" s="17"/>
      <c r="F331" s="17"/>
      <c r="G331" s="18"/>
      <c r="H331" s="17"/>
      <c r="I331" s="16"/>
      <c r="J331" s="16"/>
      <c r="K331" s="17"/>
      <c r="L331" s="19"/>
      <c r="M331" s="20" t="b">
        <f aca="false">AND(B331&lt;&gt;"",B331&gt;='Read Me'!$B$5,H331&lt;&gt;"")</f>
        <v>0</v>
      </c>
      <c r="N331" s="21" t="str">
        <f aca="false">IF(OR(D331="",E331=""),"",ABS(D331-E331))</f>
        <v/>
      </c>
      <c r="O331" s="22" t="str">
        <f aca="false">IF(OR(H331="",N331="",N331=0),"",IF(C331="BUY",1,-1)*(H331-D331)/N331)</f>
        <v/>
      </c>
      <c r="P331" s="23" t="str">
        <f aca="false">IF(OR(H331="",D331="",K331=""),"",IF(C331="BUY",1,-1)*(H331-D331)*K331*'Read Me'!$B$10-L331)</f>
        <v/>
      </c>
      <c r="Q331" s="4" t="str">
        <f aca="false">IF(O331="","",IF(O331&gt;0,"WIN","LOSS"))</f>
        <v/>
      </c>
      <c r="R331" s="22" t="str">
        <f aca="false">IF(AND(M331,O331&lt;&gt;""),O331,"")</f>
        <v/>
      </c>
      <c r="S331" s="22" t="n">
        <f aca="false">S330+IF(R331="",0,R331)</f>
        <v>0</v>
      </c>
      <c r="T331" s="22" t="n">
        <f aca="false">MAX(T330,S331)</f>
        <v>0</v>
      </c>
      <c r="U331" s="22" t="n">
        <f aca="false">T331-S331</f>
        <v>0</v>
      </c>
      <c r="V331" s="16"/>
    </row>
    <row r="332" customFormat="false" ht="15" hidden="false" customHeight="true" outlineLevel="0" collapsed="false">
      <c r="A332" s="4" t="str">
        <f aca="false">IF(B332="","",ROW()-1)</f>
        <v/>
      </c>
      <c r="B332" s="15"/>
      <c r="C332" s="16"/>
      <c r="D332" s="17"/>
      <c r="E332" s="17"/>
      <c r="F332" s="17"/>
      <c r="G332" s="18"/>
      <c r="H332" s="17"/>
      <c r="I332" s="16"/>
      <c r="J332" s="16"/>
      <c r="K332" s="17"/>
      <c r="L332" s="19"/>
      <c r="M332" s="20" t="b">
        <f aca="false">AND(B332&lt;&gt;"",B332&gt;='Read Me'!$B$5,H332&lt;&gt;"")</f>
        <v>0</v>
      </c>
      <c r="N332" s="21" t="str">
        <f aca="false">IF(OR(D332="",E332=""),"",ABS(D332-E332))</f>
        <v/>
      </c>
      <c r="O332" s="22" t="str">
        <f aca="false">IF(OR(H332="",N332="",N332=0),"",IF(C332="BUY",1,-1)*(H332-D332)/N332)</f>
        <v/>
      </c>
      <c r="P332" s="23" t="str">
        <f aca="false">IF(OR(H332="",D332="",K332=""),"",IF(C332="BUY",1,-1)*(H332-D332)*K332*'Read Me'!$B$10-L332)</f>
        <v/>
      </c>
      <c r="Q332" s="4" t="str">
        <f aca="false">IF(O332="","",IF(O332&gt;0,"WIN","LOSS"))</f>
        <v/>
      </c>
      <c r="R332" s="22" t="str">
        <f aca="false">IF(AND(M332,O332&lt;&gt;""),O332,"")</f>
        <v/>
      </c>
      <c r="S332" s="22" t="n">
        <f aca="false">S331+IF(R332="",0,R332)</f>
        <v>0</v>
      </c>
      <c r="T332" s="22" t="n">
        <f aca="false">MAX(T331,S332)</f>
        <v>0</v>
      </c>
      <c r="U332" s="22" t="n">
        <f aca="false">T332-S332</f>
        <v>0</v>
      </c>
      <c r="V332" s="16"/>
    </row>
    <row r="333" customFormat="false" ht="15" hidden="false" customHeight="true" outlineLevel="0" collapsed="false">
      <c r="A333" s="4" t="str">
        <f aca="false">IF(B333="","",ROW()-1)</f>
        <v/>
      </c>
      <c r="B333" s="15"/>
      <c r="C333" s="16"/>
      <c r="D333" s="17"/>
      <c r="E333" s="17"/>
      <c r="F333" s="17"/>
      <c r="G333" s="18"/>
      <c r="H333" s="17"/>
      <c r="I333" s="16"/>
      <c r="J333" s="16"/>
      <c r="K333" s="17"/>
      <c r="L333" s="19"/>
      <c r="M333" s="20" t="b">
        <f aca="false">AND(B333&lt;&gt;"",B333&gt;='Read Me'!$B$5,H333&lt;&gt;"")</f>
        <v>0</v>
      </c>
      <c r="N333" s="21" t="str">
        <f aca="false">IF(OR(D333="",E333=""),"",ABS(D333-E333))</f>
        <v/>
      </c>
      <c r="O333" s="22" t="str">
        <f aca="false">IF(OR(H333="",N333="",N333=0),"",IF(C333="BUY",1,-1)*(H333-D333)/N333)</f>
        <v/>
      </c>
      <c r="P333" s="23" t="str">
        <f aca="false">IF(OR(H333="",D333="",K333=""),"",IF(C333="BUY",1,-1)*(H333-D333)*K333*'Read Me'!$B$10-L333)</f>
        <v/>
      </c>
      <c r="Q333" s="4" t="str">
        <f aca="false">IF(O333="","",IF(O333&gt;0,"WIN","LOSS"))</f>
        <v/>
      </c>
      <c r="R333" s="22" t="str">
        <f aca="false">IF(AND(M333,O333&lt;&gt;""),O333,"")</f>
        <v/>
      </c>
      <c r="S333" s="22" t="n">
        <f aca="false">S332+IF(R333="",0,R333)</f>
        <v>0</v>
      </c>
      <c r="T333" s="22" t="n">
        <f aca="false">MAX(T332,S333)</f>
        <v>0</v>
      </c>
      <c r="U333" s="22" t="n">
        <f aca="false">T333-S333</f>
        <v>0</v>
      </c>
      <c r="V333" s="16"/>
    </row>
    <row r="334" customFormat="false" ht="15" hidden="false" customHeight="true" outlineLevel="0" collapsed="false">
      <c r="A334" s="4" t="str">
        <f aca="false">IF(B334="","",ROW()-1)</f>
        <v/>
      </c>
      <c r="B334" s="15"/>
      <c r="C334" s="16"/>
      <c r="D334" s="17"/>
      <c r="E334" s="17"/>
      <c r="F334" s="17"/>
      <c r="G334" s="18"/>
      <c r="H334" s="17"/>
      <c r="I334" s="16"/>
      <c r="J334" s="16"/>
      <c r="K334" s="17"/>
      <c r="L334" s="19"/>
      <c r="M334" s="20" t="b">
        <f aca="false">AND(B334&lt;&gt;"",B334&gt;='Read Me'!$B$5,H334&lt;&gt;"")</f>
        <v>0</v>
      </c>
      <c r="N334" s="21" t="str">
        <f aca="false">IF(OR(D334="",E334=""),"",ABS(D334-E334))</f>
        <v/>
      </c>
      <c r="O334" s="22" t="str">
        <f aca="false">IF(OR(H334="",N334="",N334=0),"",IF(C334="BUY",1,-1)*(H334-D334)/N334)</f>
        <v/>
      </c>
      <c r="P334" s="23" t="str">
        <f aca="false">IF(OR(H334="",D334="",K334=""),"",IF(C334="BUY",1,-1)*(H334-D334)*K334*'Read Me'!$B$10-L334)</f>
        <v/>
      </c>
      <c r="Q334" s="4" t="str">
        <f aca="false">IF(O334="","",IF(O334&gt;0,"WIN","LOSS"))</f>
        <v/>
      </c>
      <c r="R334" s="22" t="str">
        <f aca="false">IF(AND(M334,O334&lt;&gt;""),O334,"")</f>
        <v/>
      </c>
      <c r="S334" s="22" t="n">
        <f aca="false">S333+IF(R334="",0,R334)</f>
        <v>0</v>
      </c>
      <c r="T334" s="22" t="n">
        <f aca="false">MAX(T333,S334)</f>
        <v>0</v>
      </c>
      <c r="U334" s="22" t="n">
        <f aca="false">T334-S334</f>
        <v>0</v>
      </c>
      <c r="V334" s="16"/>
    </row>
    <row r="335" customFormat="false" ht="15" hidden="false" customHeight="true" outlineLevel="0" collapsed="false">
      <c r="A335" s="4" t="str">
        <f aca="false">IF(B335="","",ROW()-1)</f>
        <v/>
      </c>
      <c r="B335" s="15"/>
      <c r="C335" s="16"/>
      <c r="D335" s="17"/>
      <c r="E335" s="17"/>
      <c r="F335" s="17"/>
      <c r="G335" s="18"/>
      <c r="H335" s="17"/>
      <c r="I335" s="16"/>
      <c r="J335" s="16"/>
      <c r="K335" s="17"/>
      <c r="L335" s="19"/>
      <c r="M335" s="20" t="b">
        <f aca="false">AND(B335&lt;&gt;"",B335&gt;='Read Me'!$B$5,H335&lt;&gt;"")</f>
        <v>0</v>
      </c>
      <c r="N335" s="21" t="str">
        <f aca="false">IF(OR(D335="",E335=""),"",ABS(D335-E335))</f>
        <v/>
      </c>
      <c r="O335" s="22" t="str">
        <f aca="false">IF(OR(H335="",N335="",N335=0),"",IF(C335="BUY",1,-1)*(H335-D335)/N335)</f>
        <v/>
      </c>
      <c r="P335" s="23" t="str">
        <f aca="false">IF(OR(H335="",D335="",K335=""),"",IF(C335="BUY",1,-1)*(H335-D335)*K335*'Read Me'!$B$10-L335)</f>
        <v/>
      </c>
      <c r="Q335" s="4" t="str">
        <f aca="false">IF(O335="","",IF(O335&gt;0,"WIN","LOSS"))</f>
        <v/>
      </c>
      <c r="R335" s="22" t="str">
        <f aca="false">IF(AND(M335,O335&lt;&gt;""),O335,"")</f>
        <v/>
      </c>
      <c r="S335" s="22" t="n">
        <f aca="false">S334+IF(R335="",0,R335)</f>
        <v>0</v>
      </c>
      <c r="T335" s="22" t="n">
        <f aca="false">MAX(T334,S335)</f>
        <v>0</v>
      </c>
      <c r="U335" s="22" t="n">
        <f aca="false">T335-S335</f>
        <v>0</v>
      </c>
      <c r="V335" s="16"/>
    </row>
    <row r="336" customFormat="false" ht="15" hidden="false" customHeight="true" outlineLevel="0" collapsed="false">
      <c r="A336" s="4" t="str">
        <f aca="false">IF(B336="","",ROW()-1)</f>
        <v/>
      </c>
      <c r="B336" s="15"/>
      <c r="C336" s="16"/>
      <c r="D336" s="17"/>
      <c r="E336" s="17"/>
      <c r="F336" s="17"/>
      <c r="G336" s="18"/>
      <c r="H336" s="17"/>
      <c r="I336" s="16"/>
      <c r="J336" s="16"/>
      <c r="K336" s="17"/>
      <c r="L336" s="19"/>
      <c r="M336" s="20" t="b">
        <f aca="false">AND(B336&lt;&gt;"",B336&gt;='Read Me'!$B$5,H336&lt;&gt;"")</f>
        <v>0</v>
      </c>
      <c r="N336" s="21" t="str">
        <f aca="false">IF(OR(D336="",E336=""),"",ABS(D336-E336))</f>
        <v/>
      </c>
      <c r="O336" s="22" t="str">
        <f aca="false">IF(OR(H336="",N336="",N336=0),"",IF(C336="BUY",1,-1)*(H336-D336)/N336)</f>
        <v/>
      </c>
      <c r="P336" s="23" t="str">
        <f aca="false">IF(OR(H336="",D336="",K336=""),"",IF(C336="BUY",1,-1)*(H336-D336)*K336*'Read Me'!$B$10-L336)</f>
        <v/>
      </c>
      <c r="Q336" s="4" t="str">
        <f aca="false">IF(O336="","",IF(O336&gt;0,"WIN","LOSS"))</f>
        <v/>
      </c>
      <c r="R336" s="22" t="str">
        <f aca="false">IF(AND(M336,O336&lt;&gt;""),O336,"")</f>
        <v/>
      </c>
      <c r="S336" s="22" t="n">
        <f aca="false">S335+IF(R336="",0,R336)</f>
        <v>0</v>
      </c>
      <c r="T336" s="22" t="n">
        <f aca="false">MAX(T335,S336)</f>
        <v>0</v>
      </c>
      <c r="U336" s="22" t="n">
        <f aca="false">T336-S336</f>
        <v>0</v>
      </c>
      <c r="V336" s="16"/>
    </row>
    <row r="337" customFormat="false" ht="15" hidden="false" customHeight="true" outlineLevel="0" collapsed="false">
      <c r="A337" s="4" t="str">
        <f aca="false">IF(B337="","",ROW()-1)</f>
        <v/>
      </c>
      <c r="B337" s="15"/>
      <c r="C337" s="16"/>
      <c r="D337" s="17"/>
      <c r="E337" s="17"/>
      <c r="F337" s="17"/>
      <c r="G337" s="18"/>
      <c r="H337" s="17"/>
      <c r="I337" s="16"/>
      <c r="J337" s="16"/>
      <c r="K337" s="17"/>
      <c r="L337" s="19"/>
      <c r="M337" s="20" t="b">
        <f aca="false">AND(B337&lt;&gt;"",B337&gt;='Read Me'!$B$5,H337&lt;&gt;"")</f>
        <v>0</v>
      </c>
      <c r="N337" s="21" t="str">
        <f aca="false">IF(OR(D337="",E337=""),"",ABS(D337-E337))</f>
        <v/>
      </c>
      <c r="O337" s="22" t="str">
        <f aca="false">IF(OR(H337="",N337="",N337=0),"",IF(C337="BUY",1,-1)*(H337-D337)/N337)</f>
        <v/>
      </c>
      <c r="P337" s="23" t="str">
        <f aca="false">IF(OR(H337="",D337="",K337=""),"",IF(C337="BUY",1,-1)*(H337-D337)*K337*'Read Me'!$B$10-L337)</f>
        <v/>
      </c>
      <c r="Q337" s="4" t="str">
        <f aca="false">IF(O337="","",IF(O337&gt;0,"WIN","LOSS"))</f>
        <v/>
      </c>
      <c r="R337" s="22" t="str">
        <f aca="false">IF(AND(M337,O337&lt;&gt;""),O337,"")</f>
        <v/>
      </c>
      <c r="S337" s="22" t="n">
        <f aca="false">S336+IF(R337="",0,R337)</f>
        <v>0</v>
      </c>
      <c r="T337" s="22" t="n">
        <f aca="false">MAX(T336,S337)</f>
        <v>0</v>
      </c>
      <c r="U337" s="22" t="n">
        <f aca="false">T337-S337</f>
        <v>0</v>
      </c>
      <c r="V337" s="16"/>
    </row>
    <row r="338" customFormat="false" ht="15" hidden="false" customHeight="true" outlineLevel="0" collapsed="false">
      <c r="A338" s="4" t="str">
        <f aca="false">IF(B338="","",ROW()-1)</f>
        <v/>
      </c>
      <c r="B338" s="15"/>
      <c r="C338" s="16"/>
      <c r="D338" s="17"/>
      <c r="E338" s="17"/>
      <c r="F338" s="17"/>
      <c r="G338" s="18"/>
      <c r="H338" s="17"/>
      <c r="I338" s="16"/>
      <c r="J338" s="16"/>
      <c r="K338" s="17"/>
      <c r="L338" s="19"/>
      <c r="M338" s="20" t="b">
        <f aca="false">AND(B338&lt;&gt;"",B338&gt;='Read Me'!$B$5,H338&lt;&gt;"")</f>
        <v>0</v>
      </c>
      <c r="N338" s="21" t="str">
        <f aca="false">IF(OR(D338="",E338=""),"",ABS(D338-E338))</f>
        <v/>
      </c>
      <c r="O338" s="22" t="str">
        <f aca="false">IF(OR(H338="",N338="",N338=0),"",IF(C338="BUY",1,-1)*(H338-D338)/N338)</f>
        <v/>
      </c>
      <c r="P338" s="23" t="str">
        <f aca="false">IF(OR(H338="",D338="",K338=""),"",IF(C338="BUY",1,-1)*(H338-D338)*K338*'Read Me'!$B$10-L338)</f>
        <v/>
      </c>
      <c r="Q338" s="4" t="str">
        <f aca="false">IF(O338="","",IF(O338&gt;0,"WIN","LOSS"))</f>
        <v/>
      </c>
      <c r="R338" s="22" t="str">
        <f aca="false">IF(AND(M338,O338&lt;&gt;""),O338,"")</f>
        <v/>
      </c>
      <c r="S338" s="22" t="n">
        <f aca="false">S337+IF(R338="",0,R338)</f>
        <v>0</v>
      </c>
      <c r="T338" s="22" t="n">
        <f aca="false">MAX(T337,S338)</f>
        <v>0</v>
      </c>
      <c r="U338" s="22" t="n">
        <f aca="false">T338-S338</f>
        <v>0</v>
      </c>
      <c r="V338" s="16"/>
    </row>
    <row r="339" customFormat="false" ht="15" hidden="false" customHeight="true" outlineLevel="0" collapsed="false">
      <c r="A339" s="4" t="str">
        <f aca="false">IF(B339="","",ROW()-1)</f>
        <v/>
      </c>
      <c r="B339" s="15"/>
      <c r="C339" s="16"/>
      <c r="D339" s="17"/>
      <c r="E339" s="17"/>
      <c r="F339" s="17"/>
      <c r="G339" s="18"/>
      <c r="H339" s="17"/>
      <c r="I339" s="16"/>
      <c r="J339" s="16"/>
      <c r="K339" s="17"/>
      <c r="L339" s="19"/>
      <c r="M339" s="20" t="b">
        <f aca="false">AND(B339&lt;&gt;"",B339&gt;='Read Me'!$B$5,H339&lt;&gt;"")</f>
        <v>0</v>
      </c>
      <c r="N339" s="21" t="str">
        <f aca="false">IF(OR(D339="",E339=""),"",ABS(D339-E339))</f>
        <v/>
      </c>
      <c r="O339" s="22" t="str">
        <f aca="false">IF(OR(H339="",N339="",N339=0),"",IF(C339="BUY",1,-1)*(H339-D339)/N339)</f>
        <v/>
      </c>
      <c r="P339" s="23" t="str">
        <f aca="false">IF(OR(H339="",D339="",K339=""),"",IF(C339="BUY",1,-1)*(H339-D339)*K339*'Read Me'!$B$10-L339)</f>
        <v/>
      </c>
      <c r="Q339" s="4" t="str">
        <f aca="false">IF(O339="","",IF(O339&gt;0,"WIN","LOSS"))</f>
        <v/>
      </c>
      <c r="R339" s="22" t="str">
        <f aca="false">IF(AND(M339,O339&lt;&gt;""),O339,"")</f>
        <v/>
      </c>
      <c r="S339" s="22" t="n">
        <f aca="false">S338+IF(R339="",0,R339)</f>
        <v>0</v>
      </c>
      <c r="T339" s="22" t="n">
        <f aca="false">MAX(T338,S339)</f>
        <v>0</v>
      </c>
      <c r="U339" s="22" t="n">
        <f aca="false">T339-S339</f>
        <v>0</v>
      </c>
      <c r="V339" s="16"/>
    </row>
    <row r="340" customFormat="false" ht="15" hidden="false" customHeight="true" outlineLevel="0" collapsed="false">
      <c r="A340" s="4" t="str">
        <f aca="false">IF(B340="","",ROW()-1)</f>
        <v/>
      </c>
      <c r="B340" s="15"/>
      <c r="C340" s="16"/>
      <c r="D340" s="17"/>
      <c r="E340" s="17"/>
      <c r="F340" s="17"/>
      <c r="G340" s="18"/>
      <c r="H340" s="17"/>
      <c r="I340" s="16"/>
      <c r="J340" s="16"/>
      <c r="K340" s="17"/>
      <c r="L340" s="19"/>
      <c r="M340" s="20" t="b">
        <f aca="false">AND(B340&lt;&gt;"",B340&gt;='Read Me'!$B$5,H340&lt;&gt;"")</f>
        <v>0</v>
      </c>
      <c r="N340" s="21" t="str">
        <f aca="false">IF(OR(D340="",E340=""),"",ABS(D340-E340))</f>
        <v/>
      </c>
      <c r="O340" s="22" t="str">
        <f aca="false">IF(OR(H340="",N340="",N340=0),"",IF(C340="BUY",1,-1)*(H340-D340)/N340)</f>
        <v/>
      </c>
      <c r="P340" s="23" t="str">
        <f aca="false">IF(OR(H340="",D340="",K340=""),"",IF(C340="BUY",1,-1)*(H340-D340)*K340*'Read Me'!$B$10-L340)</f>
        <v/>
      </c>
      <c r="Q340" s="4" t="str">
        <f aca="false">IF(O340="","",IF(O340&gt;0,"WIN","LOSS"))</f>
        <v/>
      </c>
      <c r="R340" s="22" t="str">
        <f aca="false">IF(AND(M340,O340&lt;&gt;""),O340,"")</f>
        <v/>
      </c>
      <c r="S340" s="22" t="n">
        <f aca="false">S339+IF(R340="",0,R340)</f>
        <v>0</v>
      </c>
      <c r="T340" s="22" t="n">
        <f aca="false">MAX(T339,S340)</f>
        <v>0</v>
      </c>
      <c r="U340" s="22" t="n">
        <f aca="false">T340-S340</f>
        <v>0</v>
      </c>
      <c r="V340" s="16"/>
    </row>
    <row r="341" customFormat="false" ht="15" hidden="false" customHeight="true" outlineLevel="0" collapsed="false">
      <c r="A341" s="4" t="str">
        <f aca="false">IF(B341="","",ROW()-1)</f>
        <v/>
      </c>
      <c r="B341" s="15"/>
      <c r="C341" s="16"/>
      <c r="D341" s="17"/>
      <c r="E341" s="17"/>
      <c r="F341" s="17"/>
      <c r="G341" s="18"/>
      <c r="H341" s="17"/>
      <c r="I341" s="16"/>
      <c r="J341" s="16"/>
      <c r="K341" s="17"/>
      <c r="L341" s="19"/>
      <c r="M341" s="20" t="b">
        <f aca="false">AND(B341&lt;&gt;"",B341&gt;='Read Me'!$B$5,H341&lt;&gt;"")</f>
        <v>0</v>
      </c>
      <c r="N341" s="21" t="str">
        <f aca="false">IF(OR(D341="",E341=""),"",ABS(D341-E341))</f>
        <v/>
      </c>
      <c r="O341" s="22" t="str">
        <f aca="false">IF(OR(H341="",N341="",N341=0),"",IF(C341="BUY",1,-1)*(H341-D341)/N341)</f>
        <v/>
      </c>
      <c r="P341" s="23" t="str">
        <f aca="false">IF(OR(H341="",D341="",K341=""),"",IF(C341="BUY",1,-1)*(H341-D341)*K341*'Read Me'!$B$10-L341)</f>
        <v/>
      </c>
      <c r="Q341" s="4" t="str">
        <f aca="false">IF(O341="","",IF(O341&gt;0,"WIN","LOSS"))</f>
        <v/>
      </c>
      <c r="R341" s="22" t="str">
        <f aca="false">IF(AND(M341,O341&lt;&gt;""),O341,"")</f>
        <v/>
      </c>
      <c r="S341" s="22" t="n">
        <f aca="false">S340+IF(R341="",0,R341)</f>
        <v>0</v>
      </c>
      <c r="T341" s="22" t="n">
        <f aca="false">MAX(T340,S341)</f>
        <v>0</v>
      </c>
      <c r="U341" s="22" t="n">
        <f aca="false">T341-S341</f>
        <v>0</v>
      </c>
      <c r="V341" s="16"/>
    </row>
    <row r="342" customFormat="false" ht="15" hidden="false" customHeight="true" outlineLevel="0" collapsed="false">
      <c r="A342" s="4" t="str">
        <f aca="false">IF(B342="","",ROW()-1)</f>
        <v/>
      </c>
      <c r="B342" s="15"/>
      <c r="C342" s="16"/>
      <c r="D342" s="17"/>
      <c r="E342" s="17"/>
      <c r="F342" s="17"/>
      <c r="G342" s="18"/>
      <c r="H342" s="17"/>
      <c r="I342" s="16"/>
      <c r="J342" s="16"/>
      <c r="K342" s="17"/>
      <c r="L342" s="19"/>
      <c r="M342" s="20" t="b">
        <f aca="false">AND(B342&lt;&gt;"",B342&gt;='Read Me'!$B$5,H342&lt;&gt;"")</f>
        <v>0</v>
      </c>
      <c r="N342" s="21" t="str">
        <f aca="false">IF(OR(D342="",E342=""),"",ABS(D342-E342))</f>
        <v/>
      </c>
      <c r="O342" s="22" t="str">
        <f aca="false">IF(OR(H342="",N342="",N342=0),"",IF(C342="BUY",1,-1)*(H342-D342)/N342)</f>
        <v/>
      </c>
      <c r="P342" s="23" t="str">
        <f aca="false">IF(OR(H342="",D342="",K342=""),"",IF(C342="BUY",1,-1)*(H342-D342)*K342*'Read Me'!$B$10-L342)</f>
        <v/>
      </c>
      <c r="Q342" s="4" t="str">
        <f aca="false">IF(O342="","",IF(O342&gt;0,"WIN","LOSS"))</f>
        <v/>
      </c>
      <c r="R342" s="22" t="str">
        <f aca="false">IF(AND(M342,O342&lt;&gt;""),O342,"")</f>
        <v/>
      </c>
      <c r="S342" s="22" t="n">
        <f aca="false">S341+IF(R342="",0,R342)</f>
        <v>0</v>
      </c>
      <c r="T342" s="22" t="n">
        <f aca="false">MAX(T341,S342)</f>
        <v>0</v>
      </c>
      <c r="U342" s="22" t="n">
        <f aca="false">T342-S342</f>
        <v>0</v>
      </c>
      <c r="V342" s="16"/>
    </row>
    <row r="343" customFormat="false" ht="15" hidden="false" customHeight="true" outlineLevel="0" collapsed="false">
      <c r="A343" s="4" t="str">
        <f aca="false">IF(B343="","",ROW()-1)</f>
        <v/>
      </c>
      <c r="B343" s="15"/>
      <c r="C343" s="16"/>
      <c r="D343" s="17"/>
      <c r="E343" s="17"/>
      <c r="F343" s="17"/>
      <c r="G343" s="18"/>
      <c r="H343" s="17"/>
      <c r="I343" s="16"/>
      <c r="J343" s="16"/>
      <c r="K343" s="17"/>
      <c r="L343" s="19"/>
      <c r="M343" s="20" t="b">
        <f aca="false">AND(B343&lt;&gt;"",B343&gt;='Read Me'!$B$5,H343&lt;&gt;"")</f>
        <v>0</v>
      </c>
      <c r="N343" s="21" t="str">
        <f aca="false">IF(OR(D343="",E343=""),"",ABS(D343-E343))</f>
        <v/>
      </c>
      <c r="O343" s="22" t="str">
        <f aca="false">IF(OR(H343="",N343="",N343=0),"",IF(C343="BUY",1,-1)*(H343-D343)/N343)</f>
        <v/>
      </c>
      <c r="P343" s="23" t="str">
        <f aca="false">IF(OR(H343="",D343="",K343=""),"",IF(C343="BUY",1,-1)*(H343-D343)*K343*'Read Me'!$B$10-L343)</f>
        <v/>
      </c>
      <c r="Q343" s="4" t="str">
        <f aca="false">IF(O343="","",IF(O343&gt;0,"WIN","LOSS"))</f>
        <v/>
      </c>
      <c r="R343" s="22" t="str">
        <f aca="false">IF(AND(M343,O343&lt;&gt;""),O343,"")</f>
        <v/>
      </c>
      <c r="S343" s="22" t="n">
        <f aca="false">S342+IF(R343="",0,R343)</f>
        <v>0</v>
      </c>
      <c r="T343" s="22" t="n">
        <f aca="false">MAX(T342,S343)</f>
        <v>0</v>
      </c>
      <c r="U343" s="22" t="n">
        <f aca="false">T343-S343</f>
        <v>0</v>
      </c>
      <c r="V343" s="16"/>
    </row>
    <row r="344" customFormat="false" ht="15" hidden="false" customHeight="true" outlineLevel="0" collapsed="false">
      <c r="A344" s="4" t="str">
        <f aca="false">IF(B344="","",ROW()-1)</f>
        <v/>
      </c>
      <c r="B344" s="15"/>
      <c r="C344" s="16"/>
      <c r="D344" s="17"/>
      <c r="E344" s="17"/>
      <c r="F344" s="17"/>
      <c r="G344" s="18"/>
      <c r="H344" s="17"/>
      <c r="I344" s="16"/>
      <c r="J344" s="16"/>
      <c r="K344" s="17"/>
      <c r="L344" s="19"/>
      <c r="M344" s="20" t="b">
        <f aca="false">AND(B344&lt;&gt;"",B344&gt;='Read Me'!$B$5,H344&lt;&gt;"")</f>
        <v>0</v>
      </c>
      <c r="N344" s="21" t="str">
        <f aca="false">IF(OR(D344="",E344=""),"",ABS(D344-E344))</f>
        <v/>
      </c>
      <c r="O344" s="22" t="str">
        <f aca="false">IF(OR(H344="",N344="",N344=0),"",IF(C344="BUY",1,-1)*(H344-D344)/N344)</f>
        <v/>
      </c>
      <c r="P344" s="23" t="str">
        <f aca="false">IF(OR(H344="",D344="",K344=""),"",IF(C344="BUY",1,-1)*(H344-D344)*K344*'Read Me'!$B$10-L344)</f>
        <v/>
      </c>
      <c r="Q344" s="4" t="str">
        <f aca="false">IF(O344="","",IF(O344&gt;0,"WIN","LOSS"))</f>
        <v/>
      </c>
      <c r="R344" s="22" t="str">
        <f aca="false">IF(AND(M344,O344&lt;&gt;""),O344,"")</f>
        <v/>
      </c>
      <c r="S344" s="22" t="n">
        <f aca="false">S343+IF(R344="",0,R344)</f>
        <v>0</v>
      </c>
      <c r="T344" s="22" t="n">
        <f aca="false">MAX(T343,S344)</f>
        <v>0</v>
      </c>
      <c r="U344" s="22" t="n">
        <f aca="false">T344-S344</f>
        <v>0</v>
      </c>
      <c r="V344" s="16"/>
    </row>
    <row r="345" customFormat="false" ht="15" hidden="false" customHeight="true" outlineLevel="0" collapsed="false">
      <c r="A345" s="4" t="str">
        <f aca="false">IF(B345="","",ROW()-1)</f>
        <v/>
      </c>
      <c r="B345" s="15"/>
      <c r="C345" s="16"/>
      <c r="D345" s="17"/>
      <c r="E345" s="17"/>
      <c r="F345" s="17"/>
      <c r="G345" s="18"/>
      <c r="H345" s="17"/>
      <c r="I345" s="16"/>
      <c r="J345" s="16"/>
      <c r="K345" s="17"/>
      <c r="L345" s="19"/>
      <c r="M345" s="20" t="b">
        <f aca="false">AND(B345&lt;&gt;"",B345&gt;='Read Me'!$B$5,H345&lt;&gt;"")</f>
        <v>0</v>
      </c>
      <c r="N345" s="21" t="str">
        <f aca="false">IF(OR(D345="",E345=""),"",ABS(D345-E345))</f>
        <v/>
      </c>
      <c r="O345" s="22" t="str">
        <f aca="false">IF(OR(H345="",N345="",N345=0),"",IF(C345="BUY",1,-1)*(H345-D345)/N345)</f>
        <v/>
      </c>
      <c r="P345" s="23" t="str">
        <f aca="false">IF(OR(H345="",D345="",K345=""),"",IF(C345="BUY",1,-1)*(H345-D345)*K345*'Read Me'!$B$10-L345)</f>
        <v/>
      </c>
      <c r="Q345" s="4" t="str">
        <f aca="false">IF(O345="","",IF(O345&gt;0,"WIN","LOSS"))</f>
        <v/>
      </c>
      <c r="R345" s="22" t="str">
        <f aca="false">IF(AND(M345,O345&lt;&gt;""),O345,"")</f>
        <v/>
      </c>
      <c r="S345" s="22" t="n">
        <f aca="false">S344+IF(R345="",0,R345)</f>
        <v>0</v>
      </c>
      <c r="T345" s="22" t="n">
        <f aca="false">MAX(T344,S345)</f>
        <v>0</v>
      </c>
      <c r="U345" s="22" t="n">
        <f aca="false">T345-S345</f>
        <v>0</v>
      </c>
      <c r="V345" s="16"/>
    </row>
    <row r="346" customFormat="false" ht="15" hidden="false" customHeight="true" outlineLevel="0" collapsed="false">
      <c r="A346" s="4" t="str">
        <f aca="false">IF(B346="","",ROW()-1)</f>
        <v/>
      </c>
      <c r="B346" s="15"/>
      <c r="C346" s="16"/>
      <c r="D346" s="17"/>
      <c r="E346" s="17"/>
      <c r="F346" s="17"/>
      <c r="G346" s="18"/>
      <c r="H346" s="17"/>
      <c r="I346" s="16"/>
      <c r="J346" s="16"/>
      <c r="K346" s="17"/>
      <c r="L346" s="19"/>
      <c r="M346" s="20" t="b">
        <f aca="false">AND(B346&lt;&gt;"",B346&gt;='Read Me'!$B$5,H346&lt;&gt;"")</f>
        <v>0</v>
      </c>
      <c r="N346" s="21" t="str">
        <f aca="false">IF(OR(D346="",E346=""),"",ABS(D346-E346))</f>
        <v/>
      </c>
      <c r="O346" s="22" t="str">
        <f aca="false">IF(OR(H346="",N346="",N346=0),"",IF(C346="BUY",1,-1)*(H346-D346)/N346)</f>
        <v/>
      </c>
      <c r="P346" s="23" t="str">
        <f aca="false">IF(OR(H346="",D346="",K346=""),"",IF(C346="BUY",1,-1)*(H346-D346)*K346*'Read Me'!$B$10-L346)</f>
        <v/>
      </c>
      <c r="Q346" s="4" t="str">
        <f aca="false">IF(O346="","",IF(O346&gt;0,"WIN","LOSS"))</f>
        <v/>
      </c>
      <c r="R346" s="22" t="str">
        <f aca="false">IF(AND(M346,O346&lt;&gt;""),O346,"")</f>
        <v/>
      </c>
      <c r="S346" s="22" t="n">
        <f aca="false">S345+IF(R346="",0,R346)</f>
        <v>0</v>
      </c>
      <c r="T346" s="22" t="n">
        <f aca="false">MAX(T345,S346)</f>
        <v>0</v>
      </c>
      <c r="U346" s="22" t="n">
        <f aca="false">T346-S346</f>
        <v>0</v>
      </c>
      <c r="V346" s="16"/>
    </row>
    <row r="347" customFormat="false" ht="15" hidden="false" customHeight="true" outlineLevel="0" collapsed="false">
      <c r="A347" s="4" t="str">
        <f aca="false">IF(B347="","",ROW()-1)</f>
        <v/>
      </c>
      <c r="B347" s="15"/>
      <c r="C347" s="16"/>
      <c r="D347" s="17"/>
      <c r="E347" s="17"/>
      <c r="F347" s="17"/>
      <c r="G347" s="18"/>
      <c r="H347" s="17"/>
      <c r="I347" s="16"/>
      <c r="J347" s="16"/>
      <c r="K347" s="17"/>
      <c r="L347" s="19"/>
      <c r="M347" s="20" t="b">
        <f aca="false">AND(B347&lt;&gt;"",B347&gt;='Read Me'!$B$5,H347&lt;&gt;"")</f>
        <v>0</v>
      </c>
      <c r="N347" s="21" t="str">
        <f aca="false">IF(OR(D347="",E347=""),"",ABS(D347-E347))</f>
        <v/>
      </c>
      <c r="O347" s="22" t="str">
        <f aca="false">IF(OR(H347="",N347="",N347=0),"",IF(C347="BUY",1,-1)*(H347-D347)/N347)</f>
        <v/>
      </c>
      <c r="P347" s="23" t="str">
        <f aca="false">IF(OR(H347="",D347="",K347=""),"",IF(C347="BUY",1,-1)*(H347-D347)*K347*'Read Me'!$B$10-L347)</f>
        <v/>
      </c>
      <c r="Q347" s="4" t="str">
        <f aca="false">IF(O347="","",IF(O347&gt;0,"WIN","LOSS"))</f>
        <v/>
      </c>
      <c r="R347" s="22" t="str">
        <f aca="false">IF(AND(M347,O347&lt;&gt;""),O347,"")</f>
        <v/>
      </c>
      <c r="S347" s="22" t="n">
        <f aca="false">S346+IF(R347="",0,R347)</f>
        <v>0</v>
      </c>
      <c r="T347" s="22" t="n">
        <f aca="false">MAX(T346,S347)</f>
        <v>0</v>
      </c>
      <c r="U347" s="22" t="n">
        <f aca="false">T347-S347</f>
        <v>0</v>
      </c>
      <c r="V347" s="16"/>
    </row>
    <row r="348" customFormat="false" ht="15" hidden="false" customHeight="true" outlineLevel="0" collapsed="false">
      <c r="A348" s="4" t="str">
        <f aca="false">IF(B348="","",ROW()-1)</f>
        <v/>
      </c>
      <c r="B348" s="15"/>
      <c r="C348" s="16"/>
      <c r="D348" s="17"/>
      <c r="E348" s="17"/>
      <c r="F348" s="17"/>
      <c r="G348" s="18"/>
      <c r="H348" s="17"/>
      <c r="I348" s="16"/>
      <c r="J348" s="16"/>
      <c r="K348" s="17"/>
      <c r="L348" s="19"/>
      <c r="M348" s="20" t="b">
        <f aca="false">AND(B348&lt;&gt;"",B348&gt;='Read Me'!$B$5,H348&lt;&gt;"")</f>
        <v>0</v>
      </c>
      <c r="N348" s="21" t="str">
        <f aca="false">IF(OR(D348="",E348=""),"",ABS(D348-E348))</f>
        <v/>
      </c>
      <c r="O348" s="22" t="str">
        <f aca="false">IF(OR(H348="",N348="",N348=0),"",IF(C348="BUY",1,-1)*(H348-D348)/N348)</f>
        <v/>
      </c>
      <c r="P348" s="23" t="str">
        <f aca="false">IF(OR(H348="",D348="",K348=""),"",IF(C348="BUY",1,-1)*(H348-D348)*K348*'Read Me'!$B$10-L348)</f>
        <v/>
      </c>
      <c r="Q348" s="4" t="str">
        <f aca="false">IF(O348="","",IF(O348&gt;0,"WIN","LOSS"))</f>
        <v/>
      </c>
      <c r="R348" s="22" t="str">
        <f aca="false">IF(AND(M348,O348&lt;&gt;""),O348,"")</f>
        <v/>
      </c>
      <c r="S348" s="22" t="n">
        <f aca="false">S347+IF(R348="",0,R348)</f>
        <v>0</v>
      </c>
      <c r="T348" s="22" t="n">
        <f aca="false">MAX(T347,S348)</f>
        <v>0</v>
      </c>
      <c r="U348" s="22" t="n">
        <f aca="false">T348-S348</f>
        <v>0</v>
      </c>
      <c r="V348" s="16"/>
    </row>
    <row r="349" customFormat="false" ht="15" hidden="false" customHeight="true" outlineLevel="0" collapsed="false">
      <c r="A349" s="4" t="str">
        <f aca="false">IF(B349="","",ROW()-1)</f>
        <v/>
      </c>
      <c r="B349" s="15"/>
      <c r="C349" s="16"/>
      <c r="D349" s="17"/>
      <c r="E349" s="17"/>
      <c r="F349" s="17"/>
      <c r="G349" s="18"/>
      <c r="H349" s="17"/>
      <c r="I349" s="16"/>
      <c r="J349" s="16"/>
      <c r="K349" s="17"/>
      <c r="L349" s="19"/>
      <c r="M349" s="20" t="b">
        <f aca="false">AND(B349&lt;&gt;"",B349&gt;='Read Me'!$B$5,H349&lt;&gt;"")</f>
        <v>0</v>
      </c>
      <c r="N349" s="21" t="str">
        <f aca="false">IF(OR(D349="",E349=""),"",ABS(D349-E349))</f>
        <v/>
      </c>
      <c r="O349" s="22" t="str">
        <f aca="false">IF(OR(H349="",N349="",N349=0),"",IF(C349="BUY",1,-1)*(H349-D349)/N349)</f>
        <v/>
      </c>
      <c r="P349" s="23" t="str">
        <f aca="false">IF(OR(H349="",D349="",K349=""),"",IF(C349="BUY",1,-1)*(H349-D349)*K349*'Read Me'!$B$10-L349)</f>
        <v/>
      </c>
      <c r="Q349" s="4" t="str">
        <f aca="false">IF(O349="","",IF(O349&gt;0,"WIN","LOSS"))</f>
        <v/>
      </c>
      <c r="R349" s="22" t="str">
        <f aca="false">IF(AND(M349,O349&lt;&gt;""),O349,"")</f>
        <v/>
      </c>
      <c r="S349" s="22" t="n">
        <f aca="false">S348+IF(R349="",0,R349)</f>
        <v>0</v>
      </c>
      <c r="T349" s="22" t="n">
        <f aca="false">MAX(T348,S349)</f>
        <v>0</v>
      </c>
      <c r="U349" s="22" t="n">
        <f aca="false">T349-S349</f>
        <v>0</v>
      </c>
      <c r="V349" s="16"/>
    </row>
    <row r="350" customFormat="false" ht="15" hidden="false" customHeight="true" outlineLevel="0" collapsed="false">
      <c r="A350" s="4" t="str">
        <f aca="false">IF(B350="","",ROW()-1)</f>
        <v/>
      </c>
      <c r="B350" s="15"/>
      <c r="C350" s="16"/>
      <c r="D350" s="17"/>
      <c r="E350" s="17"/>
      <c r="F350" s="17"/>
      <c r="G350" s="18"/>
      <c r="H350" s="17"/>
      <c r="I350" s="16"/>
      <c r="J350" s="16"/>
      <c r="K350" s="17"/>
      <c r="L350" s="19"/>
      <c r="M350" s="20" t="b">
        <f aca="false">AND(B350&lt;&gt;"",B350&gt;='Read Me'!$B$5,H350&lt;&gt;"")</f>
        <v>0</v>
      </c>
      <c r="N350" s="21" t="str">
        <f aca="false">IF(OR(D350="",E350=""),"",ABS(D350-E350))</f>
        <v/>
      </c>
      <c r="O350" s="22" t="str">
        <f aca="false">IF(OR(H350="",N350="",N350=0),"",IF(C350="BUY",1,-1)*(H350-D350)/N350)</f>
        <v/>
      </c>
      <c r="P350" s="23" t="str">
        <f aca="false">IF(OR(H350="",D350="",K350=""),"",IF(C350="BUY",1,-1)*(H350-D350)*K350*'Read Me'!$B$10-L350)</f>
        <v/>
      </c>
      <c r="Q350" s="4" t="str">
        <f aca="false">IF(O350="","",IF(O350&gt;0,"WIN","LOSS"))</f>
        <v/>
      </c>
      <c r="R350" s="22" t="str">
        <f aca="false">IF(AND(M350,O350&lt;&gt;""),O350,"")</f>
        <v/>
      </c>
      <c r="S350" s="22" t="n">
        <f aca="false">S349+IF(R350="",0,R350)</f>
        <v>0</v>
      </c>
      <c r="T350" s="22" t="n">
        <f aca="false">MAX(T349,S350)</f>
        <v>0</v>
      </c>
      <c r="U350" s="22" t="n">
        <f aca="false">T350-S350</f>
        <v>0</v>
      </c>
      <c r="V350" s="16"/>
    </row>
    <row r="351" customFormat="false" ht="15" hidden="false" customHeight="true" outlineLevel="0" collapsed="false">
      <c r="A351" s="4" t="str">
        <f aca="false">IF(B351="","",ROW()-1)</f>
        <v/>
      </c>
      <c r="B351" s="15"/>
      <c r="C351" s="16"/>
      <c r="D351" s="17"/>
      <c r="E351" s="17"/>
      <c r="F351" s="17"/>
      <c r="G351" s="18"/>
      <c r="H351" s="17"/>
      <c r="I351" s="16"/>
      <c r="J351" s="16"/>
      <c r="K351" s="17"/>
      <c r="L351" s="19"/>
      <c r="M351" s="20" t="b">
        <f aca="false">AND(B351&lt;&gt;"",B351&gt;='Read Me'!$B$5,H351&lt;&gt;"")</f>
        <v>0</v>
      </c>
      <c r="N351" s="21" t="str">
        <f aca="false">IF(OR(D351="",E351=""),"",ABS(D351-E351))</f>
        <v/>
      </c>
      <c r="O351" s="22" t="str">
        <f aca="false">IF(OR(H351="",N351="",N351=0),"",IF(C351="BUY",1,-1)*(H351-D351)/N351)</f>
        <v/>
      </c>
      <c r="P351" s="23" t="str">
        <f aca="false">IF(OR(H351="",D351="",K351=""),"",IF(C351="BUY",1,-1)*(H351-D351)*K351*'Read Me'!$B$10-L351)</f>
        <v/>
      </c>
      <c r="Q351" s="4" t="str">
        <f aca="false">IF(O351="","",IF(O351&gt;0,"WIN","LOSS"))</f>
        <v/>
      </c>
      <c r="R351" s="22" t="str">
        <f aca="false">IF(AND(M351,O351&lt;&gt;""),O351,"")</f>
        <v/>
      </c>
      <c r="S351" s="22" t="n">
        <f aca="false">S350+IF(R351="",0,R351)</f>
        <v>0</v>
      </c>
      <c r="T351" s="22" t="n">
        <f aca="false">MAX(T350,S351)</f>
        <v>0</v>
      </c>
      <c r="U351" s="22" t="n">
        <f aca="false">T351-S351</f>
        <v>0</v>
      </c>
      <c r="V351" s="16"/>
    </row>
    <row r="352" customFormat="false" ht="15" hidden="false" customHeight="true" outlineLevel="0" collapsed="false">
      <c r="A352" s="4" t="str">
        <f aca="false">IF(B352="","",ROW()-1)</f>
        <v/>
      </c>
      <c r="B352" s="15"/>
      <c r="C352" s="16"/>
      <c r="D352" s="17"/>
      <c r="E352" s="17"/>
      <c r="F352" s="17"/>
      <c r="G352" s="18"/>
      <c r="H352" s="17"/>
      <c r="I352" s="16"/>
      <c r="J352" s="16"/>
      <c r="K352" s="17"/>
      <c r="L352" s="19"/>
      <c r="M352" s="20" t="b">
        <f aca="false">AND(B352&lt;&gt;"",B352&gt;='Read Me'!$B$5,H352&lt;&gt;"")</f>
        <v>0</v>
      </c>
      <c r="N352" s="21" t="str">
        <f aca="false">IF(OR(D352="",E352=""),"",ABS(D352-E352))</f>
        <v/>
      </c>
      <c r="O352" s="22" t="str">
        <f aca="false">IF(OR(H352="",N352="",N352=0),"",IF(C352="BUY",1,-1)*(H352-D352)/N352)</f>
        <v/>
      </c>
      <c r="P352" s="23" t="str">
        <f aca="false">IF(OR(H352="",D352="",K352=""),"",IF(C352="BUY",1,-1)*(H352-D352)*K352*'Read Me'!$B$10-L352)</f>
        <v/>
      </c>
      <c r="Q352" s="4" t="str">
        <f aca="false">IF(O352="","",IF(O352&gt;0,"WIN","LOSS"))</f>
        <v/>
      </c>
      <c r="R352" s="22" t="str">
        <f aca="false">IF(AND(M352,O352&lt;&gt;""),O352,"")</f>
        <v/>
      </c>
      <c r="S352" s="22" t="n">
        <f aca="false">S351+IF(R352="",0,R352)</f>
        <v>0</v>
      </c>
      <c r="T352" s="22" t="n">
        <f aca="false">MAX(T351,S352)</f>
        <v>0</v>
      </c>
      <c r="U352" s="22" t="n">
        <f aca="false">T352-S352</f>
        <v>0</v>
      </c>
      <c r="V352" s="16"/>
    </row>
    <row r="353" customFormat="false" ht="15" hidden="false" customHeight="true" outlineLevel="0" collapsed="false">
      <c r="A353" s="4" t="str">
        <f aca="false">IF(B353="","",ROW()-1)</f>
        <v/>
      </c>
      <c r="B353" s="15"/>
      <c r="C353" s="16"/>
      <c r="D353" s="17"/>
      <c r="E353" s="17"/>
      <c r="F353" s="17"/>
      <c r="G353" s="18"/>
      <c r="H353" s="17"/>
      <c r="I353" s="16"/>
      <c r="J353" s="16"/>
      <c r="K353" s="17"/>
      <c r="L353" s="19"/>
      <c r="M353" s="20" t="b">
        <f aca="false">AND(B353&lt;&gt;"",B353&gt;='Read Me'!$B$5,H353&lt;&gt;"")</f>
        <v>0</v>
      </c>
      <c r="N353" s="21" t="str">
        <f aca="false">IF(OR(D353="",E353=""),"",ABS(D353-E353))</f>
        <v/>
      </c>
      <c r="O353" s="22" t="str">
        <f aca="false">IF(OR(H353="",N353="",N353=0),"",IF(C353="BUY",1,-1)*(H353-D353)/N353)</f>
        <v/>
      </c>
      <c r="P353" s="23" t="str">
        <f aca="false">IF(OR(H353="",D353="",K353=""),"",IF(C353="BUY",1,-1)*(H353-D353)*K353*'Read Me'!$B$10-L353)</f>
        <v/>
      </c>
      <c r="Q353" s="4" t="str">
        <f aca="false">IF(O353="","",IF(O353&gt;0,"WIN","LOSS"))</f>
        <v/>
      </c>
      <c r="R353" s="22" t="str">
        <f aca="false">IF(AND(M353,O353&lt;&gt;""),O353,"")</f>
        <v/>
      </c>
      <c r="S353" s="22" t="n">
        <f aca="false">S352+IF(R353="",0,R353)</f>
        <v>0</v>
      </c>
      <c r="T353" s="22" t="n">
        <f aca="false">MAX(T352,S353)</f>
        <v>0</v>
      </c>
      <c r="U353" s="22" t="n">
        <f aca="false">T353-S353</f>
        <v>0</v>
      </c>
      <c r="V353" s="16"/>
    </row>
    <row r="354" customFormat="false" ht="15" hidden="false" customHeight="true" outlineLevel="0" collapsed="false">
      <c r="A354" s="4" t="str">
        <f aca="false">IF(B354="","",ROW()-1)</f>
        <v/>
      </c>
      <c r="B354" s="15"/>
      <c r="C354" s="16"/>
      <c r="D354" s="17"/>
      <c r="E354" s="17"/>
      <c r="F354" s="17"/>
      <c r="G354" s="18"/>
      <c r="H354" s="17"/>
      <c r="I354" s="16"/>
      <c r="J354" s="16"/>
      <c r="K354" s="17"/>
      <c r="L354" s="19"/>
      <c r="M354" s="20" t="b">
        <f aca="false">AND(B354&lt;&gt;"",B354&gt;='Read Me'!$B$5,H354&lt;&gt;"")</f>
        <v>0</v>
      </c>
      <c r="N354" s="21" t="str">
        <f aca="false">IF(OR(D354="",E354=""),"",ABS(D354-E354))</f>
        <v/>
      </c>
      <c r="O354" s="22" t="str">
        <f aca="false">IF(OR(H354="",N354="",N354=0),"",IF(C354="BUY",1,-1)*(H354-D354)/N354)</f>
        <v/>
      </c>
      <c r="P354" s="23" t="str">
        <f aca="false">IF(OR(H354="",D354="",K354=""),"",IF(C354="BUY",1,-1)*(H354-D354)*K354*'Read Me'!$B$10-L354)</f>
        <v/>
      </c>
      <c r="Q354" s="4" t="str">
        <f aca="false">IF(O354="","",IF(O354&gt;0,"WIN","LOSS"))</f>
        <v/>
      </c>
      <c r="R354" s="22" t="str">
        <f aca="false">IF(AND(M354,O354&lt;&gt;""),O354,"")</f>
        <v/>
      </c>
      <c r="S354" s="22" t="n">
        <f aca="false">S353+IF(R354="",0,R354)</f>
        <v>0</v>
      </c>
      <c r="T354" s="22" t="n">
        <f aca="false">MAX(T353,S354)</f>
        <v>0</v>
      </c>
      <c r="U354" s="22" t="n">
        <f aca="false">T354-S354</f>
        <v>0</v>
      </c>
      <c r="V354" s="16"/>
    </row>
    <row r="355" customFormat="false" ht="15" hidden="false" customHeight="true" outlineLevel="0" collapsed="false">
      <c r="A355" s="4" t="str">
        <f aca="false">IF(B355="","",ROW()-1)</f>
        <v/>
      </c>
      <c r="B355" s="15"/>
      <c r="C355" s="16"/>
      <c r="D355" s="17"/>
      <c r="E355" s="17"/>
      <c r="F355" s="17"/>
      <c r="G355" s="18"/>
      <c r="H355" s="17"/>
      <c r="I355" s="16"/>
      <c r="J355" s="16"/>
      <c r="K355" s="17"/>
      <c r="L355" s="19"/>
      <c r="M355" s="20" t="b">
        <f aca="false">AND(B355&lt;&gt;"",B355&gt;='Read Me'!$B$5,H355&lt;&gt;"")</f>
        <v>0</v>
      </c>
      <c r="N355" s="21" t="str">
        <f aca="false">IF(OR(D355="",E355=""),"",ABS(D355-E355))</f>
        <v/>
      </c>
      <c r="O355" s="22" t="str">
        <f aca="false">IF(OR(H355="",N355="",N355=0),"",IF(C355="BUY",1,-1)*(H355-D355)/N355)</f>
        <v/>
      </c>
      <c r="P355" s="23" t="str">
        <f aca="false">IF(OR(H355="",D355="",K355=""),"",IF(C355="BUY",1,-1)*(H355-D355)*K355*'Read Me'!$B$10-L355)</f>
        <v/>
      </c>
      <c r="Q355" s="4" t="str">
        <f aca="false">IF(O355="","",IF(O355&gt;0,"WIN","LOSS"))</f>
        <v/>
      </c>
      <c r="R355" s="22" t="str">
        <f aca="false">IF(AND(M355,O355&lt;&gt;""),O355,"")</f>
        <v/>
      </c>
      <c r="S355" s="22" t="n">
        <f aca="false">S354+IF(R355="",0,R355)</f>
        <v>0</v>
      </c>
      <c r="T355" s="22" t="n">
        <f aca="false">MAX(T354,S355)</f>
        <v>0</v>
      </c>
      <c r="U355" s="22" t="n">
        <f aca="false">T355-S355</f>
        <v>0</v>
      </c>
      <c r="V355" s="16"/>
    </row>
    <row r="356" customFormat="false" ht="15" hidden="false" customHeight="true" outlineLevel="0" collapsed="false">
      <c r="A356" s="4" t="str">
        <f aca="false">IF(B356="","",ROW()-1)</f>
        <v/>
      </c>
      <c r="B356" s="15"/>
      <c r="C356" s="16"/>
      <c r="D356" s="17"/>
      <c r="E356" s="17"/>
      <c r="F356" s="17"/>
      <c r="G356" s="18"/>
      <c r="H356" s="17"/>
      <c r="I356" s="16"/>
      <c r="J356" s="16"/>
      <c r="K356" s="17"/>
      <c r="L356" s="19"/>
      <c r="M356" s="20" t="b">
        <f aca="false">AND(B356&lt;&gt;"",B356&gt;='Read Me'!$B$5,H356&lt;&gt;"")</f>
        <v>0</v>
      </c>
      <c r="N356" s="21" t="str">
        <f aca="false">IF(OR(D356="",E356=""),"",ABS(D356-E356))</f>
        <v/>
      </c>
      <c r="O356" s="22" t="str">
        <f aca="false">IF(OR(H356="",N356="",N356=0),"",IF(C356="BUY",1,-1)*(H356-D356)/N356)</f>
        <v/>
      </c>
      <c r="P356" s="23" t="str">
        <f aca="false">IF(OR(H356="",D356="",K356=""),"",IF(C356="BUY",1,-1)*(H356-D356)*K356*'Read Me'!$B$10-L356)</f>
        <v/>
      </c>
      <c r="Q356" s="4" t="str">
        <f aca="false">IF(O356="","",IF(O356&gt;0,"WIN","LOSS"))</f>
        <v/>
      </c>
      <c r="R356" s="22" t="str">
        <f aca="false">IF(AND(M356,O356&lt;&gt;""),O356,"")</f>
        <v/>
      </c>
      <c r="S356" s="22" t="n">
        <f aca="false">S355+IF(R356="",0,R356)</f>
        <v>0</v>
      </c>
      <c r="T356" s="22" t="n">
        <f aca="false">MAX(T355,S356)</f>
        <v>0</v>
      </c>
      <c r="U356" s="22" t="n">
        <f aca="false">T356-S356</f>
        <v>0</v>
      </c>
      <c r="V356" s="16"/>
    </row>
    <row r="357" customFormat="false" ht="15" hidden="false" customHeight="true" outlineLevel="0" collapsed="false">
      <c r="A357" s="4" t="str">
        <f aca="false">IF(B357="","",ROW()-1)</f>
        <v/>
      </c>
      <c r="B357" s="15"/>
      <c r="C357" s="16"/>
      <c r="D357" s="17"/>
      <c r="E357" s="17"/>
      <c r="F357" s="17"/>
      <c r="G357" s="18"/>
      <c r="H357" s="17"/>
      <c r="I357" s="16"/>
      <c r="J357" s="16"/>
      <c r="K357" s="17"/>
      <c r="L357" s="19"/>
      <c r="M357" s="20" t="b">
        <f aca="false">AND(B357&lt;&gt;"",B357&gt;='Read Me'!$B$5,H357&lt;&gt;"")</f>
        <v>0</v>
      </c>
      <c r="N357" s="21" t="str">
        <f aca="false">IF(OR(D357="",E357=""),"",ABS(D357-E357))</f>
        <v/>
      </c>
      <c r="O357" s="22" t="str">
        <f aca="false">IF(OR(H357="",N357="",N357=0),"",IF(C357="BUY",1,-1)*(H357-D357)/N357)</f>
        <v/>
      </c>
      <c r="P357" s="23" t="str">
        <f aca="false">IF(OR(H357="",D357="",K357=""),"",IF(C357="BUY",1,-1)*(H357-D357)*K357*'Read Me'!$B$10-L357)</f>
        <v/>
      </c>
      <c r="Q357" s="4" t="str">
        <f aca="false">IF(O357="","",IF(O357&gt;0,"WIN","LOSS"))</f>
        <v/>
      </c>
      <c r="R357" s="22" t="str">
        <f aca="false">IF(AND(M357,O357&lt;&gt;""),O357,"")</f>
        <v/>
      </c>
      <c r="S357" s="22" t="n">
        <f aca="false">S356+IF(R357="",0,R357)</f>
        <v>0</v>
      </c>
      <c r="T357" s="22" t="n">
        <f aca="false">MAX(T356,S357)</f>
        <v>0</v>
      </c>
      <c r="U357" s="22" t="n">
        <f aca="false">T357-S357</f>
        <v>0</v>
      </c>
      <c r="V357" s="16"/>
    </row>
    <row r="358" customFormat="false" ht="15" hidden="false" customHeight="true" outlineLevel="0" collapsed="false">
      <c r="A358" s="4" t="str">
        <f aca="false">IF(B358="","",ROW()-1)</f>
        <v/>
      </c>
      <c r="B358" s="15"/>
      <c r="C358" s="16"/>
      <c r="D358" s="17"/>
      <c r="E358" s="17"/>
      <c r="F358" s="17"/>
      <c r="G358" s="18"/>
      <c r="H358" s="17"/>
      <c r="I358" s="16"/>
      <c r="J358" s="16"/>
      <c r="K358" s="17"/>
      <c r="L358" s="19"/>
      <c r="M358" s="20" t="b">
        <f aca="false">AND(B358&lt;&gt;"",B358&gt;='Read Me'!$B$5,H358&lt;&gt;"")</f>
        <v>0</v>
      </c>
      <c r="N358" s="21" t="str">
        <f aca="false">IF(OR(D358="",E358=""),"",ABS(D358-E358))</f>
        <v/>
      </c>
      <c r="O358" s="22" t="str">
        <f aca="false">IF(OR(H358="",N358="",N358=0),"",IF(C358="BUY",1,-1)*(H358-D358)/N358)</f>
        <v/>
      </c>
      <c r="P358" s="23" t="str">
        <f aca="false">IF(OR(H358="",D358="",K358=""),"",IF(C358="BUY",1,-1)*(H358-D358)*K358*'Read Me'!$B$10-L358)</f>
        <v/>
      </c>
      <c r="Q358" s="4" t="str">
        <f aca="false">IF(O358="","",IF(O358&gt;0,"WIN","LOSS"))</f>
        <v/>
      </c>
      <c r="R358" s="22" t="str">
        <f aca="false">IF(AND(M358,O358&lt;&gt;""),O358,"")</f>
        <v/>
      </c>
      <c r="S358" s="22" t="n">
        <f aca="false">S357+IF(R358="",0,R358)</f>
        <v>0</v>
      </c>
      <c r="T358" s="22" t="n">
        <f aca="false">MAX(T357,S358)</f>
        <v>0</v>
      </c>
      <c r="U358" s="22" t="n">
        <f aca="false">T358-S358</f>
        <v>0</v>
      </c>
      <c r="V358" s="16"/>
    </row>
    <row r="359" customFormat="false" ht="15" hidden="false" customHeight="true" outlineLevel="0" collapsed="false">
      <c r="A359" s="4" t="str">
        <f aca="false">IF(B359="","",ROW()-1)</f>
        <v/>
      </c>
      <c r="B359" s="15"/>
      <c r="C359" s="16"/>
      <c r="D359" s="17"/>
      <c r="E359" s="17"/>
      <c r="F359" s="17"/>
      <c r="G359" s="18"/>
      <c r="H359" s="17"/>
      <c r="I359" s="16"/>
      <c r="J359" s="16"/>
      <c r="K359" s="17"/>
      <c r="L359" s="19"/>
      <c r="M359" s="20" t="b">
        <f aca="false">AND(B359&lt;&gt;"",B359&gt;='Read Me'!$B$5,H359&lt;&gt;"")</f>
        <v>0</v>
      </c>
      <c r="N359" s="21" t="str">
        <f aca="false">IF(OR(D359="",E359=""),"",ABS(D359-E359))</f>
        <v/>
      </c>
      <c r="O359" s="22" t="str">
        <f aca="false">IF(OR(H359="",N359="",N359=0),"",IF(C359="BUY",1,-1)*(H359-D359)/N359)</f>
        <v/>
      </c>
      <c r="P359" s="23" t="str">
        <f aca="false">IF(OR(H359="",D359="",K359=""),"",IF(C359="BUY",1,-1)*(H359-D359)*K359*'Read Me'!$B$10-L359)</f>
        <v/>
      </c>
      <c r="Q359" s="4" t="str">
        <f aca="false">IF(O359="","",IF(O359&gt;0,"WIN","LOSS"))</f>
        <v/>
      </c>
      <c r="R359" s="22" t="str">
        <f aca="false">IF(AND(M359,O359&lt;&gt;""),O359,"")</f>
        <v/>
      </c>
      <c r="S359" s="22" t="n">
        <f aca="false">S358+IF(R359="",0,R359)</f>
        <v>0</v>
      </c>
      <c r="T359" s="22" t="n">
        <f aca="false">MAX(T358,S359)</f>
        <v>0</v>
      </c>
      <c r="U359" s="22" t="n">
        <f aca="false">T359-S359</f>
        <v>0</v>
      </c>
      <c r="V359" s="16"/>
    </row>
    <row r="360" customFormat="false" ht="15" hidden="false" customHeight="true" outlineLevel="0" collapsed="false">
      <c r="A360" s="4" t="str">
        <f aca="false">IF(B360="","",ROW()-1)</f>
        <v/>
      </c>
      <c r="B360" s="15"/>
      <c r="C360" s="16"/>
      <c r="D360" s="17"/>
      <c r="E360" s="17"/>
      <c r="F360" s="17"/>
      <c r="G360" s="18"/>
      <c r="H360" s="17"/>
      <c r="I360" s="16"/>
      <c r="J360" s="16"/>
      <c r="K360" s="17"/>
      <c r="L360" s="19"/>
      <c r="M360" s="20" t="b">
        <f aca="false">AND(B360&lt;&gt;"",B360&gt;='Read Me'!$B$5,H360&lt;&gt;"")</f>
        <v>0</v>
      </c>
      <c r="N360" s="21" t="str">
        <f aca="false">IF(OR(D360="",E360=""),"",ABS(D360-E360))</f>
        <v/>
      </c>
      <c r="O360" s="22" t="str">
        <f aca="false">IF(OR(H360="",N360="",N360=0),"",IF(C360="BUY",1,-1)*(H360-D360)/N360)</f>
        <v/>
      </c>
      <c r="P360" s="23" t="str">
        <f aca="false">IF(OR(H360="",D360="",K360=""),"",IF(C360="BUY",1,-1)*(H360-D360)*K360*'Read Me'!$B$10-L360)</f>
        <v/>
      </c>
      <c r="Q360" s="4" t="str">
        <f aca="false">IF(O360="","",IF(O360&gt;0,"WIN","LOSS"))</f>
        <v/>
      </c>
      <c r="R360" s="22" t="str">
        <f aca="false">IF(AND(M360,O360&lt;&gt;""),O360,"")</f>
        <v/>
      </c>
      <c r="S360" s="22" t="n">
        <f aca="false">S359+IF(R360="",0,R360)</f>
        <v>0</v>
      </c>
      <c r="T360" s="22" t="n">
        <f aca="false">MAX(T359,S360)</f>
        <v>0</v>
      </c>
      <c r="U360" s="22" t="n">
        <f aca="false">T360-S360</f>
        <v>0</v>
      </c>
      <c r="V360" s="16"/>
    </row>
    <row r="361" customFormat="false" ht="15" hidden="false" customHeight="true" outlineLevel="0" collapsed="false">
      <c r="A361" s="4" t="str">
        <f aca="false">IF(B361="","",ROW()-1)</f>
        <v/>
      </c>
      <c r="B361" s="15"/>
      <c r="C361" s="16"/>
      <c r="D361" s="17"/>
      <c r="E361" s="17"/>
      <c r="F361" s="17"/>
      <c r="G361" s="18"/>
      <c r="H361" s="17"/>
      <c r="I361" s="16"/>
      <c r="J361" s="16"/>
      <c r="K361" s="17"/>
      <c r="L361" s="19"/>
      <c r="M361" s="20" t="b">
        <f aca="false">AND(B361&lt;&gt;"",B361&gt;='Read Me'!$B$5,H361&lt;&gt;"")</f>
        <v>0</v>
      </c>
      <c r="N361" s="21" t="str">
        <f aca="false">IF(OR(D361="",E361=""),"",ABS(D361-E361))</f>
        <v/>
      </c>
      <c r="O361" s="22" t="str">
        <f aca="false">IF(OR(H361="",N361="",N361=0),"",IF(C361="BUY",1,-1)*(H361-D361)/N361)</f>
        <v/>
      </c>
      <c r="P361" s="23" t="str">
        <f aca="false">IF(OR(H361="",D361="",K361=""),"",IF(C361="BUY",1,-1)*(H361-D361)*K361*'Read Me'!$B$10-L361)</f>
        <v/>
      </c>
      <c r="Q361" s="4" t="str">
        <f aca="false">IF(O361="","",IF(O361&gt;0,"WIN","LOSS"))</f>
        <v/>
      </c>
      <c r="R361" s="22" t="str">
        <f aca="false">IF(AND(M361,O361&lt;&gt;""),O361,"")</f>
        <v/>
      </c>
      <c r="S361" s="22" t="n">
        <f aca="false">S360+IF(R361="",0,R361)</f>
        <v>0</v>
      </c>
      <c r="T361" s="22" t="n">
        <f aca="false">MAX(T360,S361)</f>
        <v>0</v>
      </c>
      <c r="U361" s="22" t="n">
        <f aca="false">T361-S361</f>
        <v>0</v>
      </c>
      <c r="V361" s="16"/>
    </row>
    <row r="362" customFormat="false" ht="15" hidden="false" customHeight="true" outlineLevel="0" collapsed="false">
      <c r="A362" s="4" t="str">
        <f aca="false">IF(B362="","",ROW()-1)</f>
        <v/>
      </c>
      <c r="B362" s="15"/>
      <c r="C362" s="16"/>
      <c r="D362" s="17"/>
      <c r="E362" s="17"/>
      <c r="F362" s="17"/>
      <c r="G362" s="18"/>
      <c r="H362" s="17"/>
      <c r="I362" s="16"/>
      <c r="J362" s="16"/>
      <c r="K362" s="17"/>
      <c r="L362" s="19"/>
      <c r="M362" s="20" t="b">
        <f aca="false">AND(B362&lt;&gt;"",B362&gt;='Read Me'!$B$5,H362&lt;&gt;"")</f>
        <v>0</v>
      </c>
      <c r="N362" s="21" t="str">
        <f aca="false">IF(OR(D362="",E362=""),"",ABS(D362-E362))</f>
        <v/>
      </c>
      <c r="O362" s="22" t="str">
        <f aca="false">IF(OR(H362="",N362="",N362=0),"",IF(C362="BUY",1,-1)*(H362-D362)/N362)</f>
        <v/>
      </c>
      <c r="P362" s="23" t="str">
        <f aca="false">IF(OR(H362="",D362="",K362=""),"",IF(C362="BUY",1,-1)*(H362-D362)*K362*'Read Me'!$B$10-L362)</f>
        <v/>
      </c>
      <c r="Q362" s="4" t="str">
        <f aca="false">IF(O362="","",IF(O362&gt;0,"WIN","LOSS"))</f>
        <v/>
      </c>
      <c r="R362" s="22" t="str">
        <f aca="false">IF(AND(M362,O362&lt;&gt;""),O362,"")</f>
        <v/>
      </c>
      <c r="S362" s="22" t="n">
        <f aca="false">S361+IF(R362="",0,R362)</f>
        <v>0</v>
      </c>
      <c r="T362" s="22" t="n">
        <f aca="false">MAX(T361,S362)</f>
        <v>0</v>
      </c>
      <c r="U362" s="22" t="n">
        <f aca="false">T362-S362</f>
        <v>0</v>
      </c>
      <c r="V362" s="16"/>
    </row>
    <row r="363" customFormat="false" ht="15" hidden="false" customHeight="true" outlineLevel="0" collapsed="false">
      <c r="A363" s="4" t="str">
        <f aca="false">IF(B363="","",ROW()-1)</f>
        <v/>
      </c>
      <c r="B363" s="15"/>
      <c r="C363" s="16"/>
      <c r="D363" s="17"/>
      <c r="E363" s="17"/>
      <c r="F363" s="17"/>
      <c r="G363" s="18"/>
      <c r="H363" s="17"/>
      <c r="I363" s="16"/>
      <c r="J363" s="16"/>
      <c r="K363" s="17"/>
      <c r="L363" s="19"/>
      <c r="M363" s="20" t="b">
        <f aca="false">AND(B363&lt;&gt;"",B363&gt;='Read Me'!$B$5,H363&lt;&gt;"")</f>
        <v>0</v>
      </c>
      <c r="N363" s="21" t="str">
        <f aca="false">IF(OR(D363="",E363=""),"",ABS(D363-E363))</f>
        <v/>
      </c>
      <c r="O363" s="22" t="str">
        <f aca="false">IF(OR(H363="",N363="",N363=0),"",IF(C363="BUY",1,-1)*(H363-D363)/N363)</f>
        <v/>
      </c>
      <c r="P363" s="23" t="str">
        <f aca="false">IF(OR(H363="",D363="",K363=""),"",IF(C363="BUY",1,-1)*(H363-D363)*K363*'Read Me'!$B$10-L363)</f>
        <v/>
      </c>
      <c r="Q363" s="4" t="str">
        <f aca="false">IF(O363="","",IF(O363&gt;0,"WIN","LOSS"))</f>
        <v/>
      </c>
      <c r="R363" s="22" t="str">
        <f aca="false">IF(AND(M363,O363&lt;&gt;""),O363,"")</f>
        <v/>
      </c>
      <c r="S363" s="22" t="n">
        <f aca="false">S362+IF(R363="",0,R363)</f>
        <v>0</v>
      </c>
      <c r="T363" s="22" t="n">
        <f aca="false">MAX(T362,S363)</f>
        <v>0</v>
      </c>
      <c r="U363" s="22" t="n">
        <f aca="false">T363-S363</f>
        <v>0</v>
      </c>
      <c r="V363" s="16"/>
    </row>
    <row r="364" customFormat="false" ht="15" hidden="false" customHeight="true" outlineLevel="0" collapsed="false">
      <c r="A364" s="4" t="str">
        <f aca="false">IF(B364="","",ROW()-1)</f>
        <v/>
      </c>
      <c r="B364" s="15"/>
      <c r="C364" s="16"/>
      <c r="D364" s="17"/>
      <c r="E364" s="17"/>
      <c r="F364" s="17"/>
      <c r="G364" s="18"/>
      <c r="H364" s="17"/>
      <c r="I364" s="16"/>
      <c r="J364" s="16"/>
      <c r="K364" s="17"/>
      <c r="L364" s="19"/>
      <c r="M364" s="20" t="b">
        <f aca="false">AND(B364&lt;&gt;"",B364&gt;='Read Me'!$B$5,H364&lt;&gt;"")</f>
        <v>0</v>
      </c>
      <c r="N364" s="21" t="str">
        <f aca="false">IF(OR(D364="",E364=""),"",ABS(D364-E364))</f>
        <v/>
      </c>
      <c r="O364" s="22" t="str">
        <f aca="false">IF(OR(H364="",N364="",N364=0),"",IF(C364="BUY",1,-1)*(H364-D364)/N364)</f>
        <v/>
      </c>
      <c r="P364" s="23" t="str">
        <f aca="false">IF(OR(H364="",D364="",K364=""),"",IF(C364="BUY",1,-1)*(H364-D364)*K364*'Read Me'!$B$10-L364)</f>
        <v/>
      </c>
      <c r="Q364" s="4" t="str">
        <f aca="false">IF(O364="","",IF(O364&gt;0,"WIN","LOSS"))</f>
        <v/>
      </c>
      <c r="R364" s="22" t="str">
        <f aca="false">IF(AND(M364,O364&lt;&gt;""),O364,"")</f>
        <v/>
      </c>
      <c r="S364" s="22" t="n">
        <f aca="false">S363+IF(R364="",0,R364)</f>
        <v>0</v>
      </c>
      <c r="T364" s="22" t="n">
        <f aca="false">MAX(T363,S364)</f>
        <v>0</v>
      </c>
      <c r="U364" s="22" t="n">
        <f aca="false">T364-S364</f>
        <v>0</v>
      </c>
      <c r="V364" s="16"/>
    </row>
    <row r="365" customFormat="false" ht="15" hidden="false" customHeight="true" outlineLevel="0" collapsed="false">
      <c r="A365" s="4" t="str">
        <f aca="false">IF(B365="","",ROW()-1)</f>
        <v/>
      </c>
      <c r="B365" s="15"/>
      <c r="C365" s="16"/>
      <c r="D365" s="17"/>
      <c r="E365" s="17"/>
      <c r="F365" s="17"/>
      <c r="G365" s="18"/>
      <c r="H365" s="17"/>
      <c r="I365" s="16"/>
      <c r="J365" s="16"/>
      <c r="K365" s="17"/>
      <c r="L365" s="19"/>
      <c r="M365" s="20" t="b">
        <f aca="false">AND(B365&lt;&gt;"",B365&gt;='Read Me'!$B$5,H365&lt;&gt;"")</f>
        <v>0</v>
      </c>
      <c r="N365" s="21" t="str">
        <f aca="false">IF(OR(D365="",E365=""),"",ABS(D365-E365))</f>
        <v/>
      </c>
      <c r="O365" s="22" t="str">
        <f aca="false">IF(OR(H365="",N365="",N365=0),"",IF(C365="BUY",1,-1)*(H365-D365)/N365)</f>
        <v/>
      </c>
      <c r="P365" s="23" t="str">
        <f aca="false">IF(OR(H365="",D365="",K365=""),"",IF(C365="BUY",1,-1)*(H365-D365)*K365*'Read Me'!$B$10-L365)</f>
        <v/>
      </c>
      <c r="Q365" s="4" t="str">
        <f aca="false">IF(O365="","",IF(O365&gt;0,"WIN","LOSS"))</f>
        <v/>
      </c>
      <c r="R365" s="22" t="str">
        <f aca="false">IF(AND(M365,O365&lt;&gt;""),O365,"")</f>
        <v/>
      </c>
      <c r="S365" s="22" t="n">
        <f aca="false">S364+IF(R365="",0,R365)</f>
        <v>0</v>
      </c>
      <c r="T365" s="22" t="n">
        <f aca="false">MAX(T364,S365)</f>
        <v>0</v>
      </c>
      <c r="U365" s="22" t="n">
        <f aca="false">T365-S365</f>
        <v>0</v>
      </c>
      <c r="V365" s="16"/>
    </row>
    <row r="366" customFormat="false" ht="15" hidden="false" customHeight="true" outlineLevel="0" collapsed="false">
      <c r="A366" s="4" t="str">
        <f aca="false">IF(B366="","",ROW()-1)</f>
        <v/>
      </c>
      <c r="B366" s="15"/>
      <c r="C366" s="16"/>
      <c r="D366" s="17"/>
      <c r="E366" s="17"/>
      <c r="F366" s="17"/>
      <c r="G366" s="18"/>
      <c r="H366" s="17"/>
      <c r="I366" s="16"/>
      <c r="J366" s="16"/>
      <c r="K366" s="17"/>
      <c r="L366" s="19"/>
      <c r="M366" s="20" t="b">
        <f aca="false">AND(B366&lt;&gt;"",B366&gt;='Read Me'!$B$5,H366&lt;&gt;"")</f>
        <v>0</v>
      </c>
      <c r="N366" s="21" t="str">
        <f aca="false">IF(OR(D366="",E366=""),"",ABS(D366-E366))</f>
        <v/>
      </c>
      <c r="O366" s="22" t="str">
        <f aca="false">IF(OR(H366="",N366="",N366=0),"",IF(C366="BUY",1,-1)*(H366-D366)/N366)</f>
        <v/>
      </c>
      <c r="P366" s="23" t="str">
        <f aca="false">IF(OR(H366="",D366="",K366=""),"",IF(C366="BUY",1,-1)*(H366-D366)*K366*'Read Me'!$B$10-L366)</f>
        <v/>
      </c>
      <c r="Q366" s="4" t="str">
        <f aca="false">IF(O366="","",IF(O366&gt;0,"WIN","LOSS"))</f>
        <v/>
      </c>
      <c r="R366" s="22" t="str">
        <f aca="false">IF(AND(M366,O366&lt;&gt;""),O366,"")</f>
        <v/>
      </c>
      <c r="S366" s="22" t="n">
        <f aca="false">S365+IF(R366="",0,R366)</f>
        <v>0</v>
      </c>
      <c r="T366" s="22" t="n">
        <f aca="false">MAX(T365,S366)</f>
        <v>0</v>
      </c>
      <c r="U366" s="22" t="n">
        <f aca="false">T366-S366</f>
        <v>0</v>
      </c>
      <c r="V366" s="16"/>
    </row>
    <row r="367" customFormat="false" ht="15" hidden="false" customHeight="true" outlineLevel="0" collapsed="false">
      <c r="A367" s="4" t="str">
        <f aca="false">IF(B367="","",ROW()-1)</f>
        <v/>
      </c>
      <c r="B367" s="15"/>
      <c r="C367" s="16"/>
      <c r="D367" s="17"/>
      <c r="E367" s="17"/>
      <c r="F367" s="17"/>
      <c r="G367" s="18"/>
      <c r="H367" s="17"/>
      <c r="I367" s="16"/>
      <c r="J367" s="16"/>
      <c r="K367" s="17"/>
      <c r="L367" s="19"/>
      <c r="M367" s="20" t="b">
        <f aca="false">AND(B367&lt;&gt;"",B367&gt;='Read Me'!$B$5,H367&lt;&gt;"")</f>
        <v>0</v>
      </c>
      <c r="N367" s="21" t="str">
        <f aca="false">IF(OR(D367="",E367=""),"",ABS(D367-E367))</f>
        <v/>
      </c>
      <c r="O367" s="22" t="str">
        <f aca="false">IF(OR(H367="",N367="",N367=0),"",IF(C367="BUY",1,-1)*(H367-D367)/N367)</f>
        <v/>
      </c>
      <c r="P367" s="23" t="str">
        <f aca="false">IF(OR(H367="",D367="",K367=""),"",IF(C367="BUY",1,-1)*(H367-D367)*K367*'Read Me'!$B$10-L367)</f>
        <v/>
      </c>
      <c r="Q367" s="4" t="str">
        <f aca="false">IF(O367="","",IF(O367&gt;0,"WIN","LOSS"))</f>
        <v/>
      </c>
      <c r="R367" s="22" t="str">
        <f aca="false">IF(AND(M367,O367&lt;&gt;""),O367,"")</f>
        <v/>
      </c>
      <c r="S367" s="22" t="n">
        <f aca="false">S366+IF(R367="",0,R367)</f>
        <v>0</v>
      </c>
      <c r="T367" s="22" t="n">
        <f aca="false">MAX(T366,S367)</f>
        <v>0</v>
      </c>
      <c r="U367" s="22" t="n">
        <f aca="false">T367-S367</f>
        <v>0</v>
      </c>
      <c r="V367" s="16"/>
    </row>
    <row r="368" customFormat="false" ht="15" hidden="false" customHeight="true" outlineLevel="0" collapsed="false">
      <c r="A368" s="4" t="str">
        <f aca="false">IF(B368="","",ROW()-1)</f>
        <v/>
      </c>
      <c r="B368" s="15"/>
      <c r="C368" s="16"/>
      <c r="D368" s="17"/>
      <c r="E368" s="17"/>
      <c r="F368" s="17"/>
      <c r="G368" s="18"/>
      <c r="H368" s="17"/>
      <c r="I368" s="16"/>
      <c r="J368" s="16"/>
      <c r="K368" s="17"/>
      <c r="L368" s="19"/>
      <c r="M368" s="20" t="b">
        <f aca="false">AND(B368&lt;&gt;"",B368&gt;='Read Me'!$B$5,H368&lt;&gt;"")</f>
        <v>0</v>
      </c>
      <c r="N368" s="21" t="str">
        <f aca="false">IF(OR(D368="",E368=""),"",ABS(D368-E368))</f>
        <v/>
      </c>
      <c r="O368" s="22" t="str">
        <f aca="false">IF(OR(H368="",N368="",N368=0),"",IF(C368="BUY",1,-1)*(H368-D368)/N368)</f>
        <v/>
      </c>
      <c r="P368" s="23" t="str">
        <f aca="false">IF(OR(H368="",D368="",K368=""),"",IF(C368="BUY",1,-1)*(H368-D368)*K368*'Read Me'!$B$10-L368)</f>
        <v/>
      </c>
      <c r="Q368" s="4" t="str">
        <f aca="false">IF(O368="","",IF(O368&gt;0,"WIN","LOSS"))</f>
        <v/>
      </c>
      <c r="R368" s="22" t="str">
        <f aca="false">IF(AND(M368,O368&lt;&gt;""),O368,"")</f>
        <v/>
      </c>
      <c r="S368" s="22" t="n">
        <f aca="false">S367+IF(R368="",0,R368)</f>
        <v>0</v>
      </c>
      <c r="T368" s="22" t="n">
        <f aca="false">MAX(T367,S368)</f>
        <v>0</v>
      </c>
      <c r="U368" s="22" t="n">
        <f aca="false">T368-S368</f>
        <v>0</v>
      </c>
      <c r="V368" s="16"/>
    </row>
    <row r="369" customFormat="false" ht="15" hidden="false" customHeight="true" outlineLevel="0" collapsed="false">
      <c r="A369" s="4" t="str">
        <f aca="false">IF(B369="","",ROW()-1)</f>
        <v/>
      </c>
      <c r="B369" s="15"/>
      <c r="C369" s="16"/>
      <c r="D369" s="17"/>
      <c r="E369" s="17"/>
      <c r="F369" s="17"/>
      <c r="G369" s="18"/>
      <c r="H369" s="17"/>
      <c r="I369" s="16"/>
      <c r="J369" s="16"/>
      <c r="K369" s="17"/>
      <c r="L369" s="19"/>
      <c r="M369" s="20" t="b">
        <f aca="false">AND(B369&lt;&gt;"",B369&gt;='Read Me'!$B$5,H369&lt;&gt;"")</f>
        <v>0</v>
      </c>
      <c r="N369" s="21" t="str">
        <f aca="false">IF(OR(D369="",E369=""),"",ABS(D369-E369))</f>
        <v/>
      </c>
      <c r="O369" s="22" t="str">
        <f aca="false">IF(OR(H369="",N369="",N369=0),"",IF(C369="BUY",1,-1)*(H369-D369)/N369)</f>
        <v/>
      </c>
      <c r="P369" s="23" t="str">
        <f aca="false">IF(OR(H369="",D369="",K369=""),"",IF(C369="BUY",1,-1)*(H369-D369)*K369*'Read Me'!$B$10-L369)</f>
        <v/>
      </c>
      <c r="Q369" s="4" t="str">
        <f aca="false">IF(O369="","",IF(O369&gt;0,"WIN","LOSS"))</f>
        <v/>
      </c>
      <c r="R369" s="22" t="str">
        <f aca="false">IF(AND(M369,O369&lt;&gt;""),O369,"")</f>
        <v/>
      </c>
      <c r="S369" s="22" t="n">
        <f aca="false">S368+IF(R369="",0,R369)</f>
        <v>0</v>
      </c>
      <c r="T369" s="22" t="n">
        <f aca="false">MAX(T368,S369)</f>
        <v>0</v>
      </c>
      <c r="U369" s="22" t="n">
        <f aca="false">T369-S369</f>
        <v>0</v>
      </c>
      <c r="V369" s="16"/>
    </row>
    <row r="370" customFormat="false" ht="15" hidden="false" customHeight="true" outlineLevel="0" collapsed="false">
      <c r="A370" s="4" t="str">
        <f aca="false">IF(B370="","",ROW()-1)</f>
        <v/>
      </c>
      <c r="B370" s="15"/>
      <c r="C370" s="16"/>
      <c r="D370" s="17"/>
      <c r="E370" s="17"/>
      <c r="F370" s="17"/>
      <c r="G370" s="18"/>
      <c r="H370" s="17"/>
      <c r="I370" s="16"/>
      <c r="J370" s="16"/>
      <c r="K370" s="17"/>
      <c r="L370" s="19"/>
      <c r="M370" s="20" t="b">
        <f aca="false">AND(B370&lt;&gt;"",B370&gt;='Read Me'!$B$5,H370&lt;&gt;"")</f>
        <v>0</v>
      </c>
      <c r="N370" s="21" t="str">
        <f aca="false">IF(OR(D370="",E370=""),"",ABS(D370-E370))</f>
        <v/>
      </c>
      <c r="O370" s="22" t="str">
        <f aca="false">IF(OR(H370="",N370="",N370=0),"",IF(C370="BUY",1,-1)*(H370-D370)/N370)</f>
        <v/>
      </c>
      <c r="P370" s="23" t="str">
        <f aca="false">IF(OR(H370="",D370="",K370=""),"",IF(C370="BUY",1,-1)*(H370-D370)*K370*'Read Me'!$B$10-L370)</f>
        <v/>
      </c>
      <c r="Q370" s="4" t="str">
        <f aca="false">IF(O370="","",IF(O370&gt;0,"WIN","LOSS"))</f>
        <v/>
      </c>
      <c r="R370" s="22" t="str">
        <f aca="false">IF(AND(M370,O370&lt;&gt;""),O370,"")</f>
        <v/>
      </c>
      <c r="S370" s="22" t="n">
        <f aca="false">S369+IF(R370="",0,R370)</f>
        <v>0</v>
      </c>
      <c r="T370" s="22" t="n">
        <f aca="false">MAX(T369,S370)</f>
        <v>0</v>
      </c>
      <c r="U370" s="22" t="n">
        <f aca="false">T370-S370</f>
        <v>0</v>
      </c>
      <c r="V370" s="16"/>
    </row>
    <row r="371" customFormat="false" ht="15" hidden="false" customHeight="true" outlineLevel="0" collapsed="false">
      <c r="A371" s="4" t="str">
        <f aca="false">IF(B371="","",ROW()-1)</f>
        <v/>
      </c>
      <c r="B371" s="15"/>
      <c r="C371" s="16"/>
      <c r="D371" s="17"/>
      <c r="E371" s="17"/>
      <c r="F371" s="17"/>
      <c r="G371" s="18"/>
      <c r="H371" s="17"/>
      <c r="I371" s="16"/>
      <c r="J371" s="16"/>
      <c r="K371" s="17"/>
      <c r="L371" s="19"/>
      <c r="M371" s="20" t="b">
        <f aca="false">AND(B371&lt;&gt;"",B371&gt;='Read Me'!$B$5,H371&lt;&gt;"")</f>
        <v>0</v>
      </c>
      <c r="N371" s="21" t="str">
        <f aca="false">IF(OR(D371="",E371=""),"",ABS(D371-E371))</f>
        <v/>
      </c>
      <c r="O371" s="22" t="str">
        <f aca="false">IF(OR(H371="",N371="",N371=0),"",IF(C371="BUY",1,-1)*(H371-D371)/N371)</f>
        <v/>
      </c>
      <c r="P371" s="23" t="str">
        <f aca="false">IF(OR(H371="",D371="",K371=""),"",IF(C371="BUY",1,-1)*(H371-D371)*K371*'Read Me'!$B$10-L371)</f>
        <v/>
      </c>
      <c r="Q371" s="4" t="str">
        <f aca="false">IF(O371="","",IF(O371&gt;0,"WIN","LOSS"))</f>
        <v/>
      </c>
      <c r="R371" s="22" t="str">
        <f aca="false">IF(AND(M371,O371&lt;&gt;""),O371,"")</f>
        <v/>
      </c>
      <c r="S371" s="22" t="n">
        <f aca="false">S370+IF(R371="",0,R371)</f>
        <v>0</v>
      </c>
      <c r="T371" s="22" t="n">
        <f aca="false">MAX(T370,S371)</f>
        <v>0</v>
      </c>
      <c r="U371" s="22" t="n">
        <f aca="false">T371-S371</f>
        <v>0</v>
      </c>
      <c r="V371" s="16"/>
    </row>
    <row r="372" customFormat="false" ht="15" hidden="false" customHeight="true" outlineLevel="0" collapsed="false">
      <c r="A372" s="4" t="str">
        <f aca="false">IF(B372="","",ROW()-1)</f>
        <v/>
      </c>
      <c r="B372" s="15"/>
      <c r="C372" s="16"/>
      <c r="D372" s="17"/>
      <c r="E372" s="17"/>
      <c r="F372" s="17"/>
      <c r="G372" s="18"/>
      <c r="H372" s="17"/>
      <c r="I372" s="16"/>
      <c r="J372" s="16"/>
      <c r="K372" s="17"/>
      <c r="L372" s="19"/>
      <c r="M372" s="20" t="b">
        <f aca="false">AND(B372&lt;&gt;"",B372&gt;='Read Me'!$B$5,H372&lt;&gt;"")</f>
        <v>0</v>
      </c>
      <c r="N372" s="21" t="str">
        <f aca="false">IF(OR(D372="",E372=""),"",ABS(D372-E372))</f>
        <v/>
      </c>
      <c r="O372" s="22" t="str">
        <f aca="false">IF(OR(H372="",N372="",N372=0),"",IF(C372="BUY",1,-1)*(H372-D372)/N372)</f>
        <v/>
      </c>
      <c r="P372" s="23" t="str">
        <f aca="false">IF(OR(H372="",D372="",K372=""),"",IF(C372="BUY",1,-1)*(H372-D372)*K372*'Read Me'!$B$10-L372)</f>
        <v/>
      </c>
      <c r="Q372" s="4" t="str">
        <f aca="false">IF(O372="","",IF(O372&gt;0,"WIN","LOSS"))</f>
        <v/>
      </c>
      <c r="R372" s="22" t="str">
        <f aca="false">IF(AND(M372,O372&lt;&gt;""),O372,"")</f>
        <v/>
      </c>
      <c r="S372" s="22" t="n">
        <f aca="false">S371+IF(R372="",0,R372)</f>
        <v>0</v>
      </c>
      <c r="T372" s="22" t="n">
        <f aca="false">MAX(T371,S372)</f>
        <v>0</v>
      </c>
      <c r="U372" s="22" t="n">
        <f aca="false">T372-S372</f>
        <v>0</v>
      </c>
      <c r="V372" s="16"/>
    </row>
    <row r="373" customFormat="false" ht="15" hidden="false" customHeight="true" outlineLevel="0" collapsed="false">
      <c r="A373" s="4" t="str">
        <f aca="false">IF(B373="","",ROW()-1)</f>
        <v/>
      </c>
      <c r="B373" s="15"/>
      <c r="C373" s="16"/>
      <c r="D373" s="17"/>
      <c r="E373" s="17"/>
      <c r="F373" s="17"/>
      <c r="G373" s="18"/>
      <c r="H373" s="17"/>
      <c r="I373" s="16"/>
      <c r="J373" s="16"/>
      <c r="K373" s="17"/>
      <c r="L373" s="19"/>
      <c r="M373" s="20" t="b">
        <f aca="false">AND(B373&lt;&gt;"",B373&gt;='Read Me'!$B$5,H373&lt;&gt;"")</f>
        <v>0</v>
      </c>
      <c r="N373" s="21" t="str">
        <f aca="false">IF(OR(D373="",E373=""),"",ABS(D373-E373))</f>
        <v/>
      </c>
      <c r="O373" s="22" t="str">
        <f aca="false">IF(OR(H373="",N373="",N373=0),"",IF(C373="BUY",1,-1)*(H373-D373)/N373)</f>
        <v/>
      </c>
      <c r="P373" s="23" t="str">
        <f aca="false">IF(OR(H373="",D373="",K373=""),"",IF(C373="BUY",1,-1)*(H373-D373)*K373*'Read Me'!$B$10-L373)</f>
        <v/>
      </c>
      <c r="Q373" s="4" t="str">
        <f aca="false">IF(O373="","",IF(O373&gt;0,"WIN","LOSS"))</f>
        <v/>
      </c>
      <c r="R373" s="22" t="str">
        <f aca="false">IF(AND(M373,O373&lt;&gt;""),O373,"")</f>
        <v/>
      </c>
      <c r="S373" s="22" t="n">
        <f aca="false">S372+IF(R373="",0,R373)</f>
        <v>0</v>
      </c>
      <c r="T373" s="22" t="n">
        <f aca="false">MAX(T372,S373)</f>
        <v>0</v>
      </c>
      <c r="U373" s="22" t="n">
        <f aca="false">T373-S373</f>
        <v>0</v>
      </c>
      <c r="V373" s="16"/>
    </row>
    <row r="374" customFormat="false" ht="15" hidden="false" customHeight="true" outlineLevel="0" collapsed="false">
      <c r="A374" s="4" t="str">
        <f aca="false">IF(B374="","",ROW()-1)</f>
        <v/>
      </c>
      <c r="B374" s="15"/>
      <c r="C374" s="16"/>
      <c r="D374" s="17"/>
      <c r="E374" s="17"/>
      <c r="F374" s="17"/>
      <c r="G374" s="18"/>
      <c r="H374" s="17"/>
      <c r="I374" s="16"/>
      <c r="J374" s="16"/>
      <c r="K374" s="17"/>
      <c r="L374" s="19"/>
      <c r="M374" s="20" t="b">
        <f aca="false">AND(B374&lt;&gt;"",B374&gt;='Read Me'!$B$5,H374&lt;&gt;"")</f>
        <v>0</v>
      </c>
      <c r="N374" s="21" t="str">
        <f aca="false">IF(OR(D374="",E374=""),"",ABS(D374-E374))</f>
        <v/>
      </c>
      <c r="O374" s="22" t="str">
        <f aca="false">IF(OR(H374="",N374="",N374=0),"",IF(C374="BUY",1,-1)*(H374-D374)/N374)</f>
        <v/>
      </c>
      <c r="P374" s="23" t="str">
        <f aca="false">IF(OR(H374="",D374="",K374=""),"",IF(C374="BUY",1,-1)*(H374-D374)*K374*'Read Me'!$B$10-L374)</f>
        <v/>
      </c>
      <c r="Q374" s="4" t="str">
        <f aca="false">IF(O374="","",IF(O374&gt;0,"WIN","LOSS"))</f>
        <v/>
      </c>
      <c r="R374" s="22" t="str">
        <f aca="false">IF(AND(M374,O374&lt;&gt;""),O374,"")</f>
        <v/>
      </c>
      <c r="S374" s="22" t="n">
        <f aca="false">S373+IF(R374="",0,R374)</f>
        <v>0</v>
      </c>
      <c r="T374" s="22" t="n">
        <f aca="false">MAX(T373,S374)</f>
        <v>0</v>
      </c>
      <c r="U374" s="22" t="n">
        <f aca="false">T374-S374</f>
        <v>0</v>
      </c>
      <c r="V374" s="16"/>
    </row>
    <row r="375" customFormat="false" ht="15" hidden="false" customHeight="true" outlineLevel="0" collapsed="false">
      <c r="A375" s="4" t="str">
        <f aca="false">IF(B375="","",ROW()-1)</f>
        <v/>
      </c>
      <c r="B375" s="15"/>
      <c r="C375" s="16"/>
      <c r="D375" s="17"/>
      <c r="E375" s="17"/>
      <c r="F375" s="17"/>
      <c r="G375" s="18"/>
      <c r="H375" s="17"/>
      <c r="I375" s="16"/>
      <c r="J375" s="16"/>
      <c r="K375" s="17"/>
      <c r="L375" s="19"/>
      <c r="M375" s="20" t="b">
        <f aca="false">AND(B375&lt;&gt;"",B375&gt;='Read Me'!$B$5,H375&lt;&gt;"")</f>
        <v>0</v>
      </c>
      <c r="N375" s="21" t="str">
        <f aca="false">IF(OR(D375="",E375=""),"",ABS(D375-E375))</f>
        <v/>
      </c>
      <c r="O375" s="22" t="str">
        <f aca="false">IF(OR(H375="",N375="",N375=0),"",IF(C375="BUY",1,-1)*(H375-D375)/N375)</f>
        <v/>
      </c>
      <c r="P375" s="23" t="str">
        <f aca="false">IF(OR(H375="",D375="",K375=""),"",IF(C375="BUY",1,-1)*(H375-D375)*K375*'Read Me'!$B$10-L375)</f>
        <v/>
      </c>
      <c r="Q375" s="4" t="str">
        <f aca="false">IF(O375="","",IF(O375&gt;0,"WIN","LOSS"))</f>
        <v/>
      </c>
      <c r="R375" s="22" t="str">
        <f aca="false">IF(AND(M375,O375&lt;&gt;""),O375,"")</f>
        <v/>
      </c>
      <c r="S375" s="22" t="n">
        <f aca="false">S374+IF(R375="",0,R375)</f>
        <v>0</v>
      </c>
      <c r="T375" s="22" t="n">
        <f aca="false">MAX(T374,S375)</f>
        <v>0</v>
      </c>
      <c r="U375" s="22" t="n">
        <f aca="false">T375-S375</f>
        <v>0</v>
      </c>
      <c r="V375" s="16"/>
    </row>
    <row r="376" customFormat="false" ht="15" hidden="false" customHeight="true" outlineLevel="0" collapsed="false">
      <c r="A376" s="4" t="str">
        <f aca="false">IF(B376="","",ROW()-1)</f>
        <v/>
      </c>
      <c r="B376" s="15"/>
      <c r="C376" s="16"/>
      <c r="D376" s="17"/>
      <c r="E376" s="17"/>
      <c r="F376" s="17"/>
      <c r="G376" s="18"/>
      <c r="H376" s="17"/>
      <c r="I376" s="16"/>
      <c r="J376" s="16"/>
      <c r="K376" s="17"/>
      <c r="L376" s="19"/>
      <c r="M376" s="20" t="b">
        <f aca="false">AND(B376&lt;&gt;"",B376&gt;='Read Me'!$B$5,H376&lt;&gt;"")</f>
        <v>0</v>
      </c>
      <c r="N376" s="21" t="str">
        <f aca="false">IF(OR(D376="",E376=""),"",ABS(D376-E376))</f>
        <v/>
      </c>
      <c r="O376" s="22" t="str">
        <f aca="false">IF(OR(H376="",N376="",N376=0),"",IF(C376="BUY",1,-1)*(H376-D376)/N376)</f>
        <v/>
      </c>
      <c r="P376" s="23" t="str">
        <f aca="false">IF(OR(H376="",D376="",K376=""),"",IF(C376="BUY",1,-1)*(H376-D376)*K376*'Read Me'!$B$10-L376)</f>
        <v/>
      </c>
      <c r="Q376" s="4" t="str">
        <f aca="false">IF(O376="","",IF(O376&gt;0,"WIN","LOSS"))</f>
        <v/>
      </c>
      <c r="R376" s="22" t="str">
        <f aca="false">IF(AND(M376,O376&lt;&gt;""),O376,"")</f>
        <v/>
      </c>
      <c r="S376" s="22" t="n">
        <f aca="false">S375+IF(R376="",0,R376)</f>
        <v>0</v>
      </c>
      <c r="T376" s="22" t="n">
        <f aca="false">MAX(T375,S376)</f>
        <v>0</v>
      </c>
      <c r="U376" s="22" t="n">
        <f aca="false">T376-S376</f>
        <v>0</v>
      </c>
      <c r="V376" s="16"/>
    </row>
    <row r="377" customFormat="false" ht="15" hidden="false" customHeight="true" outlineLevel="0" collapsed="false">
      <c r="A377" s="4" t="str">
        <f aca="false">IF(B377="","",ROW()-1)</f>
        <v/>
      </c>
      <c r="B377" s="15"/>
      <c r="C377" s="16"/>
      <c r="D377" s="17"/>
      <c r="E377" s="17"/>
      <c r="F377" s="17"/>
      <c r="G377" s="18"/>
      <c r="H377" s="17"/>
      <c r="I377" s="16"/>
      <c r="J377" s="16"/>
      <c r="K377" s="17"/>
      <c r="L377" s="19"/>
      <c r="M377" s="20" t="b">
        <f aca="false">AND(B377&lt;&gt;"",B377&gt;='Read Me'!$B$5,H377&lt;&gt;"")</f>
        <v>0</v>
      </c>
      <c r="N377" s="21" t="str">
        <f aca="false">IF(OR(D377="",E377=""),"",ABS(D377-E377))</f>
        <v/>
      </c>
      <c r="O377" s="22" t="str">
        <f aca="false">IF(OR(H377="",N377="",N377=0),"",IF(C377="BUY",1,-1)*(H377-D377)/N377)</f>
        <v/>
      </c>
      <c r="P377" s="23" t="str">
        <f aca="false">IF(OR(H377="",D377="",K377=""),"",IF(C377="BUY",1,-1)*(H377-D377)*K377*'Read Me'!$B$10-L377)</f>
        <v/>
      </c>
      <c r="Q377" s="4" t="str">
        <f aca="false">IF(O377="","",IF(O377&gt;0,"WIN","LOSS"))</f>
        <v/>
      </c>
      <c r="R377" s="22" t="str">
        <f aca="false">IF(AND(M377,O377&lt;&gt;""),O377,"")</f>
        <v/>
      </c>
      <c r="S377" s="22" t="n">
        <f aca="false">S376+IF(R377="",0,R377)</f>
        <v>0</v>
      </c>
      <c r="T377" s="22" t="n">
        <f aca="false">MAX(T376,S377)</f>
        <v>0</v>
      </c>
      <c r="U377" s="22" t="n">
        <f aca="false">T377-S377</f>
        <v>0</v>
      </c>
      <c r="V377" s="16"/>
    </row>
    <row r="378" customFormat="false" ht="15" hidden="false" customHeight="true" outlineLevel="0" collapsed="false">
      <c r="A378" s="4" t="str">
        <f aca="false">IF(B378="","",ROW()-1)</f>
        <v/>
      </c>
      <c r="B378" s="15"/>
      <c r="C378" s="16"/>
      <c r="D378" s="17"/>
      <c r="E378" s="17"/>
      <c r="F378" s="17"/>
      <c r="G378" s="18"/>
      <c r="H378" s="17"/>
      <c r="I378" s="16"/>
      <c r="J378" s="16"/>
      <c r="K378" s="17"/>
      <c r="L378" s="19"/>
      <c r="M378" s="20" t="b">
        <f aca="false">AND(B378&lt;&gt;"",B378&gt;='Read Me'!$B$5,H378&lt;&gt;"")</f>
        <v>0</v>
      </c>
      <c r="N378" s="21" t="str">
        <f aca="false">IF(OR(D378="",E378=""),"",ABS(D378-E378))</f>
        <v/>
      </c>
      <c r="O378" s="22" t="str">
        <f aca="false">IF(OR(H378="",N378="",N378=0),"",IF(C378="BUY",1,-1)*(H378-D378)/N378)</f>
        <v/>
      </c>
      <c r="P378" s="23" t="str">
        <f aca="false">IF(OR(H378="",D378="",K378=""),"",IF(C378="BUY",1,-1)*(H378-D378)*K378*'Read Me'!$B$10-L378)</f>
        <v/>
      </c>
      <c r="Q378" s="4" t="str">
        <f aca="false">IF(O378="","",IF(O378&gt;0,"WIN","LOSS"))</f>
        <v/>
      </c>
      <c r="R378" s="22" t="str">
        <f aca="false">IF(AND(M378,O378&lt;&gt;""),O378,"")</f>
        <v/>
      </c>
      <c r="S378" s="22" t="n">
        <f aca="false">S377+IF(R378="",0,R378)</f>
        <v>0</v>
      </c>
      <c r="T378" s="22" t="n">
        <f aca="false">MAX(T377,S378)</f>
        <v>0</v>
      </c>
      <c r="U378" s="22" t="n">
        <f aca="false">T378-S378</f>
        <v>0</v>
      </c>
      <c r="V378" s="16"/>
    </row>
    <row r="379" customFormat="false" ht="15" hidden="false" customHeight="true" outlineLevel="0" collapsed="false">
      <c r="A379" s="4" t="str">
        <f aca="false">IF(B379="","",ROW()-1)</f>
        <v/>
      </c>
      <c r="B379" s="15"/>
      <c r="C379" s="16"/>
      <c r="D379" s="17"/>
      <c r="E379" s="17"/>
      <c r="F379" s="17"/>
      <c r="G379" s="18"/>
      <c r="H379" s="17"/>
      <c r="I379" s="16"/>
      <c r="J379" s="16"/>
      <c r="K379" s="17"/>
      <c r="L379" s="19"/>
      <c r="M379" s="20" t="b">
        <f aca="false">AND(B379&lt;&gt;"",B379&gt;='Read Me'!$B$5,H379&lt;&gt;"")</f>
        <v>0</v>
      </c>
      <c r="N379" s="21" t="str">
        <f aca="false">IF(OR(D379="",E379=""),"",ABS(D379-E379))</f>
        <v/>
      </c>
      <c r="O379" s="22" t="str">
        <f aca="false">IF(OR(H379="",N379="",N379=0),"",IF(C379="BUY",1,-1)*(H379-D379)/N379)</f>
        <v/>
      </c>
      <c r="P379" s="23" t="str">
        <f aca="false">IF(OR(H379="",D379="",K379=""),"",IF(C379="BUY",1,-1)*(H379-D379)*K379*'Read Me'!$B$10-L379)</f>
        <v/>
      </c>
      <c r="Q379" s="4" t="str">
        <f aca="false">IF(O379="","",IF(O379&gt;0,"WIN","LOSS"))</f>
        <v/>
      </c>
      <c r="R379" s="22" t="str">
        <f aca="false">IF(AND(M379,O379&lt;&gt;""),O379,"")</f>
        <v/>
      </c>
      <c r="S379" s="22" t="n">
        <f aca="false">S378+IF(R379="",0,R379)</f>
        <v>0</v>
      </c>
      <c r="T379" s="22" t="n">
        <f aca="false">MAX(T378,S379)</f>
        <v>0</v>
      </c>
      <c r="U379" s="22" t="n">
        <f aca="false">T379-S379</f>
        <v>0</v>
      </c>
      <c r="V379" s="16"/>
    </row>
    <row r="380" customFormat="false" ht="15" hidden="false" customHeight="true" outlineLevel="0" collapsed="false">
      <c r="A380" s="4" t="str">
        <f aca="false">IF(B380="","",ROW()-1)</f>
        <v/>
      </c>
      <c r="B380" s="15"/>
      <c r="C380" s="16"/>
      <c r="D380" s="17"/>
      <c r="E380" s="17"/>
      <c r="F380" s="17"/>
      <c r="G380" s="18"/>
      <c r="H380" s="17"/>
      <c r="I380" s="16"/>
      <c r="J380" s="16"/>
      <c r="K380" s="17"/>
      <c r="L380" s="19"/>
      <c r="M380" s="20" t="b">
        <f aca="false">AND(B380&lt;&gt;"",B380&gt;='Read Me'!$B$5,H380&lt;&gt;"")</f>
        <v>0</v>
      </c>
      <c r="N380" s="21" t="str">
        <f aca="false">IF(OR(D380="",E380=""),"",ABS(D380-E380))</f>
        <v/>
      </c>
      <c r="O380" s="22" t="str">
        <f aca="false">IF(OR(H380="",N380="",N380=0),"",IF(C380="BUY",1,-1)*(H380-D380)/N380)</f>
        <v/>
      </c>
      <c r="P380" s="23" t="str">
        <f aca="false">IF(OR(H380="",D380="",K380=""),"",IF(C380="BUY",1,-1)*(H380-D380)*K380*'Read Me'!$B$10-L380)</f>
        <v/>
      </c>
      <c r="Q380" s="4" t="str">
        <f aca="false">IF(O380="","",IF(O380&gt;0,"WIN","LOSS"))</f>
        <v/>
      </c>
      <c r="R380" s="22" t="str">
        <f aca="false">IF(AND(M380,O380&lt;&gt;""),O380,"")</f>
        <v/>
      </c>
      <c r="S380" s="22" t="n">
        <f aca="false">S379+IF(R380="",0,R380)</f>
        <v>0</v>
      </c>
      <c r="T380" s="22" t="n">
        <f aca="false">MAX(T379,S380)</f>
        <v>0</v>
      </c>
      <c r="U380" s="22" t="n">
        <f aca="false">T380-S380</f>
        <v>0</v>
      </c>
      <c r="V380" s="16"/>
    </row>
    <row r="381" customFormat="false" ht="15" hidden="false" customHeight="true" outlineLevel="0" collapsed="false">
      <c r="A381" s="4" t="str">
        <f aca="false">IF(B381="","",ROW()-1)</f>
        <v/>
      </c>
      <c r="B381" s="15"/>
      <c r="C381" s="16"/>
      <c r="D381" s="17"/>
      <c r="E381" s="17"/>
      <c r="F381" s="17"/>
      <c r="G381" s="18"/>
      <c r="H381" s="17"/>
      <c r="I381" s="16"/>
      <c r="J381" s="16"/>
      <c r="K381" s="17"/>
      <c r="L381" s="19"/>
      <c r="M381" s="20" t="b">
        <f aca="false">AND(B381&lt;&gt;"",B381&gt;='Read Me'!$B$5,H381&lt;&gt;"")</f>
        <v>0</v>
      </c>
      <c r="N381" s="21" t="str">
        <f aca="false">IF(OR(D381="",E381=""),"",ABS(D381-E381))</f>
        <v/>
      </c>
      <c r="O381" s="22" t="str">
        <f aca="false">IF(OR(H381="",N381="",N381=0),"",IF(C381="BUY",1,-1)*(H381-D381)/N381)</f>
        <v/>
      </c>
      <c r="P381" s="23" t="str">
        <f aca="false">IF(OR(H381="",D381="",K381=""),"",IF(C381="BUY",1,-1)*(H381-D381)*K381*'Read Me'!$B$10-L381)</f>
        <v/>
      </c>
      <c r="Q381" s="4" t="str">
        <f aca="false">IF(O381="","",IF(O381&gt;0,"WIN","LOSS"))</f>
        <v/>
      </c>
      <c r="R381" s="22" t="str">
        <f aca="false">IF(AND(M381,O381&lt;&gt;""),O381,"")</f>
        <v/>
      </c>
      <c r="S381" s="22" t="n">
        <f aca="false">S380+IF(R381="",0,R381)</f>
        <v>0</v>
      </c>
      <c r="T381" s="22" t="n">
        <f aca="false">MAX(T380,S381)</f>
        <v>0</v>
      </c>
      <c r="U381" s="22" t="n">
        <f aca="false">T381-S381</f>
        <v>0</v>
      </c>
      <c r="V381" s="16"/>
    </row>
    <row r="382" customFormat="false" ht="15" hidden="false" customHeight="true" outlineLevel="0" collapsed="false">
      <c r="A382" s="4" t="str">
        <f aca="false">IF(B382="","",ROW()-1)</f>
        <v/>
      </c>
      <c r="B382" s="15"/>
      <c r="C382" s="16"/>
      <c r="D382" s="17"/>
      <c r="E382" s="17"/>
      <c r="F382" s="17"/>
      <c r="G382" s="18"/>
      <c r="H382" s="17"/>
      <c r="I382" s="16"/>
      <c r="J382" s="16"/>
      <c r="K382" s="17"/>
      <c r="L382" s="19"/>
      <c r="M382" s="20" t="b">
        <f aca="false">AND(B382&lt;&gt;"",B382&gt;='Read Me'!$B$5,H382&lt;&gt;"")</f>
        <v>0</v>
      </c>
      <c r="N382" s="21" t="str">
        <f aca="false">IF(OR(D382="",E382=""),"",ABS(D382-E382))</f>
        <v/>
      </c>
      <c r="O382" s="22" t="str">
        <f aca="false">IF(OR(H382="",N382="",N382=0),"",IF(C382="BUY",1,-1)*(H382-D382)/N382)</f>
        <v/>
      </c>
      <c r="P382" s="23" t="str">
        <f aca="false">IF(OR(H382="",D382="",K382=""),"",IF(C382="BUY",1,-1)*(H382-D382)*K382*'Read Me'!$B$10-L382)</f>
        <v/>
      </c>
      <c r="Q382" s="4" t="str">
        <f aca="false">IF(O382="","",IF(O382&gt;0,"WIN","LOSS"))</f>
        <v/>
      </c>
      <c r="R382" s="22" t="str">
        <f aca="false">IF(AND(M382,O382&lt;&gt;""),O382,"")</f>
        <v/>
      </c>
      <c r="S382" s="22" t="n">
        <f aca="false">S381+IF(R382="",0,R382)</f>
        <v>0</v>
      </c>
      <c r="T382" s="22" t="n">
        <f aca="false">MAX(T381,S382)</f>
        <v>0</v>
      </c>
      <c r="U382" s="22" t="n">
        <f aca="false">T382-S382</f>
        <v>0</v>
      </c>
      <c r="V382" s="16"/>
    </row>
    <row r="383" customFormat="false" ht="15" hidden="false" customHeight="true" outlineLevel="0" collapsed="false">
      <c r="A383" s="4" t="str">
        <f aca="false">IF(B383="","",ROW()-1)</f>
        <v/>
      </c>
      <c r="B383" s="15"/>
      <c r="C383" s="16"/>
      <c r="D383" s="17"/>
      <c r="E383" s="17"/>
      <c r="F383" s="17"/>
      <c r="G383" s="18"/>
      <c r="H383" s="17"/>
      <c r="I383" s="16"/>
      <c r="J383" s="16"/>
      <c r="K383" s="17"/>
      <c r="L383" s="19"/>
      <c r="M383" s="20" t="b">
        <f aca="false">AND(B383&lt;&gt;"",B383&gt;='Read Me'!$B$5,H383&lt;&gt;"")</f>
        <v>0</v>
      </c>
      <c r="N383" s="21" t="str">
        <f aca="false">IF(OR(D383="",E383=""),"",ABS(D383-E383))</f>
        <v/>
      </c>
      <c r="O383" s="22" t="str">
        <f aca="false">IF(OR(H383="",N383="",N383=0),"",IF(C383="BUY",1,-1)*(H383-D383)/N383)</f>
        <v/>
      </c>
      <c r="P383" s="23" t="str">
        <f aca="false">IF(OR(H383="",D383="",K383=""),"",IF(C383="BUY",1,-1)*(H383-D383)*K383*'Read Me'!$B$10-L383)</f>
        <v/>
      </c>
      <c r="Q383" s="4" t="str">
        <f aca="false">IF(O383="","",IF(O383&gt;0,"WIN","LOSS"))</f>
        <v/>
      </c>
      <c r="R383" s="22" t="str">
        <f aca="false">IF(AND(M383,O383&lt;&gt;""),O383,"")</f>
        <v/>
      </c>
      <c r="S383" s="22" t="n">
        <f aca="false">S382+IF(R383="",0,R383)</f>
        <v>0</v>
      </c>
      <c r="T383" s="22" t="n">
        <f aca="false">MAX(T382,S383)</f>
        <v>0</v>
      </c>
      <c r="U383" s="22" t="n">
        <f aca="false">T383-S383</f>
        <v>0</v>
      </c>
      <c r="V383" s="16"/>
    </row>
    <row r="384" customFormat="false" ht="15" hidden="false" customHeight="true" outlineLevel="0" collapsed="false">
      <c r="A384" s="4" t="str">
        <f aca="false">IF(B384="","",ROW()-1)</f>
        <v/>
      </c>
      <c r="B384" s="15"/>
      <c r="C384" s="16"/>
      <c r="D384" s="17"/>
      <c r="E384" s="17"/>
      <c r="F384" s="17"/>
      <c r="G384" s="18"/>
      <c r="H384" s="17"/>
      <c r="I384" s="16"/>
      <c r="J384" s="16"/>
      <c r="K384" s="17"/>
      <c r="L384" s="19"/>
      <c r="M384" s="20" t="b">
        <f aca="false">AND(B384&lt;&gt;"",B384&gt;='Read Me'!$B$5,H384&lt;&gt;"")</f>
        <v>0</v>
      </c>
      <c r="N384" s="21" t="str">
        <f aca="false">IF(OR(D384="",E384=""),"",ABS(D384-E384))</f>
        <v/>
      </c>
      <c r="O384" s="22" t="str">
        <f aca="false">IF(OR(H384="",N384="",N384=0),"",IF(C384="BUY",1,-1)*(H384-D384)/N384)</f>
        <v/>
      </c>
      <c r="P384" s="23" t="str">
        <f aca="false">IF(OR(H384="",D384="",K384=""),"",IF(C384="BUY",1,-1)*(H384-D384)*K384*'Read Me'!$B$10-L384)</f>
        <v/>
      </c>
      <c r="Q384" s="4" t="str">
        <f aca="false">IF(O384="","",IF(O384&gt;0,"WIN","LOSS"))</f>
        <v/>
      </c>
      <c r="R384" s="22" t="str">
        <f aca="false">IF(AND(M384,O384&lt;&gt;""),O384,"")</f>
        <v/>
      </c>
      <c r="S384" s="22" t="n">
        <f aca="false">S383+IF(R384="",0,R384)</f>
        <v>0</v>
      </c>
      <c r="T384" s="22" t="n">
        <f aca="false">MAX(T383,S384)</f>
        <v>0</v>
      </c>
      <c r="U384" s="22" t="n">
        <f aca="false">T384-S384</f>
        <v>0</v>
      </c>
      <c r="V384" s="16"/>
    </row>
    <row r="385" customFormat="false" ht="15" hidden="false" customHeight="true" outlineLevel="0" collapsed="false">
      <c r="A385" s="4" t="str">
        <f aca="false">IF(B385="","",ROW()-1)</f>
        <v/>
      </c>
      <c r="B385" s="15"/>
      <c r="C385" s="16"/>
      <c r="D385" s="17"/>
      <c r="E385" s="17"/>
      <c r="F385" s="17"/>
      <c r="G385" s="18"/>
      <c r="H385" s="17"/>
      <c r="I385" s="16"/>
      <c r="J385" s="16"/>
      <c r="K385" s="17"/>
      <c r="L385" s="19"/>
      <c r="M385" s="20" t="b">
        <f aca="false">AND(B385&lt;&gt;"",B385&gt;='Read Me'!$B$5,H385&lt;&gt;"")</f>
        <v>0</v>
      </c>
      <c r="N385" s="21" t="str">
        <f aca="false">IF(OR(D385="",E385=""),"",ABS(D385-E385))</f>
        <v/>
      </c>
      <c r="O385" s="22" t="str">
        <f aca="false">IF(OR(H385="",N385="",N385=0),"",IF(C385="BUY",1,-1)*(H385-D385)/N385)</f>
        <v/>
      </c>
      <c r="P385" s="23" t="str">
        <f aca="false">IF(OR(H385="",D385="",K385=""),"",IF(C385="BUY",1,-1)*(H385-D385)*K385*'Read Me'!$B$10-L385)</f>
        <v/>
      </c>
      <c r="Q385" s="4" t="str">
        <f aca="false">IF(O385="","",IF(O385&gt;0,"WIN","LOSS"))</f>
        <v/>
      </c>
      <c r="R385" s="22" t="str">
        <f aca="false">IF(AND(M385,O385&lt;&gt;""),O385,"")</f>
        <v/>
      </c>
      <c r="S385" s="22" t="n">
        <f aca="false">S384+IF(R385="",0,R385)</f>
        <v>0</v>
      </c>
      <c r="T385" s="22" t="n">
        <f aca="false">MAX(T384,S385)</f>
        <v>0</v>
      </c>
      <c r="U385" s="22" t="n">
        <f aca="false">T385-S385</f>
        <v>0</v>
      </c>
      <c r="V385" s="16"/>
    </row>
    <row r="386" customFormat="false" ht="15" hidden="false" customHeight="true" outlineLevel="0" collapsed="false">
      <c r="A386" s="4" t="str">
        <f aca="false">IF(B386="","",ROW()-1)</f>
        <v/>
      </c>
      <c r="B386" s="15"/>
      <c r="C386" s="16"/>
      <c r="D386" s="17"/>
      <c r="E386" s="17"/>
      <c r="F386" s="17"/>
      <c r="G386" s="18"/>
      <c r="H386" s="17"/>
      <c r="I386" s="16"/>
      <c r="J386" s="16"/>
      <c r="K386" s="17"/>
      <c r="L386" s="19"/>
      <c r="M386" s="20" t="b">
        <f aca="false">AND(B386&lt;&gt;"",B386&gt;='Read Me'!$B$5,H386&lt;&gt;"")</f>
        <v>0</v>
      </c>
      <c r="N386" s="21" t="str">
        <f aca="false">IF(OR(D386="",E386=""),"",ABS(D386-E386))</f>
        <v/>
      </c>
      <c r="O386" s="22" t="str">
        <f aca="false">IF(OR(H386="",N386="",N386=0),"",IF(C386="BUY",1,-1)*(H386-D386)/N386)</f>
        <v/>
      </c>
      <c r="P386" s="23" t="str">
        <f aca="false">IF(OR(H386="",D386="",K386=""),"",IF(C386="BUY",1,-1)*(H386-D386)*K386*'Read Me'!$B$10-L386)</f>
        <v/>
      </c>
      <c r="Q386" s="4" t="str">
        <f aca="false">IF(O386="","",IF(O386&gt;0,"WIN","LOSS"))</f>
        <v/>
      </c>
      <c r="R386" s="22" t="str">
        <f aca="false">IF(AND(M386,O386&lt;&gt;""),O386,"")</f>
        <v/>
      </c>
      <c r="S386" s="22" t="n">
        <f aca="false">S385+IF(R386="",0,R386)</f>
        <v>0</v>
      </c>
      <c r="T386" s="22" t="n">
        <f aca="false">MAX(T385,S386)</f>
        <v>0</v>
      </c>
      <c r="U386" s="22" t="n">
        <f aca="false">T386-S386</f>
        <v>0</v>
      </c>
      <c r="V386" s="16"/>
    </row>
    <row r="387" customFormat="false" ht="15" hidden="false" customHeight="true" outlineLevel="0" collapsed="false">
      <c r="A387" s="4" t="str">
        <f aca="false">IF(B387="","",ROW()-1)</f>
        <v/>
      </c>
      <c r="B387" s="15"/>
      <c r="C387" s="16"/>
      <c r="D387" s="17"/>
      <c r="E387" s="17"/>
      <c r="F387" s="17"/>
      <c r="G387" s="18"/>
      <c r="H387" s="17"/>
      <c r="I387" s="16"/>
      <c r="J387" s="16"/>
      <c r="K387" s="17"/>
      <c r="L387" s="19"/>
      <c r="M387" s="20" t="b">
        <f aca="false">AND(B387&lt;&gt;"",B387&gt;='Read Me'!$B$5,H387&lt;&gt;"")</f>
        <v>0</v>
      </c>
      <c r="N387" s="21" t="str">
        <f aca="false">IF(OR(D387="",E387=""),"",ABS(D387-E387))</f>
        <v/>
      </c>
      <c r="O387" s="22" t="str">
        <f aca="false">IF(OR(H387="",N387="",N387=0),"",IF(C387="BUY",1,-1)*(H387-D387)/N387)</f>
        <v/>
      </c>
      <c r="P387" s="23" t="str">
        <f aca="false">IF(OR(H387="",D387="",K387=""),"",IF(C387="BUY",1,-1)*(H387-D387)*K387*'Read Me'!$B$10-L387)</f>
        <v/>
      </c>
      <c r="Q387" s="4" t="str">
        <f aca="false">IF(O387="","",IF(O387&gt;0,"WIN","LOSS"))</f>
        <v/>
      </c>
      <c r="R387" s="22" t="str">
        <f aca="false">IF(AND(M387,O387&lt;&gt;""),O387,"")</f>
        <v/>
      </c>
      <c r="S387" s="22" t="n">
        <f aca="false">S386+IF(R387="",0,R387)</f>
        <v>0</v>
      </c>
      <c r="T387" s="22" t="n">
        <f aca="false">MAX(T386,S387)</f>
        <v>0</v>
      </c>
      <c r="U387" s="22" t="n">
        <f aca="false">T387-S387</f>
        <v>0</v>
      </c>
      <c r="V387" s="16"/>
    </row>
    <row r="388" customFormat="false" ht="15" hidden="false" customHeight="true" outlineLevel="0" collapsed="false">
      <c r="A388" s="4" t="str">
        <f aca="false">IF(B388="","",ROW()-1)</f>
        <v/>
      </c>
      <c r="B388" s="15"/>
      <c r="C388" s="16"/>
      <c r="D388" s="17"/>
      <c r="E388" s="17"/>
      <c r="F388" s="17"/>
      <c r="G388" s="18"/>
      <c r="H388" s="17"/>
      <c r="I388" s="16"/>
      <c r="J388" s="16"/>
      <c r="K388" s="17"/>
      <c r="L388" s="19"/>
      <c r="M388" s="20" t="b">
        <f aca="false">AND(B388&lt;&gt;"",B388&gt;='Read Me'!$B$5,H388&lt;&gt;"")</f>
        <v>0</v>
      </c>
      <c r="N388" s="21" t="str">
        <f aca="false">IF(OR(D388="",E388=""),"",ABS(D388-E388))</f>
        <v/>
      </c>
      <c r="O388" s="22" t="str">
        <f aca="false">IF(OR(H388="",N388="",N388=0),"",IF(C388="BUY",1,-1)*(H388-D388)/N388)</f>
        <v/>
      </c>
      <c r="P388" s="23" t="str">
        <f aca="false">IF(OR(H388="",D388="",K388=""),"",IF(C388="BUY",1,-1)*(H388-D388)*K388*'Read Me'!$B$10-L388)</f>
        <v/>
      </c>
      <c r="Q388" s="4" t="str">
        <f aca="false">IF(O388="","",IF(O388&gt;0,"WIN","LOSS"))</f>
        <v/>
      </c>
      <c r="R388" s="22" t="str">
        <f aca="false">IF(AND(M388,O388&lt;&gt;""),O388,"")</f>
        <v/>
      </c>
      <c r="S388" s="22" t="n">
        <f aca="false">S387+IF(R388="",0,R388)</f>
        <v>0</v>
      </c>
      <c r="T388" s="22" t="n">
        <f aca="false">MAX(T387,S388)</f>
        <v>0</v>
      </c>
      <c r="U388" s="22" t="n">
        <f aca="false">T388-S388</f>
        <v>0</v>
      </c>
      <c r="V388" s="16"/>
    </row>
    <row r="389" customFormat="false" ht="15" hidden="false" customHeight="true" outlineLevel="0" collapsed="false">
      <c r="A389" s="4" t="str">
        <f aca="false">IF(B389="","",ROW()-1)</f>
        <v/>
      </c>
      <c r="B389" s="15"/>
      <c r="C389" s="16"/>
      <c r="D389" s="17"/>
      <c r="E389" s="17"/>
      <c r="F389" s="17"/>
      <c r="G389" s="18"/>
      <c r="H389" s="17"/>
      <c r="I389" s="16"/>
      <c r="J389" s="16"/>
      <c r="K389" s="17"/>
      <c r="L389" s="19"/>
      <c r="M389" s="20" t="b">
        <f aca="false">AND(B389&lt;&gt;"",B389&gt;='Read Me'!$B$5,H389&lt;&gt;"")</f>
        <v>0</v>
      </c>
      <c r="N389" s="21" t="str">
        <f aca="false">IF(OR(D389="",E389=""),"",ABS(D389-E389))</f>
        <v/>
      </c>
      <c r="O389" s="22" t="str">
        <f aca="false">IF(OR(H389="",N389="",N389=0),"",IF(C389="BUY",1,-1)*(H389-D389)/N389)</f>
        <v/>
      </c>
      <c r="P389" s="23" t="str">
        <f aca="false">IF(OR(H389="",D389="",K389=""),"",IF(C389="BUY",1,-1)*(H389-D389)*K389*'Read Me'!$B$10-L389)</f>
        <v/>
      </c>
      <c r="Q389" s="4" t="str">
        <f aca="false">IF(O389="","",IF(O389&gt;0,"WIN","LOSS"))</f>
        <v/>
      </c>
      <c r="R389" s="22" t="str">
        <f aca="false">IF(AND(M389,O389&lt;&gt;""),O389,"")</f>
        <v/>
      </c>
      <c r="S389" s="22" t="n">
        <f aca="false">S388+IF(R389="",0,R389)</f>
        <v>0</v>
      </c>
      <c r="T389" s="22" t="n">
        <f aca="false">MAX(T388,S389)</f>
        <v>0</v>
      </c>
      <c r="U389" s="22" t="n">
        <f aca="false">T389-S389</f>
        <v>0</v>
      </c>
      <c r="V389" s="16"/>
    </row>
    <row r="390" customFormat="false" ht="15" hidden="false" customHeight="true" outlineLevel="0" collapsed="false">
      <c r="A390" s="4" t="str">
        <f aca="false">IF(B390="","",ROW()-1)</f>
        <v/>
      </c>
      <c r="B390" s="15"/>
      <c r="C390" s="16"/>
      <c r="D390" s="17"/>
      <c r="E390" s="17"/>
      <c r="F390" s="17"/>
      <c r="G390" s="18"/>
      <c r="H390" s="17"/>
      <c r="I390" s="16"/>
      <c r="J390" s="16"/>
      <c r="K390" s="17"/>
      <c r="L390" s="19"/>
      <c r="M390" s="20" t="b">
        <f aca="false">AND(B390&lt;&gt;"",B390&gt;='Read Me'!$B$5,H390&lt;&gt;"")</f>
        <v>0</v>
      </c>
      <c r="N390" s="21" t="str">
        <f aca="false">IF(OR(D390="",E390=""),"",ABS(D390-E390))</f>
        <v/>
      </c>
      <c r="O390" s="22" t="str">
        <f aca="false">IF(OR(H390="",N390="",N390=0),"",IF(C390="BUY",1,-1)*(H390-D390)/N390)</f>
        <v/>
      </c>
      <c r="P390" s="23" t="str">
        <f aca="false">IF(OR(H390="",D390="",K390=""),"",IF(C390="BUY",1,-1)*(H390-D390)*K390*'Read Me'!$B$10-L390)</f>
        <v/>
      </c>
      <c r="Q390" s="4" t="str">
        <f aca="false">IF(O390="","",IF(O390&gt;0,"WIN","LOSS"))</f>
        <v/>
      </c>
      <c r="R390" s="22" t="str">
        <f aca="false">IF(AND(M390,O390&lt;&gt;""),O390,"")</f>
        <v/>
      </c>
      <c r="S390" s="22" t="n">
        <f aca="false">S389+IF(R390="",0,R390)</f>
        <v>0</v>
      </c>
      <c r="T390" s="22" t="n">
        <f aca="false">MAX(T389,S390)</f>
        <v>0</v>
      </c>
      <c r="U390" s="22" t="n">
        <f aca="false">T390-S390</f>
        <v>0</v>
      </c>
      <c r="V390" s="16"/>
    </row>
    <row r="391" customFormat="false" ht="15" hidden="false" customHeight="true" outlineLevel="0" collapsed="false">
      <c r="A391" s="4" t="str">
        <f aca="false">IF(B391="","",ROW()-1)</f>
        <v/>
      </c>
      <c r="B391" s="15"/>
      <c r="C391" s="16"/>
      <c r="D391" s="17"/>
      <c r="E391" s="17"/>
      <c r="F391" s="17"/>
      <c r="G391" s="18"/>
      <c r="H391" s="17"/>
      <c r="I391" s="16"/>
      <c r="J391" s="16"/>
      <c r="K391" s="17"/>
      <c r="L391" s="19"/>
      <c r="M391" s="20" t="b">
        <f aca="false">AND(B391&lt;&gt;"",B391&gt;='Read Me'!$B$5,H391&lt;&gt;"")</f>
        <v>0</v>
      </c>
      <c r="N391" s="21" t="str">
        <f aca="false">IF(OR(D391="",E391=""),"",ABS(D391-E391))</f>
        <v/>
      </c>
      <c r="O391" s="22" t="str">
        <f aca="false">IF(OR(H391="",N391="",N391=0),"",IF(C391="BUY",1,-1)*(H391-D391)/N391)</f>
        <v/>
      </c>
      <c r="P391" s="23" t="str">
        <f aca="false">IF(OR(H391="",D391="",K391=""),"",IF(C391="BUY",1,-1)*(H391-D391)*K391*'Read Me'!$B$10-L391)</f>
        <v/>
      </c>
      <c r="Q391" s="4" t="str">
        <f aca="false">IF(O391="","",IF(O391&gt;0,"WIN","LOSS"))</f>
        <v/>
      </c>
      <c r="R391" s="22" t="str">
        <f aca="false">IF(AND(M391,O391&lt;&gt;""),O391,"")</f>
        <v/>
      </c>
      <c r="S391" s="22" t="n">
        <f aca="false">S390+IF(R391="",0,R391)</f>
        <v>0</v>
      </c>
      <c r="T391" s="22" t="n">
        <f aca="false">MAX(T390,S391)</f>
        <v>0</v>
      </c>
      <c r="U391" s="22" t="n">
        <f aca="false">T391-S391</f>
        <v>0</v>
      </c>
      <c r="V391" s="16"/>
    </row>
    <row r="392" customFormat="false" ht="15" hidden="false" customHeight="true" outlineLevel="0" collapsed="false">
      <c r="A392" s="4" t="str">
        <f aca="false">IF(B392="","",ROW()-1)</f>
        <v/>
      </c>
      <c r="B392" s="15"/>
      <c r="C392" s="16"/>
      <c r="D392" s="17"/>
      <c r="E392" s="17"/>
      <c r="F392" s="17"/>
      <c r="G392" s="18"/>
      <c r="H392" s="17"/>
      <c r="I392" s="16"/>
      <c r="J392" s="16"/>
      <c r="K392" s="17"/>
      <c r="L392" s="19"/>
      <c r="M392" s="20" t="b">
        <f aca="false">AND(B392&lt;&gt;"",B392&gt;='Read Me'!$B$5,H392&lt;&gt;"")</f>
        <v>0</v>
      </c>
      <c r="N392" s="21" t="str">
        <f aca="false">IF(OR(D392="",E392=""),"",ABS(D392-E392))</f>
        <v/>
      </c>
      <c r="O392" s="22" t="str">
        <f aca="false">IF(OR(H392="",N392="",N392=0),"",IF(C392="BUY",1,-1)*(H392-D392)/N392)</f>
        <v/>
      </c>
      <c r="P392" s="23" t="str">
        <f aca="false">IF(OR(H392="",D392="",K392=""),"",IF(C392="BUY",1,-1)*(H392-D392)*K392*'Read Me'!$B$10-L392)</f>
        <v/>
      </c>
      <c r="Q392" s="4" t="str">
        <f aca="false">IF(O392="","",IF(O392&gt;0,"WIN","LOSS"))</f>
        <v/>
      </c>
      <c r="R392" s="22" t="str">
        <f aca="false">IF(AND(M392,O392&lt;&gt;""),O392,"")</f>
        <v/>
      </c>
      <c r="S392" s="22" t="n">
        <f aca="false">S391+IF(R392="",0,R392)</f>
        <v>0</v>
      </c>
      <c r="T392" s="22" t="n">
        <f aca="false">MAX(T391,S392)</f>
        <v>0</v>
      </c>
      <c r="U392" s="22" t="n">
        <f aca="false">T392-S392</f>
        <v>0</v>
      </c>
      <c r="V392" s="16"/>
    </row>
    <row r="393" customFormat="false" ht="15" hidden="false" customHeight="true" outlineLevel="0" collapsed="false">
      <c r="A393" s="4" t="str">
        <f aca="false">IF(B393="","",ROW()-1)</f>
        <v/>
      </c>
      <c r="B393" s="15"/>
      <c r="C393" s="16"/>
      <c r="D393" s="17"/>
      <c r="E393" s="17"/>
      <c r="F393" s="17"/>
      <c r="G393" s="18"/>
      <c r="H393" s="17"/>
      <c r="I393" s="16"/>
      <c r="J393" s="16"/>
      <c r="K393" s="17"/>
      <c r="L393" s="19"/>
      <c r="M393" s="20" t="b">
        <f aca="false">AND(B393&lt;&gt;"",B393&gt;='Read Me'!$B$5,H393&lt;&gt;"")</f>
        <v>0</v>
      </c>
      <c r="N393" s="21" t="str">
        <f aca="false">IF(OR(D393="",E393=""),"",ABS(D393-E393))</f>
        <v/>
      </c>
      <c r="O393" s="22" t="str">
        <f aca="false">IF(OR(H393="",N393="",N393=0),"",IF(C393="BUY",1,-1)*(H393-D393)/N393)</f>
        <v/>
      </c>
      <c r="P393" s="23" t="str">
        <f aca="false">IF(OR(H393="",D393="",K393=""),"",IF(C393="BUY",1,-1)*(H393-D393)*K393*'Read Me'!$B$10-L393)</f>
        <v/>
      </c>
      <c r="Q393" s="4" t="str">
        <f aca="false">IF(O393="","",IF(O393&gt;0,"WIN","LOSS"))</f>
        <v/>
      </c>
      <c r="R393" s="22" t="str">
        <f aca="false">IF(AND(M393,O393&lt;&gt;""),O393,"")</f>
        <v/>
      </c>
      <c r="S393" s="22" t="n">
        <f aca="false">S392+IF(R393="",0,R393)</f>
        <v>0</v>
      </c>
      <c r="T393" s="22" t="n">
        <f aca="false">MAX(T392,S393)</f>
        <v>0</v>
      </c>
      <c r="U393" s="22" t="n">
        <f aca="false">T393-S393</f>
        <v>0</v>
      </c>
      <c r="V393" s="16"/>
    </row>
    <row r="394" customFormat="false" ht="15" hidden="false" customHeight="true" outlineLevel="0" collapsed="false">
      <c r="A394" s="4" t="str">
        <f aca="false">IF(B394="","",ROW()-1)</f>
        <v/>
      </c>
      <c r="B394" s="15"/>
      <c r="C394" s="16"/>
      <c r="D394" s="17"/>
      <c r="E394" s="17"/>
      <c r="F394" s="17"/>
      <c r="G394" s="18"/>
      <c r="H394" s="17"/>
      <c r="I394" s="16"/>
      <c r="J394" s="16"/>
      <c r="K394" s="17"/>
      <c r="L394" s="19"/>
      <c r="M394" s="20" t="b">
        <f aca="false">AND(B394&lt;&gt;"",B394&gt;='Read Me'!$B$5,H394&lt;&gt;"")</f>
        <v>0</v>
      </c>
      <c r="N394" s="21" t="str">
        <f aca="false">IF(OR(D394="",E394=""),"",ABS(D394-E394))</f>
        <v/>
      </c>
      <c r="O394" s="22" t="str">
        <f aca="false">IF(OR(H394="",N394="",N394=0),"",IF(C394="BUY",1,-1)*(H394-D394)/N394)</f>
        <v/>
      </c>
      <c r="P394" s="23" t="str">
        <f aca="false">IF(OR(H394="",D394="",K394=""),"",IF(C394="BUY",1,-1)*(H394-D394)*K394*'Read Me'!$B$10-L394)</f>
        <v/>
      </c>
      <c r="Q394" s="4" t="str">
        <f aca="false">IF(O394="","",IF(O394&gt;0,"WIN","LOSS"))</f>
        <v/>
      </c>
      <c r="R394" s="22" t="str">
        <f aca="false">IF(AND(M394,O394&lt;&gt;""),O394,"")</f>
        <v/>
      </c>
      <c r="S394" s="22" t="n">
        <f aca="false">S393+IF(R394="",0,R394)</f>
        <v>0</v>
      </c>
      <c r="T394" s="22" t="n">
        <f aca="false">MAX(T393,S394)</f>
        <v>0</v>
      </c>
      <c r="U394" s="22" t="n">
        <f aca="false">T394-S394</f>
        <v>0</v>
      </c>
      <c r="V394" s="16"/>
    </row>
    <row r="395" customFormat="false" ht="15" hidden="false" customHeight="true" outlineLevel="0" collapsed="false">
      <c r="A395" s="4" t="str">
        <f aca="false">IF(B395="","",ROW()-1)</f>
        <v/>
      </c>
      <c r="B395" s="15"/>
      <c r="C395" s="16"/>
      <c r="D395" s="17"/>
      <c r="E395" s="17"/>
      <c r="F395" s="17"/>
      <c r="G395" s="18"/>
      <c r="H395" s="17"/>
      <c r="I395" s="16"/>
      <c r="J395" s="16"/>
      <c r="K395" s="17"/>
      <c r="L395" s="19"/>
      <c r="M395" s="20" t="b">
        <f aca="false">AND(B395&lt;&gt;"",B395&gt;='Read Me'!$B$5,H395&lt;&gt;"")</f>
        <v>0</v>
      </c>
      <c r="N395" s="21" t="str">
        <f aca="false">IF(OR(D395="",E395=""),"",ABS(D395-E395))</f>
        <v/>
      </c>
      <c r="O395" s="22" t="str">
        <f aca="false">IF(OR(H395="",N395="",N395=0),"",IF(C395="BUY",1,-1)*(H395-D395)/N395)</f>
        <v/>
      </c>
      <c r="P395" s="23" t="str">
        <f aca="false">IF(OR(H395="",D395="",K395=""),"",IF(C395="BUY",1,-1)*(H395-D395)*K395*'Read Me'!$B$10-L395)</f>
        <v/>
      </c>
      <c r="Q395" s="4" t="str">
        <f aca="false">IF(O395="","",IF(O395&gt;0,"WIN","LOSS"))</f>
        <v/>
      </c>
      <c r="R395" s="22" t="str">
        <f aca="false">IF(AND(M395,O395&lt;&gt;""),O395,"")</f>
        <v/>
      </c>
      <c r="S395" s="22" t="n">
        <f aca="false">S394+IF(R395="",0,R395)</f>
        <v>0</v>
      </c>
      <c r="T395" s="22" t="n">
        <f aca="false">MAX(T394,S395)</f>
        <v>0</v>
      </c>
      <c r="U395" s="22" t="n">
        <f aca="false">T395-S395</f>
        <v>0</v>
      </c>
      <c r="V395" s="16"/>
    </row>
    <row r="396" customFormat="false" ht="15" hidden="false" customHeight="true" outlineLevel="0" collapsed="false">
      <c r="A396" s="4" t="str">
        <f aca="false">IF(B396="","",ROW()-1)</f>
        <v/>
      </c>
      <c r="B396" s="15"/>
      <c r="C396" s="16"/>
      <c r="D396" s="17"/>
      <c r="E396" s="17"/>
      <c r="F396" s="17"/>
      <c r="G396" s="18"/>
      <c r="H396" s="17"/>
      <c r="I396" s="16"/>
      <c r="J396" s="16"/>
      <c r="K396" s="17"/>
      <c r="L396" s="19"/>
      <c r="M396" s="20" t="b">
        <f aca="false">AND(B396&lt;&gt;"",B396&gt;='Read Me'!$B$5,H396&lt;&gt;"")</f>
        <v>0</v>
      </c>
      <c r="N396" s="21" t="str">
        <f aca="false">IF(OR(D396="",E396=""),"",ABS(D396-E396))</f>
        <v/>
      </c>
      <c r="O396" s="22" t="str">
        <f aca="false">IF(OR(H396="",N396="",N396=0),"",IF(C396="BUY",1,-1)*(H396-D396)/N396)</f>
        <v/>
      </c>
      <c r="P396" s="23" t="str">
        <f aca="false">IF(OR(H396="",D396="",K396=""),"",IF(C396="BUY",1,-1)*(H396-D396)*K396*'Read Me'!$B$10-L396)</f>
        <v/>
      </c>
      <c r="Q396" s="4" t="str">
        <f aca="false">IF(O396="","",IF(O396&gt;0,"WIN","LOSS"))</f>
        <v/>
      </c>
      <c r="R396" s="22" t="str">
        <f aca="false">IF(AND(M396,O396&lt;&gt;""),O396,"")</f>
        <v/>
      </c>
      <c r="S396" s="22" t="n">
        <f aca="false">S395+IF(R396="",0,R396)</f>
        <v>0</v>
      </c>
      <c r="T396" s="22" t="n">
        <f aca="false">MAX(T395,S396)</f>
        <v>0</v>
      </c>
      <c r="U396" s="22" t="n">
        <f aca="false">T396-S396</f>
        <v>0</v>
      </c>
      <c r="V396" s="16"/>
    </row>
    <row r="397" customFormat="false" ht="15" hidden="false" customHeight="true" outlineLevel="0" collapsed="false">
      <c r="A397" s="4" t="str">
        <f aca="false">IF(B397="","",ROW()-1)</f>
        <v/>
      </c>
      <c r="B397" s="15"/>
      <c r="C397" s="16"/>
      <c r="D397" s="17"/>
      <c r="E397" s="17"/>
      <c r="F397" s="17"/>
      <c r="G397" s="18"/>
      <c r="H397" s="17"/>
      <c r="I397" s="16"/>
      <c r="J397" s="16"/>
      <c r="K397" s="17"/>
      <c r="L397" s="19"/>
      <c r="M397" s="20" t="b">
        <f aca="false">AND(B397&lt;&gt;"",B397&gt;='Read Me'!$B$5,H397&lt;&gt;"")</f>
        <v>0</v>
      </c>
      <c r="N397" s="21" t="str">
        <f aca="false">IF(OR(D397="",E397=""),"",ABS(D397-E397))</f>
        <v/>
      </c>
      <c r="O397" s="22" t="str">
        <f aca="false">IF(OR(H397="",N397="",N397=0),"",IF(C397="BUY",1,-1)*(H397-D397)/N397)</f>
        <v/>
      </c>
      <c r="P397" s="23" t="str">
        <f aca="false">IF(OR(H397="",D397="",K397=""),"",IF(C397="BUY",1,-1)*(H397-D397)*K397*'Read Me'!$B$10-L397)</f>
        <v/>
      </c>
      <c r="Q397" s="4" t="str">
        <f aca="false">IF(O397="","",IF(O397&gt;0,"WIN","LOSS"))</f>
        <v/>
      </c>
      <c r="R397" s="22" t="str">
        <f aca="false">IF(AND(M397,O397&lt;&gt;""),O397,"")</f>
        <v/>
      </c>
      <c r="S397" s="22" t="n">
        <f aca="false">S396+IF(R397="",0,R397)</f>
        <v>0</v>
      </c>
      <c r="T397" s="22" t="n">
        <f aca="false">MAX(T396,S397)</f>
        <v>0</v>
      </c>
      <c r="U397" s="22" t="n">
        <f aca="false">T397-S397</f>
        <v>0</v>
      </c>
      <c r="V397" s="16"/>
    </row>
    <row r="398" customFormat="false" ht="15" hidden="false" customHeight="true" outlineLevel="0" collapsed="false">
      <c r="A398" s="4" t="str">
        <f aca="false">IF(B398="","",ROW()-1)</f>
        <v/>
      </c>
      <c r="B398" s="15"/>
      <c r="C398" s="16"/>
      <c r="D398" s="17"/>
      <c r="E398" s="17"/>
      <c r="F398" s="17"/>
      <c r="G398" s="18"/>
      <c r="H398" s="17"/>
      <c r="I398" s="16"/>
      <c r="J398" s="16"/>
      <c r="K398" s="17"/>
      <c r="L398" s="19"/>
      <c r="M398" s="20" t="b">
        <f aca="false">AND(B398&lt;&gt;"",B398&gt;='Read Me'!$B$5,H398&lt;&gt;"")</f>
        <v>0</v>
      </c>
      <c r="N398" s="21" t="str">
        <f aca="false">IF(OR(D398="",E398=""),"",ABS(D398-E398))</f>
        <v/>
      </c>
      <c r="O398" s="22" t="str">
        <f aca="false">IF(OR(H398="",N398="",N398=0),"",IF(C398="BUY",1,-1)*(H398-D398)/N398)</f>
        <v/>
      </c>
      <c r="P398" s="23" t="str">
        <f aca="false">IF(OR(H398="",D398="",K398=""),"",IF(C398="BUY",1,-1)*(H398-D398)*K398*'Read Me'!$B$10-L398)</f>
        <v/>
      </c>
      <c r="Q398" s="4" t="str">
        <f aca="false">IF(O398="","",IF(O398&gt;0,"WIN","LOSS"))</f>
        <v/>
      </c>
      <c r="R398" s="22" t="str">
        <f aca="false">IF(AND(M398,O398&lt;&gt;""),O398,"")</f>
        <v/>
      </c>
      <c r="S398" s="22" t="n">
        <f aca="false">S397+IF(R398="",0,R398)</f>
        <v>0</v>
      </c>
      <c r="T398" s="22" t="n">
        <f aca="false">MAX(T397,S398)</f>
        <v>0</v>
      </c>
      <c r="U398" s="22" t="n">
        <f aca="false">T398-S398</f>
        <v>0</v>
      </c>
      <c r="V398" s="16"/>
    </row>
    <row r="399" customFormat="false" ht="15" hidden="false" customHeight="true" outlineLevel="0" collapsed="false">
      <c r="A399" s="4" t="str">
        <f aca="false">IF(B399="","",ROW()-1)</f>
        <v/>
      </c>
      <c r="B399" s="15"/>
      <c r="C399" s="16"/>
      <c r="D399" s="17"/>
      <c r="E399" s="17"/>
      <c r="F399" s="17"/>
      <c r="G399" s="18"/>
      <c r="H399" s="17"/>
      <c r="I399" s="16"/>
      <c r="J399" s="16"/>
      <c r="K399" s="17"/>
      <c r="L399" s="19"/>
      <c r="M399" s="20" t="b">
        <f aca="false">AND(B399&lt;&gt;"",B399&gt;='Read Me'!$B$5,H399&lt;&gt;"")</f>
        <v>0</v>
      </c>
      <c r="N399" s="21" t="str">
        <f aca="false">IF(OR(D399="",E399=""),"",ABS(D399-E399))</f>
        <v/>
      </c>
      <c r="O399" s="22" t="str">
        <f aca="false">IF(OR(H399="",N399="",N399=0),"",IF(C399="BUY",1,-1)*(H399-D399)/N399)</f>
        <v/>
      </c>
      <c r="P399" s="23" t="str">
        <f aca="false">IF(OR(H399="",D399="",K399=""),"",IF(C399="BUY",1,-1)*(H399-D399)*K399*'Read Me'!$B$10-L399)</f>
        <v/>
      </c>
      <c r="Q399" s="4" t="str">
        <f aca="false">IF(O399="","",IF(O399&gt;0,"WIN","LOSS"))</f>
        <v/>
      </c>
      <c r="R399" s="22" t="str">
        <f aca="false">IF(AND(M399,O399&lt;&gt;""),O399,"")</f>
        <v/>
      </c>
      <c r="S399" s="22" t="n">
        <f aca="false">S398+IF(R399="",0,R399)</f>
        <v>0</v>
      </c>
      <c r="T399" s="22" t="n">
        <f aca="false">MAX(T398,S399)</f>
        <v>0</v>
      </c>
      <c r="U399" s="22" t="n">
        <f aca="false">T399-S399</f>
        <v>0</v>
      </c>
      <c r="V399" s="16"/>
    </row>
    <row r="400" customFormat="false" ht="15" hidden="false" customHeight="true" outlineLevel="0" collapsed="false">
      <c r="A400" s="4" t="str">
        <f aca="false">IF(B400="","",ROW()-1)</f>
        <v/>
      </c>
      <c r="B400" s="15"/>
      <c r="C400" s="16"/>
      <c r="D400" s="17"/>
      <c r="E400" s="17"/>
      <c r="F400" s="17"/>
      <c r="G400" s="18"/>
      <c r="H400" s="17"/>
      <c r="I400" s="16"/>
      <c r="J400" s="16"/>
      <c r="K400" s="17"/>
      <c r="L400" s="19"/>
      <c r="M400" s="20" t="b">
        <f aca="false">AND(B400&lt;&gt;"",B400&gt;='Read Me'!$B$5,H400&lt;&gt;"")</f>
        <v>0</v>
      </c>
      <c r="N400" s="21" t="str">
        <f aca="false">IF(OR(D400="",E400=""),"",ABS(D400-E400))</f>
        <v/>
      </c>
      <c r="O400" s="22" t="str">
        <f aca="false">IF(OR(H400="",N400="",N400=0),"",IF(C400="BUY",1,-1)*(H400-D400)/N400)</f>
        <v/>
      </c>
      <c r="P400" s="23" t="str">
        <f aca="false">IF(OR(H400="",D400="",K400=""),"",IF(C400="BUY",1,-1)*(H400-D400)*K400*'Read Me'!$B$10-L400)</f>
        <v/>
      </c>
      <c r="Q400" s="4" t="str">
        <f aca="false">IF(O400="","",IF(O400&gt;0,"WIN","LOSS"))</f>
        <v/>
      </c>
      <c r="R400" s="22" t="str">
        <f aca="false">IF(AND(M400,O400&lt;&gt;""),O400,"")</f>
        <v/>
      </c>
      <c r="S400" s="22" t="n">
        <f aca="false">S399+IF(R400="",0,R400)</f>
        <v>0</v>
      </c>
      <c r="T400" s="22" t="n">
        <f aca="false">MAX(T399,S400)</f>
        <v>0</v>
      </c>
      <c r="U400" s="22" t="n">
        <f aca="false">T400-S400</f>
        <v>0</v>
      </c>
      <c r="V400" s="16"/>
    </row>
    <row r="401" customFormat="false" ht="15" hidden="false" customHeight="true" outlineLevel="0" collapsed="false">
      <c r="A401" s="4" t="str">
        <f aca="false">IF(B401="","",ROW()-1)</f>
        <v/>
      </c>
      <c r="B401" s="15"/>
      <c r="C401" s="16"/>
      <c r="D401" s="17"/>
      <c r="E401" s="17"/>
      <c r="F401" s="17"/>
      <c r="G401" s="18"/>
      <c r="H401" s="17"/>
      <c r="I401" s="16"/>
      <c r="J401" s="16"/>
      <c r="K401" s="17"/>
      <c r="L401" s="19"/>
      <c r="M401" s="20" t="b">
        <f aca="false">AND(B401&lt;&gt;"",B401&gt;='Read Me'!$B$5,H401&lt;&gt;"")</f>
        <v>0</v>
      </c>
      <c r="N401" s="21" t="str">
        <f aca="false">IF(OR(D401="",E401=""),"",ABS(D401-E401))</f>
        <v/>
      </c>
      <c r="O401" s="22" t="str">
        <f aca="false">IF(OR(H401="",N401="",N401=0),"",IF(C401="BUY",1,-1)*(H401-D401)/N401)</f>
        <v/>
      </c>
      <c r="P401" s="23" t="str">
        <f aca="false">IF(OR(H401="",D401="",K401=""),"",IF(C401="BUY",1,-1)*(H401-D401)*K401*'Read Me'!$B$10-L401)</f>
        <v/>
      </c>
      <c r="Q401" s="4" t="str">
        <f aca="false">IF(O401="","",IF(O401&gt;0,"WIN","LOSS"))</f>
        <v/>
      </c>
      <c r="R401" s="22" t="str">
        <f aca="false">IF(AND(M401,O401&lt;&gt;""),O401,"")</f>
        <v/>
      </c>
      <c r="S401" s="22" t="n">
        <f aca="false">S400+IF(R401="",0,R401)</f>
        <v>0</v>
      </c>
      <c r="T401" s="22" t="n">
        <f aca="false">MAX(T400,S401)</f>
        <v>0</v>
      </c>
      <c r="U401" s="22" t="n">
        <f aca="false">T401-S401</f>
        <v>0</v>
      </c>
      <c r="V401" s="16"/>
    </row>
    <row r="402" customFormat="false" ht="15" hidden="false" customHeight="true" outlineLevel="0" collapsed="false">
      <c r="A402" s="4" t="str">
        <f aca="false">IF(B402="","",ROW()-1)</f>
        <v/>
      </c>
      <c r="B402" s="15"/>
      <c r="C402" s="16"/>
      <c r="D402" s="17"/>
      <c r="E402" s="17"/>
      <c r="F402" s="17"/>
      <c r="G402" s="18"/>
      <c r="H402" s="17"/>
      <c r="I402" s="16"/>
      <c r="J402" s="16"/>
      <c r="K402" s="17"/>
      <c r="L402" s="19"/>
      <c r="M402" s="20" t="b">
        <f aca="false">AND(B402&lt;&gt;"",B402&gt;='Read Me'!$B$5,H402&lt;&gt;"")</f>
        <v>0</v>
      </c>
      <c r="N402" s="21" t="str">
        <f aca="false">IF(OR(D402="",E402=""),"",ABS(D402-E402))</f>
        <v/>
      </c>
      <c r="O402" s="22" t="str">
        <f aca="false">IF(OR(H402="",N402="",N402=0),"",IF(C402="BUY",1,-1)*(H402-D402)/N402)</f>
        <v/>
      </c>
      <c r="P402" s="23" t="str">
        <f aca="false">IF(OR(H402="",D402="",K402=""),"",IF(C402="BUY",1,-1)*(H402-D402)*K402*'Read Me'!$B$10-L402)</f>
        <v/>
      </c>
      <c r="Q402" s="4" t="str">
        <f aca="false">IF(O402="","",IF(O402&gt;0,"WIN","LOSS"))</f>
        <v/>
      </c>
      <c r="R402" s="22" t="str">
        <f aca="false">IF(AND(M402,O402&lt;&gt;""),O402,"")</f>
        <v/>
      </c>
      <c r="S402" s="22" t="n">
        <f aca="false">S401+IF(R402="",0,R402)</f>
        <v>0</v>
      </c>
      <c r="T402" s="22" t="n">
        <f aca="false">MAX(T401,S402)</f>
        <v>0</v>
      </c>
      <c r="U402" s="22" t="n">
        <f aca="false">T402-S402</f>
        <v>0</v>
      </c>
      <c r="V402" s="16"/>
    </row>
    <row r="403" customFormat="false" ht="15" hidden="false" customHeight="true" outlineLevel="0" collapsed="false">
      <c r="A403" s="4" t="str">
        <f aca="false">IF(B403="","",ROW()-1)</f>
        <v/>
      </c>
      <c r="B403" s="15"/>
      <c r="C403" s="16"/>
      <c r="D403" s="17"/>
      <c r="E403" s="17"/>
      <c r="F403" s="17"/>
      <c r="G403" s="18"/>
      <c r="H403" s="17"/>
      <c r="I403" s="16"/>
      <c r="J403" s="16"/>
      <c r="K403" s="17"/>
      <c r="L403" s="19"/>
      <c r="M403" s="20" t="b">
        <f aca="false">AND(B403&lt;&gt;"",B403&gt;='Read Me'!$B$5,H403&lt;&gt;"")</f>
        <v>0</v>
      </c>
      <c r="N403" s="21" t="str">
        <f aca="false">IF(OR(D403="",E403=""),"",ABS(D403-E403))</f>
        <v/>
      </c>
      <c r="O403" s="22" t="str">
        <f aca="false">IF(OR(H403="",N403="",N403=0),"",IF(C403="BUY",1,-1)*(H403-D403)/N403)</f>
        <v/>
      </c>
      <c r="P403" s="23" t="str">
        <f aca="false">IF(OR(H403="",D403="",K403=""),"",IF(C403="BUY",1,-1)*(H403-D403)*K403*'Read Me'!$B$10-L403)</f>
        <v/>
      </c>
      <c r="Q403" s="4" t="str">
        <f aca="false">IF(O403="","",IF(O403&gt;0,"WIN","LOSS"))</f>
        <v/>
      </c>
      <c r="R403" s="22" t="str">
        <f aca="false">IF(AND(M403,O403&lt;&gt;""),O403,"")</f>
        <v/>
      </c>
      <c r="S403" s="22" t="n">
        <f aca="false">S402+IF(R403="",0,R403)</f>
        <v>0</v>
      </c>
      <c r="T403" s="22" t="n">
        <f aca="false">MAX(T402,S403)</f>
        <v>0</v>
      </c>
      <c r="U403" s="22" t="n">
        <f aca="false">T403-S403</f>
        <v>0</v>
      </c>
      <c r="V403" s="16"/>
    </row>
    <row r="404" customFormat="false" ht="15" hidden="false" customHeight="true" outlineLevel="0" collapsed="false">
      <c r="A404" s="4" t="str">
        <f aca="false">IF(B404="","",ROW()-1)</f>
        <v/>
      </c>
      <c r="B404" s="15"/>
      <c r="C404" s="16"/>
      <c r="D404" s="17"/>
      <c r="E404" s="17"/>
      <c r="F404" s="17"/>
      <c r="G404" s="18"/>
      <c r="H404" s="17"/>
      <c r="I404" s="16"/>
      <c r="J404" s="16"/>
      <c r="K404" s="17"/>
      <c r="L404" s="19"/>
      <c r="M404" s="20" t="b">
        <f aca="false">AND(B404&lt;&gt;"",B404&gt;='Read Me'!$B$5,H404&lt;&gt;"")</f>
        <v>0</v>
      </c>
      <c r="N404" s="21" t="str">
        <f aca="false">IF(OR(D404="",E404=""),"",ABS(D404-E404))</f>
        <v/>
      </c>
      <c r="O404" s="22" t="str">
        <f aca="false">IF(OR(H404="",N404="",N404=0),"",IF(C404="BUY",1,-1)*(H404-D404)/N404)</f>
        <v/>
      </c>
      <c r="P404" s="23" t="str">
        <f aca="false">IF(OR(H404="",D404="",K404=""),"",IF(C404="BUY",1,-1)*(H404-D404)*K404*'Read Me'!$B$10-L404)</f>
        <v/>
      </c>
      <c r="Q404" s="4" t="str">
        <f aca="false">IF(O404="","",IF(O404&gt;0,"WIN","LOSS"))</f>
        <v/>
      </c>
      <c r="R404" s="22" t="str">
        <f aca="false">IF(AND(M404,O404&lt;&gt;""),O404,"")</f>
        <v/>
      </c>
      <c r="S404" s="22" t="n">
        <f aca="false">S403+IF(R404="",0,R404)</f>
        <v>0</v>
      </c>
      <c r="T404" s="22" t="n">
        <f aca="false">MAX(T403,S404)</f>
        <v>0</v>
      </c>
      <c r="U404" s="22" t="n">
        <f aca="false">T404-S404</f>
        <v>0</v>
      </c>
      <c r="V404" s="16"/>
    </row>
    <row r="405" customFormat="false" ht="15" hidden="false" customHeight="true" outlineLevel="0" collapsed="false">
      <c r="A405" s="4" t="str">
        <f aca="false">IF(B405="","",ROW()-1)</f>
        <v/>
      </c>
      <c r="B405" s="15"/>
      <c r="C405" s="16"/>
      <c r="D405" s="17"/>
      <c r="E405" s="17"/>
      <c r="F405" s="17"/>
      <c r="G405" s="18"/>
      <c r="H405" s="17"/>
      <c r="I405" s="16"/>
      <c r="J405" s="16"/>
      <c r="K405" s="17"/>
      <c r="L405" s="19"/>
      <c r="M405" s="20" t="b">
        <f aca="false">AND(B405&lt;&gt;"",B405&gt;='Read Me'!$B$5,H405&lt;&gt;"")</f>
        <v>0</v>
      </c>
      <c r="N405" s="21" t="str">
        <f aca="false">IF(OR(D405="",E405=""),"",ABS(D405-E405))</f>
        <v/>
      </c>
      <c r="O405" s="22" t="str">
        <f aca="false">IF(OR(H405="",N405="",N405=0),"",IF(C405="BUY",1,-1)*(H405-D405)/N405)</f>
        <v/>
      </c>
      <c r="P405" s="23" t="str">
        <f aca="false">IF(OR(H405="",D405="",K405=""),"",IF(C405="BUY",1,-1)*(H405-D405)*K405*'Read Me'!$B$10-L405)</f>
        <v/>
      </c>
      <c r="Q405" s="4" t="str">
        <f aca="false">IF(O405="","",IF(O405&gt;0,"WIN","LOSS"))</f>
        <v/>
      </c>
      <c r="R405" s="22" t="str">
        <f aca="false">IF(AND(M405,O405&lt;&gt;""),O405,"")</f>
        <v/>
      </c>
      <c r="S405" s="22" t="n">
        <f aca="false">S404+IF(R405="",0,R405)</f>
        <v>0</v>
      </c>
      <c r="T405" s="22" t="n">
        <f aca="false">MAX(T404,S405)</f>
        <v>0</v>
      </c>
      <c r="U405" s="22" t="n">
        <f aca="false">T405-S405</f>
        <v>0</v>
      </c>
      <c r="V405" s="16"/>
    </row>
    <row r="406" customFormat="false" ht="15" hidden="false" customHeight="true" outlineLevel="0" collapsed="false">
      <c r="A406" s="4" t="str">
        <f aca="false">IF(B406="","",ROW()-1)</f>
        <v/>
      </c>
      <c r="B406" s="15"/>
      <c r="C406" s="16"/>
      <c r="D406" s="17"/>
      <c r="E406" s="17"/>
      <c r="F406" s="17"/>
      <c r="G406" s="18"/>
      <c r="H406" s="17"/>
      <c r="I406" s="16"/>
      <c r="J406" s="16"/>
      <c r="K406" s="17"/>
      <c r="L406" s="19"/>
      <c r="M406" s="20" t="b">
        <f aca="false">AND(B406&lt;&gt;"",B406&gt;='Read Me'!$B$5,H406&lt;&gt;"")</f>
        <v>0</v>
      </c>
      <c r="N406" s="21" t="str">
        <f aca="false">IF(OR(D406="",E406=""),"",ABS(D406-E406))</f>
        <v/>
      </c>
      <c r="O406" s="22" t="str">
        <f aca="false">IF(OR(H406="",N406="",N406=0),"",IF(C406="BUY",1,-1)*(H406-D406)/N406)</f>
        <v/>
      </c>
      <c r="P406" s="23" t="str">
        <f aca="false">IF(OR(H406="",D406="",K406=""),"",IF(C406="BUY",1,-1)*(H406-D406)*K406*'Read Me'!$B$10-L406)</f>
        <v/>
      </c>
      <c r="Q406" s="4" t="str">
        <f aca="false">IF(O406="","",IF(O406&gt;0,"WIN","LOSS"))</f>
        <v/>
      </c>
      <c r="R406" s="22" t="str">
        <f aca="false">IF(AND(M406,O406&lt;&gt;""),O406,"")</f>
        <v/>
      </c>
      <c r="S406" s="22" t="n">
        <f aca="false">S405+IF(R406="",0,R406)</f>
        <v>0</v>
      </c>
      <c r="T406" s="22" t="n">
        <f aca="false">MAX(T405,S406)</f>
        <v>0</v>
      </c>
      <c r="U406" s="22" t="n">
        <f aca="false">T406-S406</f>
        <v>0</v>
      </c>
      <c r="V406" s="16"/>
    </row>
    <row r="407" customFormat="false" ht="15" hidden="false" customHeight="true" outlineLevel="0" collapsed="false">
      <c r="A407" s="4" t="str">
        <f aca="false">IF(B407="","",ROW()-1)</f>
        <v/>
      </c>
      <c r="B407" s="15"/>
      <c r="C407" s="16"/>
      <c r="D407" s="17"/>
      <c r="E407" s="17"/>
      <c r="F407" s="17"/>
      <c r="G407" s="18"/>
      <c r="H407" s="17"/>
      <c r="I407" s="16"/>
      <c r="J407" s="16"/>
      <c r="K407" s="17"/>
      <c r="L407" s="19"/>
      <c r="M407" s="20" t="b">
        <f aca="false">AND(B407&lt;&gt;"",B407&gt;='Read Me'!$B$5,H407&lt;&gt;"")</f>
        <v>0</v>
      </c>
      <c r="N407" s="21" t="str">
        <f aca="false">IF(OR(D407="",E407=""),"",ABS(D407-E407))</f>
        <v/>
      </c>
      <c r="O407" s="22" t="str">
        <f aca="false">IF(OR(H407="",N407="",N407=0),"",IF(C407="BUY",1,-1)*(H407-D407)/N407)</f>
        <v/>
      </c>
      <c r="P407" s="23" t="str">
        <f aca="false">IF(OR(H407="",D407="",K407=""),"",IF(C407="BUY",1,-1)*(H407-D407)*K407*'Read Me'!$B$10-L407)</f>
        <v/>
      </c>
      <c r="Q407" s="4" t="str">
        <f aca="false">IF(O407="","",IF(O407&gt;0,"WIN","LOSS"))</f>
        <v/>
      </c>
      <c r="R407" s="22" t="str">
        <f aca="false">IF(AND(M407,O407&lt;&gt;""),O407,"")</f>
        <v/>
      </c>
      <c r="S407" s="22" t="n">
        <f aca="false">S406+IF(R407="",0,R407)</f>
        <v>0</v>
      </c>
      <c r="T407" s="22" t="n">
        <f aca="false">MAX(T406,S407)</f>
        <v>0</v>
      </c>
      <c r="U407" s="22" t="n">
        <f aca="false">T407-S407</f>
        <v>0</v>
      </c>
      <c r="V407" s="16"/>
    </row>
    <row r="408" customFormat="false" ht="15" hidden="false" customHeight="true" outlineLevel="0" collapsed="false">
      <c r="A408" s="4" t="str">
        <f aca="false">IF(B408="","",ROW()-1)</f>
        <v/>
      </c>
      <c r="B408" s="15"/>
      <c r="C408" s="16"/>
      <c r="D408" s="17"/>
      <c r="E408" s="17"/>
      <c r="F408" s="17"/>
      <c r="G408" s="18"/>
      <c r="H408" s="17"/>
      <c r="I408" s="16"/>
      <c r="J408" s="16"/>
      <c r="K408" s="17"/>
      <c r="L408" s="19"/>
      <c r="M408" s="20" t="b">
        <f aca="false">AND(B408&lt;&gt;"",B408&gt;='Read Me'!$B$5,H408&lt;&gt;"")</f>
        <v>0</v>
      </c>
      <c r="N408" s="21" t="str">
        <f aca="false">IF(OR(D408="",E408=""),"",ABS(D408-E408))</f>
        <v/>
      </c>
      <c r="O408" s="22" t="str">
        <f aca="false">IF(OR(H408="",N408="",N408=0),"",IF(C408="BUY",1,-1)*(H408-D408)/N408)</f>
        <v/>
      </c>
      <c r="P408" s="23" t="str">
        <f aca="false">IF(OR(H408="",D408="",K408=""),"",IF(C408="BUY",1,-1)*(H408-D408)*K408*'Read Me'!$B$10-L408)</f>
        <v/>
      </c>
      <c r="Q408" s="4" t="str">
        <f aca="false">IF(O408="","",IF(O408&gt;0,"WIN","LOSS"))</f>
        <v/>
      </c>
      <c r="R408" s="22" t="str">
        <f aca="false">IF(AND(M408,O408&lt;&gt;""),O408,"")</f>
        <v/>
      </c>
      <c r="S408" s="22" t="n">
        <f aca="false">S407+IF(R408="",0,R408)</f>
        <v>0</v>
      </c>
      <c r="T408" s="22" t="n">
        <f aca="false">MAX(T407,S408)</f>
        <v>0</v>
      </c>
      <c r="U408" s="22" t="n">
        <f aca="false">T408-S408</f>
        <v>0</v>
      </c>
      <c r="V408" s="16"/>
    </row>
    <row r="409" customFormat="false" ht="15" hidden="false" customHeight="true" outlineLevel="0" collapsed="false">
      <c r="A409" s="4" t="str">
        <f aca="false">IF(B409="","",ROW()-1)</f>
        <v/>
      </c>
      <c r="B409" s="15"/>
      <c r="C409" s="16"/>
      <c r="D409" s="17"/>
      <c r="E409" s="17"/>
      <c r="F409" s="17"/>
      <c r="G409" s="18"/>
      <c r="H409" s="17"/>
      <c r="I409" s="16"/>
      <c r="J409" s="16"/>
      <c r="K409" s="17"/>
      <c r="L409" s="19"/>
      <c r="M409" s="20" t="b">
        <f aca="false">AND(B409&lt;&gt;"",B409&gt;='Read Me'!$B$5,H409&lt;&gt;"")</f>
        <v>0</v>
      </c>
      <c r="N409" s="21" t="str">
        <f aca="false">IF(OR(D409="",E409=""),"",ABS(D409-E409))</f>
        <v/>
      </c>
      <c r="O409" s="22" t="str">
        <f aca="false">IF(OR(H409="",N409="",N409=0),"",IF(C409="BUY",1,-1)*(H409-D409)/N409)</f>
        <v/>
      </c>
      <c r="P409" s="23" t="str">
        <f aca="false">IF(OR(H409="",D409="",K409=""),"",IF(C409="BUY",1,-1)*(H409-D409)*K409*'Read Me'!$B$10-L409)</f>
        <v/>
      </c>
      <c r="Q409" s="4" t="str">
        <f aca="false">IF(O409="","",IF(O409&gt;0,"WIN","LOSS"))</f>
        <v/>
      </c>
      <c r="R409" s="22" t="str">
        <f aca="false">IF(AND(M409,O409&lt;&gt;""),O409,"")</f>
        <v/>
      </c>
      <c r="S409" s="22" t="n">
        <f aca="false">S408+IF(R409="",0,R409)</f>
        <v>0</v>
      </c>
      <c r="T409" s="22" t="n">
        <f aca="false">MAX(T408,S409)</f>
        <v>0</v>
      </c>
      <c r="U409" s="22" t="n">
        <f aca="false">T409-S409</f>
        <v>0</v>
      </c>
      <c r="V409" s="16"/>
    </row>
    <row r="410" customFormat="false" ht="15" hidden="false" customHeight="true" outlineLevel="0" collapsed="false">
      <c r="A410" s="4" t="str">
        <f aca="false">IF(B410="","",ROW()-1)</f>
        <v/>
      </c>
      <c r="B410" s="15"/>
      <c r="C410" s="16"/>
      <c r="D410" s="17"/>
      <c r="E410" s="17"/>
      <c r="F410" s="17"/>
      <c r="G410" s="18"/>
      <c r="H410" s="17"/>
      <c r="I410" s="16"/>
      <c r="J410" s="16"/>
      <c r="K410" s="17"/>
      <c r="L410" s="19"/>
      <c r="M410" s="20" t="b">
        <f aca="false">AND(B410&lt;&gt;"",B410&gt;='Read Me'!$B$5,H410&lt;&gt;"")</f>
        <v>0</v>
      </c>
      <c r="N410" s="21" t="str">
        <f aca="false">IF(OR(D410="",E410=""),"",ABS(D410-E410))</f>
        <v/>
      </c>
      <c r="O410" s="22" t="str">
        <f aca="false">IF(OR(H410="",N410="",N410=0),"",IF(C410="BUY",1,-1)*(H410-D410)/N410)</f>
        <v/>
      </c>
      <c r="P410" s="23" t="str">
        <f aca="false">IF(OR(H410="",D410="",K410=""),"",IF(C410="BUY",1,-1)*(H410-D410)*K410*'Read Me'!$B$10-L410)</f>
        <v/>
      </c>
      <c r="Q410" s="4" t="str">
        <f aca="false">IF(O410="","",IF(O410&gt;0,"WIN","LOSS"))</f>
        <v/>
      </c>
      <c r="R410" s="22" t="str">
        <f aca="false">IF(AND(M410,O410&lt;&gt;""),O410,"")</f>
        <v/>
      </c>
      <c r="S410" s="22" t="n">
        <f aca="false">S409+IF(R410="",0,R410)</f>
        <v>0</v>
      </c>
      <c r="T410" s="22" t="n">
        <f aca="false">MAX(T409,S410)</f>
        <v>0</v>
      </c>
      <c r="U410" s="22" t="n">
        <f aca="false">T410-S410</f>
        <v>0</v>
      </c>
      <c r="V410" s="16"/>
    </row>
    <row r="411" customFormat="false" ht="15" hidden="false" customHeight="true" outlineLevel="0" collapsed="false">
      <c r="A411" s="4" t="str">
        <f aca="false">IF(B411="","",ROW()-1)</f>
        <v/>
      </c>
      <c r="B411" s="15"/>
      <c r="C411" s="16"/>
      <c r="D411" s="17"/>
      <c r="E411" s="17"/>
      <c r="F411" s="17"/>
      <c r="G411" s="18"/>
      <c r="H411" s="17"/>
      <c r="I411" s="16"/>
      <c r="J411" s="16"/>
      <c r="K411" s="17"/>
      <c r="L411" s="19"/>
      <c r="M411" s="20" t="b">
        <f aca="false">AND(B411&lt;&gt;"",B411&gt;='Read Me'!$B$5,H411&lt;&gt;"")</f>
        <v>0</v>
      </c>
      <c r="N411" s="21" t="str">
        <f aca="false">IF(OR(D411="",E411=""),"",ABS(D411-E411))</f>
        <v/>
      </c>
      <c r="O411" s="22" t="str">
        <f aca="false">IF(OR(H411="",N411="",N411=0),"",IF(C411="BUY",1,-1)*(H411-D411)/N411)</f>
        <v/>
      </c>
      <c r="P411" s="23" t="str">
        <f aca="false">IF(OR(H411="",D411="",K411=""),"",IF(C411="BUY",1,-1)*(H411-D411)*K411*'Read Me'!$B$10-L411)</f>
        <v/>
      </c>
      <c r="Q411" s="4" t="str">
        <f aca="false">IF(O411="","",IF(O411&gt;0,"WIN","LOSS"))</f>
        <v/>
      </c>
      <c r="R411" s="22" t="str">
        <f aca="false">IF(AND(M411,O411&lt;&gt;""),O411,"")</f>
        <v/>
      </c>
      <c r="S411" s="22" t="n">
        <f aca="false">S410+IF(R411="",0,R411)</f>
        <v>0</v>
      </c>
      <c r="T411" s="22" t="n">
        <f aca="false">MAX(T410,S411)</f>
        <v>0</v>
      </c>
      <c r="U411" s="22" t="n">
        <f aca="false">T411-S411</f>
        <v>0</v>
      </c>
      <c r="V411" s="16"/>
    </row>
    <row r="412" customFormat="false" ht="15" hidden="false" customHeight="true" outlineLevel="0" collapsed="false">
      <c r="A412" s="4" t="str">
        <f aca="false">IF(B412="","",ROW()-1)</f>
        <v/>
      </c>
      <c r="B412" s="15"/>
      <c r="C412" s="16"/>
      <c r="D412" s="17"/>
      <c r="E412" s="17"/>
      <c r="F412" s="17"/>
      <c r="G412" s="18"/>
      <c r="H412" s="17"/>
      <c r="I412" s="16"/>
      <c r="J412" s="16"/>
      <c r="K412" s="17"/>
      <c r="L412" s="19"/>
      <c r="M412" s="20" t="b">
        <f aca="false">AND(B412&lt;&gt;"",B412&gt;='Read Me'!$B$5,H412&lt;&gt;"")</f>
        <v>0</v>
      </c>
      <c r="N412" s="21" t="str">
        <f aca="false">IF(OR(D412="",E412=""),"",ABS(D412-E412))</f>
        <v/>
      </c>
      <c r="O412" s="22" t="str">
        <f aca="false">IF(OR(H412="",N412="",N412=0),"",IF(C412="BUY",1,-1)*(H412-D412)/N412)</f>
        <v/>
      </c>
      <c r="P412" s="23" t="str">
        <f aca="false">IF(OR(H412="",D412="",K412=""),"",IF(C412="BUY",1,-1)*(H412-D412)*K412*'Read Me'!$B$10-L412)</f>
        <v/>
      </c>
      <c r="Q412" s="4" t="str">
        <f aca="false">IF(O412="","",IF(O412&gt;0,"WIN","LOSS"))</f>
        <v/>
      </c>
      <c r="R412" s="22" t="str">
        <f aca="false">IF(AND(M412,O412&lt;&gt;""),O412,"")</f>
        <v/>
      </c>
      <c r="S412" s="22" t="n">
        <f aca="false">S411+IF(R412="",0,R412)</f>
        <v>0</v>
      </c>
      <c r="T412" s="22" t="n">
        <f aca="false">MAX(T411,S412)</f>
        <v>0</v>
      </c>
      <c r="U412" s="22" t="n">
        <f aca="false">T412-S412</f>
        <v>0</v>
      </c>
      <c r="V412" s="16"/>
    </row>
    <row r="413" customFormat="false" ht="15" hidden="false" customHeight="true" outlineLevel="0" collapsed="false">
      <c r="A413" s="4" t="str">
        <f aca="false">IF(B413="","",ROW()-1)</f>
        <v/>
      </c>
      <c r="B413" s="15"/>
      <c r="C413" s="16"/>
      <c r="D413" s="17"/>
      <c r="E413" s="17"/>
      <c r="F413" s="17"/>
      <c r="G413" s="18"/>
      <c r="H413" s="17"/>
      <c r="I413" s="16"/>
      <c r="J413" s="16"/>
      <c r="K413" s="17"/>
      <c r="L413" s="19"/>
      <c r="M413" s="20" t="b">
        <f aca="false">AND(B413&lt;&gt;"",B413&gt;='Read Me'!$B$5,H413&lt;&gt;"")</f>
        <v>0</v>
      </c>
      <c r="N413" s="21" t="str">
        <f aca="false">IF(OR(D413="",E413=""),"",ABS(D413-E413))</f>
        <v/>
      </c>
      <c r="O413" s="22" t="str">
        <f aca="false">IF(OR(H413="",N413="",N413=0),"",IF(C413="BUY",1,-1)*(H413-D413)/N413)</f>
        <v/>
      </c>
      <c r="P413" s="23" t="str">
        <f aca="false">IF(OR(H413="",D413="",K413=""),"",IF(C413="BUY",1,-1)*(H413-D413)*K413*'Read Me'!$B$10-L413)</f>
        <v/>
      </c>
      <c r="Q413" s="4" t="str">
        <f aca="false">IF(O413="","",IF(O413&gt;0,"WIN","LOSS"))</f>
        <v/>
      </c>
      <c r="R413" s="22" t="str">
        <f aca="false">IF(AND(M413,O413&lt;&gt;""),O413,"")</f>
        <v/>
      </c>
      <c r="S413" s="22" t="n">
        <f aca="false">S412+IF(R413="",0,R413)</f>
        <v>0</v>
      </c>
      <c r="T413" s="22" t="n">
        <f aca="false">MAX(T412,S413)</f>
        <v>0</v>
      </c>
      <c r="U413" s="22" t="n">
        <f aca="false">T413-S413</f>
        <v>0</v>
      </c>
      <c r="V413" s="16"/>
    </row>
    <row r="414" customFormat="false" ht="15" hidden="false" customHeight="true" outlineLevel="0" collapsed="false">
      <c r="A414" s="4" t="str">
        <f aca="false">IF(B414="","",ROW()-1)</f>
        <v/>
      </c>
      <c r="B414" s="15"/>
      <c r="C414" s="16"/>
      <c r="D414" s="17"/>
      <c r="E414" s="17"/>
      <c r="F414" s="17"/>
      <c r="G414" s="18"/>
      <c r="H414" s="17"/>
      <c r="I414" s="16"/>
      <c r="J414" s="16"/>
      <c r="K414" s="17"/>
      <c r="L414" s="19"/>
      <c r="M414" s="20" t="b">
        <f aca="false">AND(B414&lt;&gt;"",B414&gt;='Read Me'!$B$5,H414&lt;&gt;"")</f>
        <v>0</v>
      </c>
      <c r="N414" s="21" t="str">
        <f aca="false">IF(OR(D414="",E414=""),"",ABS(D414-E414))</f>
        <v/>
      </c>
      <c r="O414" s="22" t="str">
        <f aca="false">IF(OR(H414="",N414="",N414=0),"",IF(C414="BUY",1,-1)*(H414-D414)/N414)</f>
        <v/>
      </c>
      <c r="P414" s="23" t="str">
        <f aca="false">IF(OR(H414="",D414="",K414=""),"",IF(C414="BUY",1,-1)*(H414-D414)*K414*'Read Me'!$B$10-L414)</f>
        <v/>
      </c>
      <c r="Q414" s="4" t="str">
        <f aca="false">IF(O414="","",IF(O414&gt;0,"WIN","LOSS"))</f>
        <v/>
      </c>
      <c r="R414" s="22" t="str">
        <f aca="false">IF(AND(M414,O414&lt;&gt;""),O414,"")</f>
        <v/>
      </c>
      <c r="S414" s="22" t="n">
        <f aca="false">S413+IF(R414="",0,R414)</f>
        <v>0</v>
      </c>
      <c r="T414" s="22" t="n">
        <f aca="false">MAX(T413,S414)</f>
        <v>0</v>
      </c>
      <c r="U414" s="22" t="n">
        <f aca="false">T414-S414</f>
        <v>0</v>
      </c>
      <c r="V414" s="16"/>
    </row>
    <row r="415" customFormat="false" ht="15" hidden="false" customHeight="true" outlineLevel="0" collapsed="false">
      <c r="A415" s="4" t="str">
        <f aca="false">IF(B415="","",ROW()-1)</f>
        <v/>
      </c>
      <c r="B415" s="15"/>
      <c r="C415" s="16"/>
      <c r="D415" s="17"/>
      <c r="E415" s="17"/>
      <c r="F415" s="17"/>
      <c r="G415" s="18"/>
      <c r="H415" s="17"/>
      <c r="I415" s="16"/>
      <c r="J415" s="16"/>
      <c r="K415" s="17"/>
      <c r="L415" s="19"/>
      <c r="M415" s="20" t="b">
        <f aca="false">AND(B415&lt;&gt;"",B415&gt;='Read Me'!$B$5,H415&lt;&gt;"")</f>
        <v>0</v>
      </c>
      <c r="N415" s="21" t="str">
        <f aca="false">IF(OR(D415="",E415=""),"",ABS(D415-E415))</f>
        <v/>
      </c>
      <c r="O415" s="22" t="str">
        <f aca="false">IF(OR(H415="",N415="",N415=0),"",IF(C415="BUY",1,-1)*(H415-D415)/N415)</f>
        <v/>
      </c>
      <c r="P415" s="23" t="str">
        <f aca="false">IF(OR(H415="",D415="",K415=""),"",IF(C415="BUY",1,-1)*(H415-D415)*K415*'Read Me'!$B$10-L415)</f>
        <v/>
      </c>
      <c r="Q415" s="4" t="str">
        <f aca="false">IF(O415="","",IF(O415&gt;0,"WIN","LOSS"))</f>
        <v/>
      </c>
      <c r="R415" s="22" t="str">
        <f aca="false">IF(AND(M415,O415&lt;&gt;""),O415,"")</f>
        <v/>
      </c>
      <c r="S415" s="22" t="n">
        <f aca="false">S414+IF(R415="",0,R415)</f>
        <v>0</v>
      </c>
      <c r="T415" s="22" t="n">
        <f aca="false">MAX(T414,S415)</f>
        <v>0</v>
      </c>
      <c r="U415" s="22" t="n">
        <f aca="false">T415-S415</f>
        <v>0</v>
      </c>
      <c r="V415" s="16"/>
    </row>
    <row r="416" customFormat="false" ht="15" hidden="false" customHeight="true" outlineLevel="0" collapsed="false">
      <c r="A416" s="4" t="str">
        <f aca="false">IF(B416="","",ROW()-1)</f>
        <v/>
      </c>
      <c r="B416" s="15"/>
      <c r="C416" s="16"/>
      <c r="D416" s="17"/>
      <c r="E416" s="17"/>
      <c r="F416" s="17"/>
      <c r="G416" s="18"/>
      <c r="H416" s="17"/>
      <c r="I416" s="16"/>
      <c r="J416" s="16"/>
      <c r="K416" s="17"/>
      <c r="L416" s="19"/>
      <c r="M416" s="20" t="b">
        <f aca="false">AND(B416&lt;&gt;"",B416&gt;='Read Me'!$B$5,H416&lt;&gt;"")</f>
        <v>0</v>
      </c>
      <c r="N416" s="21" t="str">
        <f aca="false">IF(OR(D416="",E416=""),"",ABS(D416-E416))</f>
        <v/>
      </c>
      <c r="O416" s="22" t="str">
        <f aca="false">IF(OR(H416="",N416="",N416=0),"",IF(C416="BUY",1,-1)*(H416-D416)/N416)</f>
        <v/>
      </c>
      <c r="P416" s="23" t="str">
        <f aca="false">IF(OR(H416="",D416="",K416=""),"",IF(C416="BUY",1,-1)*(H416-D416)*K416*'Read Me'!$B$10-L416)</f>
        <v/>
      </c>
      <c r="Q416" s="4" t="str">
        <f aca="false">IF(O416="","",IF(O416&gt;0,"WIN","LOSS"))</f>
        <v/>
      </c>
      <c r="R416" s="22" t="str">
        <f aca="false">IF(AND(M416,O416&lt;&gt;""),O416,"")</f>
        <v/>
      </c>
      <c r="S416" s="22" t="n">
        <f aca="false">S415+IF(R416="",0,R416)</f>
        <v>0</v>
      </c>
      <c r="T416" s="22" t="n">
        <f aca="false">MAX(T415,S416)</f>
        <v>0</v>
      </c>
      <c r="U416" s="22" t="n">
        <f aca="false">T416-S416</f>
        <v>0</v>
      </c>
      <c r="V416" s="16"/>
    </row>
    <row r="417" customFormat="false" ht="15" hidden="false" customHeight="true" outlineLevel="0" collapsed="false">
      <c r="A417" s="4" t="str">
        <f aca="false">IF(B417="","",ROW()-1)</f>
        <v/>
      </c>
      <c r="B417" s="15"/>
      <c r="C417" s="16"/>
      <c r="D417" s="17"/>
      <c r="E417" s="17"/>
      <c r="F417" s="17"/>
      <c r="G417" s="18"/>
      <c r="H417" s="17"/>
      <c r="I417" s="16"/>
      <c r="J417" s="16"/>
      <c r="K417" s="17"/>
      <c r="L417" s="19"/>
      <c r="M417" s="20" t="b">
        <f aca="false">AND(B417&lt;&gt;"",B417&gt;='Read Me'!$B$5,H417&lt;&gt;"")</f>
        <v>0</v>
      </c>
      <c r="N417" s="21" t="str">
        <f aca="false">IF(OR(D417="",E417=""),"",ABS(D417-E417))</f>
        <v/>
      </c>
      <c r="O417" s="22" t="str">
        <f aca="false">IF(OR(H417="",N417="",N417=0),"",IF(C417="BUY",1,-1)*(H417-D417)/N417)</f>
        <v/>
      </c>
      <c r="P417" s="23" t="str">
        <f aca="false">IF(OR(H417="",D417="",K417=""),"",IF(C417="BUY",1,-1)*(H417-D417)*K417*'Read Me'!$B$10-L417)</f>
        <v/>
      </c>
      <c r="Q417" s="4" t="str">
        <f aca="false">IF(O417="","",IF(O417&gt;0,"WIN","LOSS"))</f>
        <v/>
      </c>
      <c r="R417" s="22" t="str">
        <f aca="false">IF(AND(M417,O417&lt;&gt;""),O417,"")</f>
        <v/>
      </c>
      <c r="S417" s="22" t="n">
        <f aca="false">S416+IF(R417="",0,R417)</f>
        <v>0</v>
      </c>
      <c r="T417" s="22" t="n">
        <f aca="false">MAX(T416,S417)</f>
        <v>0</v>
      </c>
      <c r="U417" s="22" t="n">
        <f aca="false">T417-S417</f>
        <v>0</v>
      </c>
      <c r="V417" s="16"/>
    </row>
    <row r="418" customFormat="false" ht="15" hidden="false" customHeight="true" outlineLevel="0" collapsed="false">
      <c r="A418" s="4" t="str">
        <f aca="false">IF(B418="","",ROW()-1)</f>
        <v/>
      </c>
      <c r="B418" s="15"/>
      <c r="C418" s="16"/>
      <c r="D418" s="17"/>
      <c r="E418" s="17"/>
      <c r="F418" s="17"/>
      <c r="G418" s="18"/>
      <c r="H418" s="17"/>
      <c r="I418" s="16"/>
      <c r="J418" s="16"/>
      <c r="K418" s="17"/>
      <c r="L418" s="19"/>
      <c r="M418" s="20" t="b">
        <f aca="false">AND(B418&lt;&gt;"",B418&gt;='Read Me'!$B$5,H418&lt;&gt;"")</f>
        <v>0</v>
      </c>
      <c r="N418" s="21" t="str">
        <f aca="false">IF(OR(D418="",E418=""),"",ABS(D418-E418))</f>
        <v/>
      </c>
      <c r="O418" s="22" t="str">
        <f aca="false">IF(OR(H418="",N418="",N418=0),"",IF(C418="BUY",1,-1)*(H418-D418)/N418)</f>
        <v/>
      </c>
      <c r="P418" s="23" t="str">
        <f aca="false">IF(OR(H418="",D418="",K418=""),"",IF(C418="BUY",1,-1)*(H418-D418)*K418*'Read Me'!$B$10-L418)</f>
        <v/>
      </c>
      <c r="Q418" s="4" t="str">
        <f aca="false">IF(O418="","",IF(O418&gt;0,"WIN","LOSS"))</f>
        <v/>
      </c>
      <c r="R418" s="22" t="str">
        <f aca="false">IF(AND(M418,O418&lt;&gt;""),O418,"")</f>
        <v/>
      </c>
      <c r="S418" s="22" t="n">
        <f aca="false">S417+IF(R418="",0,R418)</f>
        <v>0</v>
      </c>
      <c r="T418" s="22" t="n">
        <f aca="false">MAX(T417,S418)</f>
        <v>0</v>
      </c>
      <c r="U418" s="22" t="n">
        <f aca="false">T418-S418</f>
        <v>0</v>
      </c>
      <c r="V418" s="16"/>
    </row>
    <row r="419" customFormat="false" ht="15" hidden="false" customHeight="true" outlineLevel="0" collapsed="false">
      <c r="A419" s="4" t="str">
        <f aca="false">IF(B419="","",ROW()-1)</f>
        <v/>
      </c>
      <c r="B419" s="15"/>
      <c r="C419" s="16"/>
      <c r="D419" s="17"/>
      <c r="E419" s="17"/>
      <c r="F419" s="17"/>
      <c r="G419" s="18"/>
      <c r="H419" s="17"/>
      <c r="I419" s="16"/>
      <c r="J419" s="16"/>
      <c r="K419" s="17"/>
      <c r="L419" s="19"/>
      <c r="M419" s="20" t="b">
        <f aca="false">AND(B419&lt;&gt;"",B419&gt;='Read Me'!$B$5,H419&lt;&gt;"")</f>
        <v>0</v>
      </c>
      <c r="N419" s="21" t="str">
        <f aca="false">IF(OR(D419="",E419=""),"",ABS(D419-E419))</f>
        <v/>
      </c>
      <c r="O419" s="22" t="str">
        <f aca="false">IF(OR(H419="",N419="",N419=0),"",IF(C419="BUY",1,-1)*(H419-D419)/N419)</f>
        <v/>
      </c>
      <c r="P419" s="23" t="str">
        <f aca="false">IF(OR(H419="",D419="",K419=""),"",IF(C419="BUY",1,-1)*(H419-D419)*K419*'Read Me'!$B$10-L419)</f>
        <v/>
      </c>
      <c r="Q419" s="4" t="str">
        <f aca="false">IF(O419="","",IF(O419&gt;0,"WIN","LOSS"))</f>
        <v/>
      </c>
      <c r="R419" s="22" t="str">
        <f aca="false">IF(AND(M419,O419&lt;&gt;""),O419,"")</f>
        <v/>
      </c>
      <c r="S419" s="22" t="n">
        <f aca="false">S418+IF(R419="",0,R419)</f>
        <v>0</v>
      </c>
      <c r="T419" s="22" t="n">
        <f aca="false">MAX(T418,S419)</f>
        <v>0</v>
      </c>
      <c r="U419" s="22" t="n">
        <f aca="false">T419-S419</f>
        <v>0</v>
      </c>
      <c r="V419" s="16"/>
    </row>
    <row r="420" customFormat="false" ht="15" hidden="false" customHeight="true" outlineLevel="0" collapsed="false">
      <c r="A420" s="4" t="str">
        <f aca="false">IF(B420="","",ROW()-1)</f>
        <v/>
      </c>
      <c r="B420" s="15"/>
      <c r="C420" s="16"/>
      <c r="D420" s="17"/>
      <c r="E420" s="17"/>
      <c r="F420" s="17"/>
      <c r="G420" s="18"/>
      <c r="H420" s="17"/>
      <c r="I420" s="16"/>
      <c r="J420" s="16"/>
      <c r="K420" s="17"/>
      <c r="L420" s="19"/>
      <c r="M420" s="20" t="b">
        <f aca="false">AND(B420&lt;&gt;"",B420&gt;='Read Me'!$B$5,H420&lt;&gt;"")</f>
        <v>0</v>
      </c>
      <c r="N420" s="21" t="str">
        <f aca="false">IF(OR(D420="",E420=""),"",ABS(D420-E420))</f>
        <v/>
      </c>
      <c r="O420" s="22" t="str">
        <f aca="false">IF(OR(H420="",N420="",N420=0),"",IF(C420="BUY",1,-1)*(H420-D420)/N420)</f>
        <v/>
      </c>
      <c r="P420" s="23" t="str">
        <f aca="false">IF(OR(H420="",D420="",K420=""),"",IF(C420="BUY",1,-1)*(H420-D420)*K420*'Read Me'!$B$10-L420)</f>
        <v/>
      </c>
      <c r="Q420" s="4" t="str">
        <f aca="false">IF(O420="","",IF(O420&gt;0,"WIN","LOSS"))</f>
        <v/>
      </c>
      <c r="R420" s="22" t="str">
        <f aca="false">IF(AND(M420,O420&lt;&gt;""),O420,"")</f>
        <v/>
      </c>
      <c r="S420" s="22" t="n">
        <f aca="false">S419+IF(R420="",0,R420)</f>
        <v>0</v>
      </c>
      <c r="T420" s="22" t="n">
        <f aca="false">MAX(T419,S420)</f>
        <v>0</v>
      </c>
      <c r="U420" s="22" t="n">
        <f aca="false">T420-S420</f>
        <v>0</v>
      </c>
      <c r="V420" s="16"/>
    </row>
    <row r="421" customFormat="false" ht="15" hidden="false" customHeight="true" outlineLevel="0" collapsed="false">
      <c r="A421" s="4" t="str">
        <f aca="false">IF(B421="","",ROW()-1)</f>
        <v/>
      </c>
      <c r="B421" s="15"/>
      <c r="C421" s="16"/>
      <c r="D421" s="17"/>
      <c r="E421" s="17"/>
      <c r="F421" s="17"/>
      <c r="G421" s="18"/>
      <c r="H421" s="17"/>
      <c r="I421" s="16"/>
      <c r="J421" s="16"/>
      <c r="K421" s="17"/>
      <c r="L421" s="19"/>
      <c r="M421" s="20" t="b">
        <f aca="false">AND(B421&lt;&gt;"",B421&gt;='Read Me'!$B$5,H421&lt;&gt;"")</f>
        <v>0</v>
      </c>
      <c r="N421" s="21" t="str">
        <f aca="false">IF(OR(D421="",E421=""),"",ABS(D421-E421))</f>
        <v/>
      </c>
      <c r="O421" s="22" t="str">
        <f aca="false">IF(OR(H421="",N421="",N421=0),"",IF(C421="BUY",1,-1)*(H421-D421)/N421)</f>
        <v/>
      </c>
      <c r="P421" s="23" t="str">
        <f aca="false">IF(OR(H421="",D421="",K421=""),"",IF(C421="BUY",1,-1)*(H421-D421)*K421*'Read Me'!$B$10-L421)</f>
        <v/>
      </c>
      <c r="Q421" s="4" t="str">
        <f aca="false">IF(O421="","",IF(O421&gt;0,"WIN","LOSS"))</f>
        <v/>
      </c>
      <c r="R421" s="22" t="str">
        <f aca="false">IF(AND(M421,O421&lt;&gt;""),O421,"")</f>
        <v/>
      </c>
      <c r="S421" s="22" t="n">
        <f aca="false">S420+IF(R421="",0,R421)</f>
        <v>0</v>
      </c>
      <c r="T421" s="22" t="n">
        <f aca="false">MAX(T420,S421)</f>
        <v>0</v>
      </c>
      <c r="U421" s="22" t="n">
        <f aca="false">T421-S421</f>
        <v>0</v>
      </c>
      <c r="V421" s="16"/>
    </row>
    <row r="422" customFormat="false" ht="15" hidden="false" customHeight="true" outlineLevel="0" collapsed="false">
      <c r="A422" s="4" t="str">
        <f aca="false">IF(B422="","",ROW()-1)</f>
        <v/>
      </c>
      <c r="B422" s="15"/>
      <c r="C422" s="16"/>
      <c r="D422" s="17"/>
      <c r="E422" s="17"/>
      <c r="F422" s="17"/>
      <c r="G422" s="18"/>
      <c r="H422" s="17"/>
      <c r="I422" s="16"/>
      <c r="J422" s="16"/>
      <c r="K422" s="17"/>
      <c r="L422" s="19"/>
      <c r="M422" s="20" t="b">
        <f aca="false">AND(B422&lt;&gt;"",B422&gt;='Read Me'!$B$5,H422&lt;&gt;"")</f>
        <v>0</v>
      </c>
      <c r="N422" s="21" t="str">
        <f aca="false">IF(OR(D422="",E422=""),"",ABS(D422-E422))</f>
        <v/>
      </c>
      <c r="O422" s="22" t="str">
        <f aca="false">IF(OR(H422="",N422="",N422=0),"",IF(C422="BUY",1,-1)*(H422-D422)/N422)</f>
        <v/>
      </c>
      <c r="P422" s="23" t="str">
        <f aca="false">IF(OR(H422="",D422="",K422=""),"",IF(C422="BUY",1,-1)*(H422-D422)*K422*'Read Me'!$B$10-L422)</f>
        <v/>
      </c>
      <c r="Q422" s="4" t="str">
        <f aca="false">IF(O422="","",IF(O422&gt;0,"WIN","LOSS"))</f>
        <v/>
      </c>
      <c r="R422" s="22" t="str">
        <f aca="false">IF(AND(M422,O422&lt;&gt;""),O422,"")</f>
        <v/>
      </c>
      <c r="S422" s="22" t="n">
        <f aca="false">S421+IF(R422="",0,R422)</f>
        <v>0</v>
      </c>
      <c r="T422" s="22" t="n">
        <f aca="false">MAX(T421,S422)</f>
        <v>0</v>
      </c>
      <c r="U422" s="22" t="n">
        <f aca="false">T422-S422</f>
        <v>0</v>
      </c>
      <c r="V422" s="16"/>
    </row>
    <row r="423" customFormat="false" ht="15" hidden="false" customHeight="true" outlineLevel="0" collapsed="false">
      <c r="A423" s="4" t="str">
        <f aca="false">IF(B423="","",ROW()-1)</f>
        <v/>
      </c>
      <c r="B423" s="15"/>
      <c r="C423" s="16"/>
      <c r="D423" s="17"/>
      <c r="E423" s="17"/>
      <c r="F423" s="17"/>
      <c r="G423" s="18"/>
      <c r="H423" s="17"/>
      <c r="I423" s="16"/>
      <c r="J423" s="16"/>
      <c r="K423" s="17"/>
      <c r="L423" s="19"/>
      <c r="M423" s="20" t="b">
        <f aca="false">AND(B423&lt;&gt;"",B423&gt;='Read Me'!$B$5,H423&lt;&gt;"")</f>
        <v>0</v>
      </c>
      <c r="N423" s="21" t="str">
        <f aca="false">IF(OR(D423="",E423=""),"",ABS(D423-E423))</f>
        <v/>
      </c>
      <c r="O423" s="22" t="str">
        <f aca="false">IF(OR(H423="",N423="",N423=0),"",IF(C423="BUY",1,-1)*(H423-D423)/N423)</f>
        <v/>
      </c>
      <c r="P423" s="23" t="str">
        <f aca="false">IF(OR(H423="",D423="",K423=""),"",IF(C423="BUY",1,-1)*(H423-D423)*K423*'Read Me'!$B$10-L423)</f>
        <v/>
      </c>
      <c r="Q423" s="4" t="str">
        <f aca="false">IF(O423="","",IF(O423&gt;0,"WIN","LOSS"))</f>
        <v/>
      </c>
      <c r="R423" s="22" t="str">
        <f aca="false">IF(AND(M423,O423&lt;&gt;""),O423,"")</f>
        <v/>
      </c>
      <c r="S423" s="22" t="n">
        <f aca="false">S422+IF(R423="",0,R423)</f>
        <v>0</v>
      </c>
      <c r="T423" s="22" t="n">
        <f aca="false">MAX(T422,S423)</f>
        <v>0</v>
      </c>
      <c r="U423" s="22" t="n">
        <f aca="false">T423-S423</f>
        <v>0</v>
      </c>
      <c r="V423" s="16"/>
    </row>
    <row r="424" customFormat="false" ht="15" hidden="false" customHeight="true" outlineLevel="0" collapsed="false">
      <c r="A424" s="4" t="str">
        <f aca="false">IF(B424="","",ROW()-1)</f>
        <v/>
      </c>
      <c r="B424" s="15"/>
      <c r="C424" s="16"/>
      <c r="D424" s="17"/>
      <c r="E424" s="17"/>
      <c r="F424" s="17"/>
      <c r="G424" s="18"/>
      <c r="H424" s="17"/>
      <c r="I424" s="16"/>
      <c r="J424" s="16"/>
      <c r="K424" s="17"/>
      <c r="L424" s="19"/>
      <c r="M424" s="20" t="b">
        <f aca="false">AND(B424&lt;&gt;"",B424&gt;='Read Me'!$B$5,H424&lt;&gt;"")</f>
        <v>0</v>
      </c>
      <c r="N424" s="21" t="str">
        <f aca="false">IF(OR(D424="",E424=""),"",ABS(D424-E424))</f>
        <v/>
      </c>
      <c r="O424" s="22" t="str">
        <f aca="false">IF(OR(H424="",N424="",N424=0),"",IF(C424="BUY",1,-1)*(H424-D424)/N424)</f>
        <v/>
      </c>
      <c r="P424" s="23" t="str">
        <f aca="false">IF(OR(H424="",D424="",K424=""),"",IF(C424="BUY",1,-1)*(H424-D424)*K424*'Read Me'!$B$10-L424)</f>
        <v/>
      </c>
      <c r="Q424" s="4" t="str">
        <f aca="false">IF(O424="","",IF(O424&gt;0,"WIN","LOSS"))</f>
        <v/>
      </c>
      <c r="R424" s="22" t="str">
        <f aca="false">IF(AND(M424,O424&lt;&gt;""),O424,"")</f>
        <v/>
      </c>
      <c r="S424" s="22" t="n">
        <f aca="false">S423+IF(R424="",0,R424)</f>
        <v>0</v>
      </c>
      <c r="T424" s="22" t="n">
        <f aca="false">MAX(T423,S424)</f>
        <v>0</v>
      </c>
      <c r="U424" s="22" t="n">
        <f aca="false">T424-S424</f>
        <v>0</v>
      </c>
      <c r="V424" s="16"/>
    </row>
    <row r="425" customFormat="false" ht="15" hidden="false" customHeight="true" outlineLevel="0" collapsed="false">
      <c r="A425" s="4" t="str">
        <f aca="false">IF(B425="","",ROW()-1)</f>
        <v/>
      </c>
      <c r="B425" s="15"/>
      <c r="C425" s="16"/>
      <c r="D425" s="17"/>
      <c r="E425" s="17"/>
      <c r="F425" s="17"/>
      <c r="G425" s="18"/>
      <c r="H425" s="17"/>
      <c r="I425" s="16"/>
      <c r="J425" s="16"/>
      <c r="K425" s="17"/>
      <c r="L425" s="19"/>
      <c r="M425" s="20" t="b">
        <f aca="false">AND(B425&lt;&gt;"",B425&gt;='Read Me'!$B$5,H425&lt;&gt;"")</f>
        <v>0</v>
      </c>
      <c r="N425" s="21" t="str">
        <f aca="false">IF(OR(D425="",E425=""),"",ABS(D425-E425))</f>
        <v/>
      </c>
      <c r="O425" s="22" t="str">
        <f aca="false">IF(OR(H425="",N425="",N425=0),"",IF(C425="BUY",1,-1)*(H425-D425)/N425)</f>
        <v/>
      </c>
      <c r="P425" s="23" t="str">
        <f aca="false">IF(OR(H425="",D425="",K425=""),"",IF(C425="BUY",1,-1)*(H425-D425)*K425*'Read Me'!$B$10-L425)</f>
        <v/>
      </c>
      <c r="Q425" s="4" t="str">
        <f aca="false">IF(O425="","",IF(O425&gt;0,"WIN","LOSS"))</f>
        <v/>
      </c>
      <c r="R425" s="22" t="str">
        <f aca="false">IF(AND(M425,O425&lt;&gt;""),O425,"")</f>
        <v/>
      </c>
      <c r="S425" s="22" t="n">
        <f aca="false">S424+IF(R425="",0,R425)</f>
        <v>0</v>
      </c>
      <c r="T425" s="22" t="n">
        <f aca="false">MAX(T424,S425)</f>
        <v>0</v>
      </c>
      <c r="U425" s="22" t="n">
        <f aca="false">T425-S425</f>
        <v>0</v>
      </c>
      <c r="V425" s="16"/>
    </row>
    <row r="426" customFormat="false" ht="15" hidden="false" customHeight="true" outlineLevel="0" collapsed="false">
      <c r="A426" s="4" t="str">
        <f aca="false">IF(B426="","",ROW()-1)</f>
        <v/>
      </c>
      <c r="B426" s="15"/>
      <c r="C426" s="16"/>
      <c r="D426" s="17"/>
      <c r="E426" s="17"/>
      <c r="F426" s="17"/>
      <c r="G426" s="18"/>
      <c r="H426" s="17"/>
      <c r="I426" s="16"/>
      <c r="J426" s="16"/>
      <c r="K426" s="17"/>
      <c r="L426" s="19"/>
      <c r="M426" s="20" t="b">
        <f aca="false">AND(B426&lt;&gt;"",B426&gt;='Read Me'!$B$5,H426&lt;&gt;"")</f>
        <v>0</v>
      </c>
      <c r="N426" s="21" t="str">
        <f aca="false">IF(OR(D426="",E426=""),"",ABS(D426-E426))</f>
        <v/>
      </c>
      <c r="O426" s="22" t="str">
        <f aca="false">IF(OR(H426="",N426="",N426=0),"",IF(C426="BUY",1,-1)*(H426-D426)/N426)</f>
        <v/>
      </c>
      <c r="P426" s="23" t="str">
        <f aca="false">IF(OR(H426="",D426="",K426=""),"",IF(C426="BUY",1,-1)*(H426-D426)*K426*'Read Me'!$B$10-L426)</f>
        <v/>
      </c>
      <c r="Q426" s="4" t="str">
        <f aca="false">IF(O426="","",IF(O426&gt;0,"WIN","LOSS"))</f>
        <v/>
      </c>
      <c r="R426" s="22" t="str">
        <f aca="false">IF(AND(M426,O426&lt;&gt;""),O426,"")</f>
        <v/>
      </c>
      <c r="S426" s="22" t="n">
        <f aca="false">S425+IF(R426="",0,R426)</f>
        <v>0</v>
      </c>
      <c r="T426" s="22" t="n">
        <f aca="false">MAX(T425,S426)</f>
        <v>0</v>
      </c>
      <c r="U426" s="22" t="n">
        <f aca="false">T426-S426</f>
        <v>0</v>
      </c>
      <c r="V426" s="16"/>
    </row>
    <row r="427" customFormat="false" ht="15" hidden="false" customHeight="true" outlineLevel="0" collapsed="false">
      <c r="A427" s="4" t="str">
        <f aca="false">IF(B427="","",ROW()-1)</f>
        <v/>
      </c>
      <c r="B427" s="15"/>
      <c r="C427" s="16"/>
      <c r="D427" s="17"/>
      <c r="E427" s="17"/>
      <c r="F427" s="17"/>
      <c r="G427" s="18"/>
      <c r="H427" s="17"/>
      <c r="I427" s="16"/>
      <c r="J427" s="16"/>
      <c r="K427" s="17"/>
      <c r="L427" s="19"/>
      <c r="M427" s="20" t="b">
        <f aca="false">AND(B427&lt;&gt;"",B427&gt;='Read Me'!$B$5,H427&lt;&gt;"")</f>
        <v>0</v>
      </c>
      <c r="N427" s="21" t="str">
        <f aca="false">IF(OR(D427="",E427=""),"",ABS(D427-E427))</f>
        <v/>
      </c>
      <c r="O427" s="22" t="str">
        <f aca="false">IF(OR(H427="",N427="",N427=0),"",IF(C427="BUY",1,-1)*(H427-D427)/N427)</f>
        <v/>
      </c>
      <c r="P427" s="23" t="str">
        <f aca="false">IF(OR(H427="",D427="",K427=""),"",IF(C427="BUY",1,-1)*(H427-D427)*K427*'Read Me'!$B$10-L427)</f>
        <v/>
      </c>
      <c r="Q427" s="4" t="str">
        <f aca="false">IF(O427="","",IF(O427&gt;0,"WIN","LOSS"))</f>
        <v/>
      </c>
      <c r="R427" s="22" t="str">
        <f aca="false">IF(AND(M427,O427&lt;&gt;""),O427,"")</f>
        <v/>
      </c>
      <c r="S427" s="22" t="n">
        <f aca="false">S426+IF(R427="",0,R427)</f>
        <v>0</v>
      </c>
      <c r="T427" s="22" t="n">
        <f aca="false">MAX(T426,S427)</f>
        <v>0</v>
      </c>
      <c r="U427" s="22" t="n">
        <f aca="false">T427-S427</f>
        <v>0</v>
      </c>
      <c r="V427" s="16"/>
    </row>
    <row r="428" customFormat="false" ht="15" hidden="false" customHeight="true" outlineLevel="0" collapsed="false">
      <c r="A428" s="4" t="str">
        <f aca="false">IF(B428="","",ROW()-1)</f>
        <v/>
      </c>
      <c r="B428" s="15"/>
      <c r="C428" s="16"/>
      <c r="D428" s="17"/>
      <c r="E428" s="17"/>
      <c r="F428" s="17"/>
      <c r="G428" s="18"/>
      <c r="H428" s="17"/>
      <c r="I428" s="16"/>
      <c r="J428" s="16"/>
      <c r="K428" s="17"/>
      <c r="L428" s="19"/>
      <c r="M428" s="20" t="b">
        <f aca="false">AND(B428&lt;&gt;"",B428&gt;='Read Me'!$B$5,H428&lt;&gt;"")</f>
        <v>0</v>
      </c>
      <c r="N428" s="21" t="str">
        <f aca="false">IF(OR(D428="",E428=""),"",ABS(D428-E428))</f>
        <v/>
      </c>
      <c r="O428" s="22" t="str">
        <f aca="false">IF(OR(H428="",N428="",N428=0),"",IF(C428="BUY",1,-1)*(H428-D428)/N428)</f>
        <v/>
      </c>
      <c r="P428" s="23" t="str">
        <f aca="false">IF(OR(H428="",D428="",K428=""),"",IF(C428="BUY",1,-1)*(H428-D428)*K428*'Read Me'!$B$10-L428)</f>
        <v/>
      </c>
      <c r="Q428" s="4" t="str">
        <f aca="false">IF(O428="","",IF(O428&gt;0,"WIN","LOSS"))</f>
        <v/>
      </c>
      <c r="R428" s="22" t="str">
        <f aca="false">IF(AND(M428,O428&lt;&gt;""),O428,"")</f>
        <v/>
      </c>
      <c r="S428" s="22" t="n">
        <f aca="false">S427+IF(R428="",0,R428)</f>
        <v>0</v>
      </c>
      <c r="T428" s="22" t="n">
        <f aca="false">MAX(T427,S428)</f>
        <v>0</v>
      </c>
      <c r="U428" s="22" t="n">
        <f aca="false">T428-S428</f>
        <v>0</v>
      </c>
      <c r="V428" s="16"/>
    </row>
    <row r="429" customFormat="false" ht="15" hidden="false" customHeight="true" outlineLevel="0" collapsed="false">
      <c r="A429" s="4" t="str">
        <f aca="false">IF(B429="","",ROW()-1)</f>
        <v/>
      </c>
      <c r="B429" s="15"/>
      <c r="C429" s="16"/>
      <c r="D429" s="17"/>
      <c r="E429" s="17"/>
      <c r="F429" s="17"/>
      <c r="G429" s="18"/>
      <c r="H429" s="17"/>
      <c r="I429" s="16"/>
      <c r="J429" s="16"/>
      <c r="K429" s="17"/>
      <c r="L429" s="19"/>
      <c r="M429" s="20" t="b">
        <f aca="false">AND(B429&lt;&gt;"",B429&gt;='Read Me'!$B$5,H429&lt;&gt;"")</f>
        <v>0</v>
      </c>
      <c r="N429" s="21" t="str">
        <f aca="false">IF(OR(D429="",E429=""),"",ABS(D429-E429))</f>
        <v/>
      </c>
      <c r="O429" s="22" t="str">
        <f aca="false">IF(OR(H429="",N429="",N429=0),"",IF(C429="BUY",1,-1)*(H429-D429)/N429)</f>
        <v/>
      </c>
      <c r="P429" s="23" t="str">
        <f aca="false">IF(OR(H429="",D429="",K429=""),"",IF(C429="BUY",1,-1)*(H429-D429)*K429*'Read Me'!$B$10-L429)</f>
        <v/>
      </c>
      <c r="Q429" s="4" t="str">
        <f aca="false">IF(O429="","",IF(O429&gt;0,"WIN","LOSS"))</f>
        <v/>
      </c>
      <c r="R429" s="22" t="str">
        <f aca="false">IF(AND(M429,O429&lt;&gt;""),O429,"")</f>
        <v/>
      </c>
      <c r="S429" s="22" t="n">
        <f aca="false">S428+IF(R429="",0,R429)</f>
        <v>0</v>
      </c>
      <c r="T429" s="22" t="n">
        <f aca="false">MAX(T428,S429)</f>
        <v>0</v>
      </c>
      <c r="U429" s="22" t="n">
        <f aca="false">T429-S429</f>
        <v>0</v>
      </c>
      <c r="V429" s="16"/>
    </row>
    <row r="430" customFormat="false" ht="15" hidden="false" customHeight="true" outlineLevel="0" collapsed="false">
      <c r="A430" s="4" t="str">
        <f aca="false">IF(B430="","",ROW()-1)</f>
        <v/>
      </c>
      <c r="B430" s="15"/>
      <c r="C430" s="16"/>
      <c r="D430" s="17"/>
      <c r="E430" s="17"/>
      <c r="F430" s="17"/>
      <c r="G430" s="18"/>
      <c r="H430" s="17"/>
      <c r="I430" s="16"/>
      <c r="J430" s="16"/>
      <c r="K430" s="17"/>
      <c r="L430" s="19"/>
      <c r="M430" s="20" t="b">
        <f aca="false">AND(B430&lt;&gt;"",B430&gt;='Read Me'!$B$5,H430&lt;&gt;"")</f>
        <v>0</v>
      </c>
      <c r="N430" s="21" t="str">
        <f aca="false">IF(OR(D430="",E430=""),"",ABS(D430-E430))</f>
        <v/>
      </c>
      <c r="O430" s="22" t="str">
        <f aca="false">IF(OR(H430="",N430="",N430=0),"",IF(C430="BUY",1,-1)*(H430-D430)/N430)</f>
        <v/>
      </c>
      <c r="P430" s="23" t="str">
        <f aca="false">IF(OR(H430="",D430="",K430=""),"",IF(C430="BUY",1,-1)*(H430-D430)*K430*'Read Me'!$B$10-L430)</f>
        <v/>
      </c>
      <c r="Q430" s="4" t="str">
        <f aca="false">IF(O430="","",IF(O430&gt;0,"WIN","LOSS"))</f>
        <v/>
      </c>
      <c r="R430" s="22" t="str">
        <f aca="false">IF(AND(M430,O430&lt;&gt;""),O430,"")</f>
        <v/>
      </c>
      <c r="S430" s="22" t="n">
        <f aca="false">S429+IF(R430="",0,R430)</f>
        <v>0</v>
      </c>
      <c r="T430" s="22" t="n">
        <f aca="false">MAX(T429,S430)</f>
        <v>0</v>
      </c>
      <c r="U430" s="22" t="n">
        <f aca="false">T430-S430</f>
        <v>0</v>
      </c>
      <c r="V430" s="16"/>
    </row>
    <row r="431" customFormat="false" ht="15" hidden="false" customHeight="true" outlineLevel="0" collapsed="false">
      <c r="A431" s="4" t="str">
        <f aca="false">IF(B431="","",ROW()-1)</f>
        <v/>
      </c>
      <c r="B431" s="15"/>
      <c r="C431" s="16"/>
      <c r="D431" s="17"/>
      <c r="E431" s="17"/>
      <c r="F431" s="17"/>
      <c r="G431" s="18"/>
      <c r="H431" s="17"/>
      <c r="I431" s="16"/>
      <c r="J431" s="16"/>
      <c r="K431" s="17"/>
      <c r="L431" s="19"/>
      <c r="M431" s="20" t="b">
        <f aca="false">AND(B431&lt;&gt;"",B431&gt;='Read Me'!$B$5,H431&lt;&gt;"")</f>
        <v>0</v>
      </c>
      <c r="N431" s="21" t="str">
        <f aca="false">IF(OR(D431="",E431=""),"",ABS(D431-E431))</f>
        <v/>
      </c>
      <c r="O431" s="22" t="str">
        <f aca="false">IF(OR(H431="",N431="",N431=0),"",IF(C431="BUY",1,-1)*(H431-D431)/N431)</f>
        <v/>
      </c>
      <c r="P431" s="23" t="str">
        <f aca="false">IF(OR(H431="",D431="",K431=""),"",IF(C431="BUY",1,-1)*(H431-D431)*K431*'Read Me'!$B$10-L431)</f>
        <v/>
      </c>
      <c r="Q431" s="4" t="str">
        <f aca="false">IF(O431="","",IF(O431&gt;0,"WIN","LOSS"))</f>
        <v/>
      </c>
      <c r="R431" s="22" t="str">
        <f aca="false">IF(AND(M431,O431&lt;&gt;""),O431,"")</f>
        <v/>
      </c>
      <c r="S431" s="22" t="n">
        <f aca="false">S430+IF(R431="",0,R431)</f>
        <v>0</v>
      </c>
      <c r="T431" s="22" t="n">
        <f aca="false">MAX(T430,S431)</f>
        <v>0</v>
      </c>
      <c r="U431" s="22" t="n">
        <f aca="false">T431-S431</f>
        <v>0</v>
      </c>
      <c r="V431" s="16"/>
    </row>
    <row r="432" customFormat="false" ht="15" hidden="false" customHeight="true" outlineLevel="0" collapsed="false">
      <c r="A432" s="4" t="str">
        <f aca="false">IF(B432="","",ROW()-1)</f>
        <v/>
      </c>
      <c r="B432" s="15"/>
      <c r="C432" s="16"/>
      <c r="D432" s="17"/>
      <c r="E432" s="17"/>
      <c r="F432" s="17"/>
      <c r="G432" s="18"/>
      <c r="H432" s="17"/>
      <c r="I432" s="16"/>
      <c r="J432" s="16"/>
      <c r="K432" s="17"/>
      <c r="L432" s="19"/>
      <c r="M432" s="20" t="b">
        <f aca="false">AND(B432&lt;&gt;"",B432&gt;='Read Me'!$B$5,H432&lt;&gt;"")</f>
        <v>0</v>
      </c>
      <c r="N432" s="21" t="str">
        <f aca="false">IF(OR(D432="",E432=""),"",ABS(D432-E432))</f>
        <v/>
      </c>
      <c r="O432" s="22" t="str">
        <f aca="false">IF(OR(H432="",N432="",N432=0),"",IF(C432="BUY",1,-1)*(H432-D432)/N432)</f>
        <v/>
      </c>
      <c r="P432" s="23" t="str">
        <f aca="false">IF(OR(H432="",D432="",K432=""),"",IF(C432="BUY",1,-1)*(H432-D432)*K432*'Read Me'!$B$10-L432)</f>
        <v/>
      </c>
      <c r="Q432" s="4" t="str">
        <f aca="false">IF(O432="","",IF(O432&gt;0,"WIN","LOSS"))</f>
        <v/>
      </c>
      <c r="R432" s="22" t="str">
        <f aca="false">IF(AND(M432,O432&lt;&gt;""),O432,"")</f>
        <v/>
      </c>
      <c r="S432" s="22" t="n">
        <f aca="false">S431+IF(R432="",0,R432)</f>
        <v>0</v>
      </c>
      <c r="T432" s="22" t="n">
        <f aca="false">MAX(T431,S432)</f>
        <v>0</v>
      </c>
      <c r="U432" s="22" t="n">
        <f aca="false">T432-S432</f>
        <v>0</v>
      </c>
      <c r="V432" s="16"/>
    </row>
    <row r="433" customFormat="false" ht="15" hidden="false" customHeight="true" outlineLevel="0" collapsed="false">
      <c r="A433" s="4" t="str">
        <f aca="false">IF(B433="","",ROW()-1)</f>
        <v/>
      </c>
      <c r="B433" s="15"/>
      <c r="C433" s="16"/>
      <c r="D433" s="17"/>
      <c r="E433" s="17"/>
      <c r="F433" s="17"/>
      <c r="G433" s="18"/>
      <c r="H433" s="17"/>
      <c r="I433" s="16"/>
      <c r="J433" s="16"/>
      <c r="K433" s="17"/>
      <c r="L433" s="19"/>
      <c r="M433" s="20" t="b">
        <f aca="false">AND(B433&lt;&gt;"",B433&gt;='Read Me'!$B$5,H433&lt;&gt;"")</f>
        <v>0</v>
      </c>
      <c r="N433" s="21" t="str">
        <f aca="false">IF(OR(D433="",E433=""),"",ABS(D433-E433))</f>
        <v/>
      </c>
      <c r="O433" s="22" t="str">
        <f aca="false">IF(OR(H433="",N433="",N433=0),"",IF(C433="BUY",1,-1)*(H433-D433)/N433)</f>
        <v/>
      </c>
      <c r="P433" s="23" t="str">
        <f aca="false">IF(OR(H433="",D433="",K433=""),"",IF(C433="BUY",1,-1)*(H433-D433)*K433*'Read Me'!$B$10-L433)</f>
        <v/>
      </c>
      <c r="Q433" s="4" t="str">
        <f aca="false">IF(O433="","",IF(O433&gt;0,"WIN","LOSS"))</f>
        <v/>
      </c>
      <c r="R433" s="22" t="str">
        <f aca="false">IF(AND(M433,O433&lt;&gt;""),O433,"")</f>
        <v/>
      </c>
      <c r="S433" s="22" t="n">
        <f aca="false">S432+IF(R433="",0,R433)</f>
        <v>0</v>
      </c>
      <c r="T433" s="22" t="n">
        <f aca="false">MAX(T432,S433)</f>
        <v>0</v>
      </c>
      <c r="U433" s="22" t="n">
        <f aca="false">T433-S433</f>
        <v>0</v>
      </c>
      <c r="V433" s="16"/>
    </row>
    <row r="434" customFormat="false" ht="15" hidden="false" customHeight="true" outlineLevel="0" collapsed="false">
      <c r="A434" s="4" t="str">
        <f aca="false">IF(B434="","",ROW()-1)</f>
        <v/>
      </c>
      <c r="B434" s="15"/>
      <c r="C434" s="16"/>
      <c r="D434" s="17"/>
      <c r="E434" s="17"/>
      <c r="F434" s="17"/>
      <c r="G434" s="18"/>
      <c r="H434" s="17"/>
      <c r="I434" s="16"/>
      <c r="J434" s="16"/>
      <c r="K434" s="17"/>
      <c r="L434" s="19"/>
      <c r="M434" s="20" t="b">
        <f aca="false">AND(B434&lt;&gt;"",B434&gt;='Read Me'!$B$5,H434&lt;&gt;"")</f>
        <v>0</v>
      </c>
      <c r="N434" s="21" t="str">
        <f aca="false">IF(OR(D434="",E434=""),"",ABS(D434-E434))</f>
        <v/>
      </c>
      <c r="O434" s="22" t="str">
        <f aca="false">IF(OR(H434="",N434="",N434=0),"",IF(C434="BUY",1,-1)*(H434-D434)/N434)</f>
        <v/>
      </c>
      <c r="P434" s="23" t="str">
        <f aca="false">IF(OR(H434="",D434="",K434=""),"",IF(C434="BUY",1,-1)*(H434-D434)*K434*'Read Me'!$B$10-L434)</f>
        <v/>
      </c>
      <c r="Q434" s="4" t="str">
        <f aca="false">IF(O434="","",IF(O434&gt;0,"WIN","LOSS"))</f>
        <v/>
      </c>
      <c r="R434" s="22" t="str">
        <f aca="false">IF(AND(M434,O434&lt;&gt;""),O434,"")</f>
        <v/>
      </c>
      <c r="S434" s="22" t="n">
        <f aca="false">S433+IF(R434="",0,R434)</f>
        <v>0</v>
      </c>
      <c r="T434" s="22" t="n">
        <f aca="false">MAX(T433,S434)</f>
        <v>0</v>
      </c>
      <c r="U434" s="22" t="n">
        <f aca="false">T434-S434</f>
        <v>0</v>
      </c>
      <c r="V434" s="16"/>
    </row>
    <row r="435" customFormat="false" ht="15" hidden="false" customHeight="true" outlineLevel="0" collapsed="false">
      <c r="A435" s="4" t="str">
        <f aca="false">IF(B435="","",ROW()-1)</f>
        <v/>
      </c>
      <c r="B435" s="15"/>
      <c r="C435" s="16"/>
      <c r="D435" s="17"/>
      <c r="E435" s="17"/>
      <c r="F435" s="17"/>
      <c r="G435" s="18"/>
      <c r="H435" s="17"/>
      <c r="I435" s="16"/>
      <c r="J435" s="16"/>
      <c r="K435" s="17"/>
      <c r="L435" s="19"/>
      <c r="M435" s="20" t="b">
        <f aca="false">AND(B435&lt;&gt;"",B435&gt;='Read Me'!$B$5,H435&lt;&gt;"")</f>
        <v>0</v>
      </c>
      <c r="N435" s="21" t="str">
        <f aca="false">IF(OR(D435="",E435=""),"",ABS(D435-E435))</f>
        <v/>
      </c>
      <c r="O435" s="22" t="str">
        <f aca="false">IF(OR(H435="",N435="",N435=0),"",IF(C435="BUY",1,-1)*(H435-D435)/N435)</f>
        <v/>
      </c>
      <c r="P435" s="23" t="str">
        <f aca="false">IF(OR(H435="",D435="",K435=""),"",IF(C435="BUY",1,-1)*(H435-D435)*K435*'Read Me'!$B$10-L435)</f>
        <v/>
      </c>
      <c r="Q435" s="4" t="str">
        <f aca="false">IF(O435="","",IF(O435&gt;0,"WIN","LOSS"))</f>
        <v/>
      </c>
      <c r="R435" s="22" t="str">
        <f aca="false">IF(AND(M435,O435&lt;&gt;""),O435,"")</f>
        <v/>
      </c>
      <c r="S435" s="22" t="n">
        <f aca="false">S434+IF(R435="",0,R435)</f>
        <v>0</v>
      </c>
      <c r="T435" s="22" t="n">
        <f aca="false">MAX(T434,S435)</f>
        <v>0</v>
      </c>
      <c r="U435" s="22" t="n">
        <f aca="false">T435-S435</f>
        <v>0</v>
      </c>
      <c r="V435" s="16"/>
    </row>
    <row r="436" customFormat="false" ht="15" hidden="false" customHeight="true" outlineLevel="0" collapsed="false">
      <c r="A436" s="4" t="str">
        <f aca="false">IF(B436="","",ROW()-1)</f>
        <v/>
      </c>
      <c r="B436" s="15"/>
      <c r="C436" s="16"/>
      <c r="D436" s="17"/>
      <c r="E436" s="17"/>
      <c r="F436" s="17"/>
      <c r="G436" s="18"/>
      <c r="H436" s="17"/>
      <c r="I436" s="16"/>
      <c r="J436" s="16"/>
      <c r="K436" s="17"/>
      <c r="L436" s="19"/>
      <c r="M436" s="20" t="b">
        <f aca="false">AND(B436&lt;&gt;"",B436&gt;='Read Me'!$B$5,H436&lt;&gt;"")</f>
        <v>0</v>
      </c>
      <c r="N436" s="21" t="str">
        <f aca="false">IF(OR(D436="",E436=""),"",ABS(D436-E436))</f>
        <v/>
      </c>
      <c r="O436" s="22" t="str">
        <f aca="false">IF(OR(H436="",N436="",N436=0),"",IF(C436="BUY",1,-1)*(H436-D436)/N436)</f>
        <v/>
      </c>
      <c r="P436" s="23" t="str">
        <f aca="false">IF(OR(H436="",D436="",K436=""),"",IF(C436="BUY",1,-1)*(H436-D436)*K436*'Read Me'!$B$10-L436)</f>
        <v/>
      </c>
      <c r="Q436" s="4" t="str">
        <f aca="false">IF(O436="","",IF(O436&gt;0,"WIN","LOSS"))</f>
        <v/>
      </c>
      <c r="R436" s="22" t="str">
        <f aca="false">IF(AND(M436,O436&lt;&gt;""),O436,"")</f>
        <v/>
      </c>
      <c r="S436" s="22" t="n">
        <f aca="false">S435+IF(R436="",0,R436)</f>
        <v>0</v>
      </c>
      <c r="T436" s="22" t="n">
        <f aca="false">MAX(T435,S436)</f>
        <v>0</v>
      </c>
      <c r="U436" s="22" t="n">
        <f aca="false">T436-S436</f>
        <v>0</v>
      </c>
      <c r="V436" s="16"/>
    </row>
    <row r="437" customFormat="false" ht="15" hidden="false" customHeight="true" outlineLevel="0" collapsed="false">
      <c r="A437" s="4" t="str">
        <f aca="false">IF(B437="","",ROW()-1)</f>
        <v/>
      </c>
      <c r="B437" s="15"/>
      <c r="C437" s="16"/>
      <c r="D437" s="17"/>
      <c r="E437" s="17"/>
      <c r="F437" s="17"/>
      <c r="G437" s="18"/>
      <c r="H437" s="17"/>
      <c r="I437" s="16"/>
      <c r="J437" s="16"/>
      <c r="K437" s="17"/>
      <c r="L437" s="19"/>
      <c r="M437" s="20" t="b">
        <f aca="false">AND(B437&lt;&gt;"",B437&gt;='Read Me'!$B$5,H437&lt;&gt;"")</f>
        <v>0</v>
      </c>
      <c r="N437" s="21" t="str">
        <f aca="false">IF(OR(D437="",E437=""),"",ABS(D437-E437))</f>
        <v/>
      </c>
      <c r="O437" s="22" t="str">
        <f aca="false">IF(OR(H437="",N437="",N437=0),"",IF(C437="BUY",1,-1)*(H437-D437)/N437)</f>
        <v/>
      </c>
      <c r="P437" s="23" t="str">
        <f aca="false">IF(OR(H437="",D437="",K437=""),"",IF(C437="BUY",1,-1)*(H437-D437)*K437*'Read Me'!$B$10-L437)</f>
        <v/>
      </c>
      <c r="Q437" s="4" t="str">
        <f aca="false">IF(O437="","",IF(O437&gt;0,"WIN","LOSS"))</f>
        <v/>
      </c>
      <c r="R437" s="22" t="str">
        <f aca="false">IF(AND(M437,O437&lt;&gt;""),O437,"")</f>
        <v/>
      </c>
      <c r="S437" s="22" t="n">
        <f aca="false">S436+IF(R437="",0,R437)</f>
        <v>0</v>
      </c>
      <c r="T437" s="22" t="n">
        <f aca="false">MAX(T436,S437)</f>
        <v>0</v>
      </c>
      <c r="U437" s="22" t="n">
        <f aca="false">T437-S437</f>
        <v>0</v>
      </c>
      <c r="V437" s="16"/>
    </row>
    <row r="438" customFormat="false" ht="15" hidden="false" customHeight="true" outlineLevel="0" collapsed="false">
      <c r="A438" s="4" t="str">
        <f aca="false">IF(B438="","",ROW()-1)</f>
        <v/>
      </c>
      <c r="B438" s="15"/>
      <c r="C438" s="16"/>
      <c r="D438" s="17"/>
      <c r="E438" s="17"/>
      <c r="F438" s="17"/>
      <c r="G438" s="18"/>
      <c r="H438" s="17"/>
      <c r="I438" s="16"/>
      <c r="J438" s="16"/>
      <c r="K438" s="17"/>
      <c r="L438" s="19"/>
      <c r="M438" s="20" t="b">
        <f aca="false">AND(B438&lt;&gt;"",B438&gt;='Read Me'!$B$5,H438&lt;&gt;"")</f>
        <v>0</v>
      </c>
      <c r="N438" s="21" t="str">
        <f aca="false">IF(OR(D438="",E438=""),"",ABS(D438-E438))</f>
        <v/>
      </c>
      <c r="O438" s="22" t="str">
        <f aca="false">IF(OR(H438="",N438="",N438=0),"",IF(C438="BUY",1,-1)*(H438-D438)/N438)</f>
        <v/>
      </c>
      <c r="P438" s="23" t="str">
        <f aca="false">IF(OR(H438="",D438="",K438=""),"",IF(C438="BUY",1,-1)*(H438-D438)*K438*'Read Me'!$B$10-L438)</f>
        <v/>
      </c>
      <c r="Q438" s="4" t="str">
        <f aca="false">IF(O438="","",IF(O438&gt;0,"WIN","LOSS"))</f>
        <v/>
      </c>
      <c r="R438" s="22" t="str">
        <f aca="false">IF(AND(M438,O438&lt;&gt;""),O438,"")</f>
        <v/>
      </c>
      <c r="S438" s="22" t="n">
        <f aca="false">S437+IF(R438="",0,R438)</f>
        <v>0</v>
      </c>
      <c r="T438" s="22" t="n">
        <f aca="false">MAX(T437,S438)</f>
        <v>0</v>
      </c>
      <c r="U438" s="22" t="n">
        <f aca="false">T438-S438</f>
        <v>0</v>
      </c>
      <c r="V438" s="16"/>
    </row>
    <row r="439" customFormat="false" ht="15" hidden="false" customHeight="true" outlineLevel="0" collapsed="false">
      <c r="A439" s="4" t="str">
        <f aca="false">IF(B439="","",ROW()-1)</f>
        <v/>
      </c>
      <c r="B439" s="15"/>
      <c r="C439" s="16"/>
      <c r="D439" s="17"/>
      <c r="E439" s="17"/>
      <c r="F439" s="17"/>
      <c r="G439" s="18"/>
      <c r="H439" s="17"/>
      <c r="I439" s="16"/>
      <c r="J439" s="16"/>
      <c r="K439" s="17"/>
      <c r="L439" s="19"/>
      <c r="M439" s="20" t="b">
        <f aca="false">AND(B439&lt;&gt;"",B439&gt;='Read Me'!$B$5,H439&lt;&gt;"")</f>
        <v>0</v>
      </c>
      <c r="N439" s="21" t="str">
        <f aca="false">IF(OR(D439="",E439=""),"",ABS(D439-E439))</f>
        <v/>
      </c>
      <c r="O439" s="22" t="str">
        <f aca="false">IF(OR(H439="",N439="",N439=0),"",IF(C439="BUY",1,-1)*(H439-D439)/N439)</f>
        <v/>
      </c>
      <c r="P439" s="23" t="str">
        <f aca="false">IF(OR(H439="",D439="",K439=""),"",IF(C439="BUY",1,-1)*(H439-D439)*K439*'Read Me'!$B$10-L439)</f>
        <v/>
      </c>
      <c r="Q439" s="4" t="str">
        <f aca="false">IF(O439="","",IF(O439&gt;0,"WIN","LOSS"))</f>
        <v/>
      </c>
      <c r="R439" s="22" t="str">
        <f aca="false">IF(AND(M439,O439&lt;&gt;""),O439,"")</f>
        <v/>
      </c>
      <c r="S439" s="22" t="n">
        <f aca="false">S438+IF(R439="",0,R439)</f>
        <v>0</v>
      </c>
      <c r="T439" s="22" t="n">
        <f aca="false">MAX(T438,S439)</f>
        <v>0</v>
      </c>
      <c r="U439" s="22" t="n">
        <f aca="false">T439-S439</f>
        <v>0</v>
      </c>
      <c r="V439" s="16"/>
    </row>
    <row r="440" customFormat="false" ht="15" hidden="false" customHeight="true" outlineLevel="0" collapsed="false">
      <c r="A440" s="4" t="str">
        <f aca="false">IF(B440="","",ROW()-1)</f>
        <v/>
      </c>
      <c r="B440" s="15"/>
      <c r="C440" s="16"/>
      <c r="D440" s="17"/>
      <c r="E440" s="17"/>
      <c r="F440" s="17"/>
      <c r="G440" s="18"/>
      <c r="H440" s="17"/>
      <c r="I440" s="16"/>
      <c r="J440" s="16"/>
      <c r="K440" s="17"/>
      <c r="L440" s="19"/>
      <c r="M440" s="20" t="b">
        <f aca="false">AND(B440&lt;&gt;"",B440&gt;='Read Me'!$B$5,H440&lt;&gt;"")</f>
        <v>0</v>
      </c>
      <c r="N440" s="21" t="str">
        <f aca="false">IF(OR(D440="",E440=""),"",ABS(D440-E440))</f>
        <v/>
      </c>
      <c r="O440" s="22" t="str">
        <f aca="false">IF(OR(H440="",N440="",N440=0),"",IF(C440="BUY",1,-1)*(H440-D440)/N440)</f>
        <v/>
      </c>
      <c r="P440" s="23" t="str">
        <f aca="false">IF(OR(H440="",D440="",K440=""),"",IF(C440="BUY",1,-1)*(H440-D440)*K440*'Read Me'!$B$10-L440)</f>
        <v/>
      </c>
      <c r="Q440" s="4" t="str">
        <f aca="false">IF(O440="","",IF(O440&gt;0,"WIN","LOSS"))</f>
        <v/>
      </c>
      <c r="R440" s="22" t="str">
        <f aca="false">IF(AND(M440,O440&lt;&gt;""),O440,"")</f>
        <v/>
      </c>
      <c r="S440" s="22" t="n">
        <f aca="false">S439+IF(R440="",0,R440)</f>
        <v>0</v>
      </c>
      <c r="T440" s="22" t="n">
        <f aca="false">MAX(T439,S440)</f>
        <v>0</v>
      </c>
      <c r="U440" s="22" t="n">
        <f aca="false">T440-S440</f>
        <v>0</v>
      </c>
      <c r="V440" s="16"/>
    </row>
    <row r="441" customFormat="false" ht="15" hidden="false" customHeight="true" outlineLevel="0" collapsed="false">
      <c r="A441" s="4" t="str">
        <f aca="false">IF(B441="","",ROW()-1)</f>
        <v/>
      </c>
      <c r="B441" s="15"/>
      <c r="C441" s="16"/>
      <c r="D441" s="17"/>
      <c r="E441" s="17"/>
      <c r="F441" s="17"/>
      <c r="G441" s="18"/>
      <c r="H441" s="17"/>
      <c r="I441" s="16"/>
      <c r="J441" s="16"/>
      <c r="K441" s="17"/>
      <c r="L441" s="19"/>
      <c r="M441" s="20" t="b">
        <f aca="false">AND(B441&lt;&gt;"",B441&gt;='Read Me'!$B$5,H441&lt;&gt;"")</f>
        <v>0</v>
      </c>
      <c r="N441" s="21" t="str">
        <f aca="false">IF(OR(D441="",E441=""),"",ABS(D441-E441))</f>
        <v/>
      </c>
      <c r="O441" s="22" t="str">
        <f aca="false">IF(OR(H441="",N441="",N441=0),"",IF(C441="BUY",1,-1)*(H441-D441)/N441)</f>
        <v/>
      </c>
      <c r="P441" s="23" t="str">
        <f aca="false">IF(OR(H441="",D441="",K441=""),"",IF(C441="BUY",1,-1)*(H441-D441)*K441*'Read Me'!$B$10-L441)</f>
        <v/>
      </c>
      <c r="Q441" s="4" t="str">
        <f aca="false">IF(O441="","",IF(O441&gt;0,"WIN","LOSS"))</f>
        <v/>
      </c>
      <c r="R441" s="22" t="str">
        <f aca="false">IF(AND(M441,O441&lt;&gt;""),O441,"")</f>
        <v/>
      </c>
      <c r="S441" s="22" t="n">
        <f aca="false">S440+IF(R441="",0,R441)</f>
        <v>0</v>
      </c>
      <c r="T441" s="22" t="n">
        <f aca="false">MAX(T440,S441)</f>
        <v>0</v>
      </c>
      <c r="U441" s="22" t="n">
        <f aca="false">T441-S441</f>
        <v>0</v>
      </c>
      <c r="V441" s="16"/>
    </row>
    <row r="442" customFormat="false" ht="15" hidden="false" customHeight="true" outlineLevel="0" collapsed="false">
      <c r="A442" s="4" t="str">
        <f aca="false">IF(B442="","",ROW()-1)</f>
        <v/>
      </c>
      <c r="B442" s="15"/>
      <c r="C442" s="16"/>
      <c r="D442" s="17"/>
      <c r="E442" s="17"/>
      <c r="F442" s="17"/>
      <c r="G442" s="18"/>
      <c r="H442" s="17"/>
      <c r="I442" s="16"/>
      <c r="J442" s="16"/>
      <c r="K442" s="17"/>
      <c r="L442" s="19"/>
      <c r="M442" s="20" t="b">
        <f aca="false">AND(B442&lt;&gt;"",B442&gt;='Read Me'!$B$5,H442&lt;&gt;"")</f>
        <v>0</v>
      </c>
      <c r="N442" s="21" t="str">
        <f aca="false">IF(OR(D442="",E442=""),"",ABS(D442-E442))</f>
        <v/>
      </c>
      <c r="O442" s="22" t="str">
        <f aca="false">IF(OR(H442="",N442="",N442=0),"",IF(C442="BUY",1,-1)*(H442-D442)/N442)</f>
        <v/>
      </c>
      <c r="P442" s="23" t="str">
        <f aca="false">IF(OR(H442="",D442="",K442=""),"",IF(C442="BUY",1,-1)*(H442-D442)*K442*'Read Me'!$B$10-L442)</f>
        <v/>
      </c>
      <c r="Q442" s="4" t="str">
        <f aca="false">IF(O442="","",IF(O442&gt;0,"WIN","LOSS"))</f>
        <v/>
      </c>
      <c r="R442" s="22" t="str">
        <f aca="false">IF(AND(M442,O442&lt;&gt;""),O442,"")</f>
        <v/>
      </c>
      <c r="S442" s="22" t="n">
        <f aca="false">S441+IF(R442="",0,R442)</f>
        <v>0</v>
      </c>
      <c r="T442" s="22" t="n">
        <f aca="false">MAX(T441,S442)</f>
        <v>0</v>
      </c>
      <c r="U442" s="22" t="n">
        <f aca="false">T442-S442</f>
        <v>0</v>
      </c>
      <c r="V442" s="16"/>
    </row>
    <row r="443" customFormat="false" ht="15" hidden="false" customHeight="true" outlineLevel="0" collapsed="false">
      <c r="A443" s="4" t="str">
        <f aca="false">IF(B443="","",ROW()-1)</f>
        <v/>
      </c>
      <c r="B443" s="15"/>
      <c r="C443" s="16"/>
      <c r="D443" s="17"/>
      <c r="E443" s="17"/>
      <c r="F443" s="17"/>
      <c r="G443" s="18"/>
      <c r="H443" s="17"/>
      <c r="I443" s="16"/>
      <c r="J443" s="16"/>
      <c r="K443" s="17"/>
      <c r="L443" s="19"/>
      <c r="M443" s="20" t="b">
        <f aca="false">AND(B443&lt;&gt;"",B443&gt;='Read Me'!$B$5,H443&lt;&gt;"")</f>
        <v>0</v>
      </c>
      <c r="N443" s="21" t="str">
        <f aca="false">IF(OR(D443="",E443=""),"",ABS(D443-E443))</f>
        <v/>
      </c>
      <c r="O443" s="22" t="str">
        <f aca="false">IF(OR(H443="",N443="",N443=0),"",IF(C443="BUY",1,-1)*(H443-D443)/N443)</f>
        <v/>
      </c>
      <c r="P443" s="23" t="str">
        <f aca="false">IF(OR(H443="",D443="",K443=""),"",IF(C443="BUY",1,-1)*(H443-D443)*K443*'Read Me'!$B$10-L443)</f>
        <v/>
      </c>
      <c r="Q443" s="4" t="str">
        <f aca="false">IF(O443="","",IF(O443&gt;0,"WIN","LOSS"))</f>
        <v/>
      </c>
      <c r="R443" s="22" t="str">
        <f aca="false">IF(AND(M443,O443&lt;&gt;""),O443,"")</f>
        <v/>
      </c>
      <c r="S443" s="22" t="n">
        <f aca="false">S442+IF(R443="",0,R443)</f>
        <v>0</v>
      </c>
      <c r="T443" s="22" t="n">
        <f aca="false">MAX(T442,S443)</f>
        <v>0</v>
      </c>
      <c r="U443" s="22" t="n">
        <f aca="false">T443-S443</f>
        <v>0</v>
      </c>
      <c r="V443" s="16"/>
    </row>
    <row r="444" customFormat="false" ht="15" hidden="false" customHeight="true" outlineLevel="0" collapsed="false">
      <c r="A444" s="4" t="str">
        <f aca="false">IF(B444="","",ROW()-1)</f>
        <v/>
      </c>
      <c r="B444" s="15"/>
      <c r="C444" s="16"/>
      <c r="D444" s="17"/>
      <c r="E444" s="17"/>
      <c r="F444" s="17"/>
      <c r="G444" s="18"/>
      <c r="H444" s="17"/>
      <c r="I444" s="16"/>
      <c r="J444" s="16"/>
      <c r="K444" s="17"/>
      <c r="L444" s="19"/>
      <c r="M444" s="20" t="b">
        <f aca="false">AND(B444&lt;&gt;"",B444&gt;='Read Me'!$B$5,H444&lt;&gt;"")</f>
        <v>0</v>
      </c>
      <c r="N444" s="21" t="str">
        <f aca="false">IF(OR(D444="",E444=""),"",ABS(D444-E444))</f>
        <v/>
      </c>
      <c r="O444" s="22" t="str">
        <f aca="false">IF(OR(H444="",N444="",N444=0),"",IF(C444="BUY",1,-1)*(H444-D444)/N444)</f>
        <v/>
      </c>
      <c r="P444" s="23" t="str">
        <f aca="false">IF(OR(H444="",D444="",K444=""),"",IF(C444="BUY",1,-1)*(H444-D444)*K444*'Read Me'!$B$10-L444)</f>
        <v/>
      </c>
      <c r="Q444" s="4" t="str">
        <f aca="false">IF(O444="","",IF(O444&gt;0,"WIN","LOSS"))</f>
        <v/>
      </c>
      <c r="R444" s="22" t="str">
        <f aca="false">IF(AND(M444,O444&lt;&gt;""),O444,"")</f>
        <v/>
      </c>
      <c r="S444" s="22" t="n">
        <f aca="false">S443+IF(R444="",0,R444)</f>
        <v>0</v>
      </c>
      <c r="T444" s="22" t="n">
        <f aca="false">MAX(T443,S444)</f>
        <v>0</v>
      </c>
      <c r="U444" s="22" t="n">
        <f aca="false">T444-S444</f>
        <v>0</v>
      </c>
      <c r="V444" s="16"/>
    </row>
    <row r="445" customFormat="false" ht="15" hidden="false" customHeight="true" outlineLevel="0" collapsed="false">
      <c r="A445" s="4" t="str">
        <f aca="false">IF(B445="","",ROW()-1)</f>
        <v/>
      </c>
      <c r="B445" s="15"/>
      <c r="C445" s="16"/>
      <c r="D445" s="17"/>
      <c r="E445" s="17"/>
      <c r="F445" s="17"/>
      <c r="G445" s="18"/>
      <c r="H445" s="17"/>
      <c r="I445" s="16"/>
      <c r="J445" s="16"/>
      <c r="K445" s="17"/>
      <c r="L445" s="19"/>
      <c r="M445" s="20" t="b">
        <f aca="false">AND(B445&lt;&gt;"",B445&gt;='Read Me'!$B$5,H445&lt;&gt;"")</f>
        <v>0</v>
      </c>
      <c r="N445" s="21" t="str">
        <f aca="false">IF(OR(D445="",E445=""),"",ABS(D445-E445))</f>
        <v/>
      </c>
      <c r="O445" s="22" t="str">
        <f aca="false">IF(OR(H445="",N445="",N445=0),"",IF(C445="BUY",1,-1)*(H445-D445)/N445)</f>
        <v/>
      </c>
      <c r="P445" s="23" t="str">
        <f aca="false">IF(OR(H445="",D445="",K445=""),"",IF(C445="BUY",1,-1)*(H445-D445)*K445*'Read Me'!$B$10-L445)</f>
        <v/>
      </c>
      <c r="Q445" s="4" t="str">
        <f aca="false">IF(O445="","",IF(O445&gt;0,"WIN","LOSS"))</f>
        <v/>
      </c>
      <c r="R445" s="22" t="str">
        <f aca="false">IF(AND(M445,O445&lt;&gt;""),O445,"")</f>
        <v/>
      </c>
      <c r="S445" s="22" t="n">
        <f aca="false">S444+IF(R445="",0,R445)</f>
        <v>0</v>
      </c>
      <c r="T445" s="22" t="n">
        <f aca="false">MAX(T444,S445)</f>
        <v>0</v>
      </c>
      <c r="U445" s="22" t="n">
        <f aca="false">T445-S445</f>
        <v>0</v>
      </c>
      <c r="V445" s="16"/>
    </row>
    <row r="446" customFormat="false" ht="15" hidden="false" customHeight="true" outlineLevel="0" collapsed="false">
      <c r="A446" s="4" t="str">
        <f aca="false">IF(B446="","",ROW()-1)</f>
        <v/>
      </c>
      <c r="B446" s="15"/>
      <c r="C446" s="16"/>
      <c r="D446" s="17"/>
      <c r="E446" s="17"/>
      <c r="F446" s="17"/>
      <c r="G446" s="18"/>
      <c r="H446" s="17"/>
      <c r="I446" s="16"/>
      <c r="J446" s="16"/>
      <c r="K446" s="17"/>
      <c r="L446" s="19"/>
      <c r="M446" s="20" t="b">
        <f aca="false">AND(B446&lt;&gt;"",B446&gt;='Read Me'!$B$5,H446&lt;&gt;"")</f>
        <v>0</v>
      </c>
      <c r="N446" s="21" t="str">
        <f aca="false">IF(OR(D446="",E446=""),"",ABS(D446-E446))</f>
        <v/>
      </c>
      <c r="O446" s="22" t="str">
        <f aca="false">IF(OR(H446="",N446="",N446=0),"",IF(C446="BUY",1,-1)*(H446-D446)/N446)</f>
        <v/>
      </c>
      <c r="P446" s="23" t="str">
        <f aca="false">IF(OR(H446="",D446="",K446=""),"",IF(C446="BUY",1,-1)*(H446-D446)*K446*'Read Me'!$B$10-L446)</f>
        <v/>
      </c>
      <c r="Q446" s="4" t="str">
        <f aca="false">IF(O446="","",IF(O446&gt;0,"WIN","LOSS"))</f>
        <v/>
      </c>
      <c r="R446" s="22" t="str">
        <f aca="false">IF(AND(M446,O446&lt;&gt;""),O446,"")</f>
        <v/>
      </c>
      <c r="S446" s="22" t="n">
        <f aca="false">S445+IF(R446="",0,R446)</f>
        <v>0</v>
      </c>
      <c r="T446" s="22" t="n">
        <f aca="false">MAX(T445,S446)</f>
        <v>0</v>
      </c>
      <c r="U446" s="22" t="n">
        <f aca="false">T446-S446</f>
        <v>0</v>
      </c>
      <c r="V446" s="16"/>
    </row>
    <row r="447" customFormat="false" ht="15" hidden="false" customHeight="true" outlineLevel="0" collapsed="false">
      <c r="A447" s="4" t="str">
        <f aca="false">IF(B447="","",ROW()-1)</f>
        <v/>
      </c>
      <c r="B447" s="15"/>
      <c r="C447" s="16"/>
      <c r="D447" s="17"/>
      <c r="E447" s="17"/>
      <c r="F447" s="17"/>
      <c r="G447" s="18"/>
      <c r="H447" s="17"/>
      <c r="I447" s="16"/>
      <c r="J447" s="16"/>
      <c r="K447" s="17"/>
      <c r="L447" s="19"/>
      <c r="M447" s="20" t="b">
        <f aca="false">AND(B447&lt;&gt;"",B447&gt;='Read Me'!$B$5,H447&lt;&gt;"")</f>
        <v>0</v>
      </c>
      <c r="N447" s="21" t="str">
        <f aca="false">IF(OR(D447="",E447=""),"",ABS(D447-E447))</f>
        <v/>
      </c>
      <c r="O447" s="22" t="str">
        <f aca="false">IF(OR(H447="",N447="",N447=0),"",IF(C447="BUY",1,-1)*(H447-D447)/N447)</f>
        <v/>
      </c>
      <c r="P447" s="23" t="str">
        <f aca="false">IF(OR(H447="",D447="",K447=""),"",IF(C447="BUY",1,-1)*(H447-D447)*K447*'Read Me'!$B$10-L447)</f>
        <v/>
      </c>
      <c r="Q447" s="4" t="str">
        <f aca="false">IF(O447="","",IF(O447&gt;0,"WIN","LOSS"))</f>
        <v/>
      </c>
      <c r="R447" s="22" t="str">
        <f aca="false">IF(AND(M447,O447&lt;&gt;""),O447,"")</f>
        <v/>
      </c>
      <c r="S447" s="22" t="n">
        <f aca="false">S446+IF(R447="",0,R447)</f>
        <v>0</v>
      </c>
      <c r="T447" s="22" t="n">
        <f aca="false">MAX(T446,S447)</f>
        <v>0</v>
      </c>
      <c r="U447" s="22" t="n">
        <f aca="false">T447-S447</f>
        <v>0</v>
      </c>
      <c r="V447" s="16"/>
    </row>
    <row r="448" customFormat="false" ht="15" hidden="false" customHeight="true" outlineLevel="0" collapsed="false">
      <c r="A448" s="4" t="str">
        <f aca="false">IF(B448="","",ROW()-1)</f>
        <v/>
      </c>
      <c r="B448" s="15"/>
      <c r="C448" s="16"/>
      <c r="D448" s="17"/>
      <c r="E448" s="17"/>
      <c r="F448" s="17"/>
      <c r="G448" s="18"/>
      <c r="H448" s="17"/>
      <c r="I448" s="16"/>
      <c r="J448" s="16"/>
      <c r="K448" s="17"/>
      <c r="L448" s="19"/>
      <c r="M448" s="20" t="b">
        <f aca="false">AND(B448&lt;&gt;"",B448&gt;='Read Me'!$B$5,H448&lt;&gt;"")</f>
        <v>0</v>
      </c>
      <c r="N448" s="21" t="str">
        <f aca="false">IF(OR(D448="",E448=""),"",ABS(D448-E448))</f>
        <v/>
      </c>
      <c r="O448" s="22" t="str">
        <f aca="false">IF(OR(H448="",N448="",N448=0),"",IF(C448="BUY",1,-1)*(H448-D448)/N448)</f>
        <v/>
      </c>
      <c r="P448" s="23" t="str">
        <f aca="false">IF(OR(H448="",D448="",K448=""),"",IF(C448="BUY",1,-1)*(H448-D448)*K448*'Read Me'!$B$10-L448)</f>
        <v/>
      </c>
      <c r="Q448" s="4" t="str">
        <f aca="false">IF(O448="","",IF(O448&gt;0,"WIN","LOSS"))</f>
        <v/>
      </c>
      <c r="R448" s="22" t="str">
        <f aca="false">IF(AND(M448,O448&lt;&gt;""),O448,"")</f>
        <v/>
      </c>
      <c r="S448" s="22" t="n">
        <f aca="false">S447+IF(R448="",0,R448)</f>
        <v>0</v>
      </c>
      <c r="T448" s="22" t="n">
        <f aca="false">MAX(T447,S448)</f>
        <v>0</v>
      </c>
      <c r="U448" s="22" t="n">
        <f aca="false">T448-S448</f>
        <v>0</v>
      </c>
      <c r="V448" s="16"/>
    </row>
    <row r="449" customFormat="false" ht="15" hidden="false" customHeight="true" outlineLevel="0" collapsed="false">
      <c r="A449" s="4" t="str">
        <f aca="false">IF(B449="","",ROW()-1)</f>
        <v/>
      </c>
      <c r="B449" s="15"/>
      <c r="C449" s="16"/>
      <c r="D449" s="17"/>
      <c r="E449" s="17"/>
      <c r="F449" s="17"/>
      <c r="G449" s="18"/>
      <c r="H449" s="17"/>
      <c r="I449" s="16"/>
      <c r="J449" s="16"/>
      <c r="K449" s="17"/>
      <c r="L449" s="19"/>
      <c r="M449" s="20" t="b">
        <f aca="false">AND(B449&lt;&gt;"",B449&gt;='Read Me'!$B$5,H449&lt;&gt;"")</f>
        <v>0</v>
      </c>
      <c r="N449" s="21" t="str">
        <f aca="false">IF(OR(D449="",E449=""),"",ABS(D449-E449))</f>
        <v/>
      </c>
      <c r="O449" s="22" t="str">
        <f aca="false">IF(OR(H449="",N449="",N449=0),"",IF(C449="BUY",1,-1)*(H449-D449)/N449)</f>
        <v/>
      </c>
      <c r="P449" s="23" t="str">
        <f aca="false">IF(OR(H449="",D449="",K449=""),"",IF(C449="BUY",1,-1)*(H449-D449)*K449*'Read Me'!$B$10-L449)</f>
        <v/>
      </c>
      <c r="Q449" s="4" t="str">
        <f aca="false">IF(O449="","",IF(O449&gt;0,"WIN","LOSS"))</f>
        <v/>
      </c>
      <c r="R449" s="22" t="str">
        <f aca="false">IF(AND(M449,O449&lt;&gt;""),O449,"")</f>
        <v/>
      </c>
      <c r="S449" s="22" t="n">
        <f aca="false">S448+IF(R449="",0,R449)</f>
        <v>0</v>
      </c>
      <c r="T449" s="22" t="n">
        <f aca="false">MAX(T448,S449)</f>
        <v>0</v>
      </c>
      <c r="U449" s="22" t="n">
        <f aca="false">T449-S449</f>
        <v>0</v>
      </c>
      <c r="V449" s="16"/>
    </row>
    <row r="450" customFormat="false" ht="15" hidden="false" customHeight="true" outlineLevel="0" collapsed="false">
      <c r="A450" s="4" t="str">
        <f aca="false">IF(B450="","",ROW()-1)</f>
        <v/>
      </c>
      <c r="B450" s="15"/>
      <c r="C450" s="16"/>
      <c r="D450" s="17"/>
      <c r="E450" s="17"/>
      <c r="F450" s="17"/>
      <c r="G450" s="18"/>
      <c r="H450" s="17"/>
      <c r="I450" s="16"/>
      <c r="J450" s="16"/>
      <c r="K450" s="17"/>
      <c r="L450" s="19"/>
      <c r="M450" s="20" t="b">
        <f aca="false">AND(B450&lt;&gt;"",B450&gt;='Read Me'!$B$5,H450&lt;&gt;"")</f>
        <v>0</v>
      </c>
      <c r="N450" s="21" t="str">
        <f aca="false">IF(OR(D450="",E450=""),"",ABS(D450-E450))</f>
        <v/>
      </c>
      <c r="O450" s="22" t="str">
        <f aca="false">IF(OR(H450="",N450="",N450=0),"",IF(C450="BUY",1,-1)*(H450-D450)/N450)</f>
        <v/>
      </c>
      <c r="P450" s="23" t="str">
        <f aca="false">IF(OR(H450="",D450="",K450=""),"",IF(C450="BUY",1,-1)*(H450-D450)*K450*'Read Me'!$B$10-L450)</f>
        <v/>
      </c>
      <c r="Q450" s="4" t="str">
        <f aca="false">IF(O450="","",IF(O450&gt;0,"WIN","LOSS"))</f>
        <v/>
      </c>
      <c r="R450" s="22" t="str">
        <f aca="false">IF(AND(M450,O450&lt;&gt;""),O450,"")</f>
        <v/>
      </c>
      <c r="S450" s="22" t="n">
        <f aca="false">S449+IF(R450="",0,R450)</f>
        <v>0</v>
      </c>
      <c r="T450" s="22" t="n">
        <f aca="false">MAX(T449,S450)</f>
        <v>0</v>
      </c>
      <c r="U450" s="22" t="n">
        <f aca="false">T450-S450</f>
        <v>0</v>
      </c>
      <c r="V450" s="16"/>
    </row>
    <row r="451" customFormat="false" ht="15" hidden="false" customHeight="true" outlineLevel="0" collapsed="false">
      <c r="A451" s="4" t="str">
        <f aca="false">IF(B451="","",ROW()-1)</f>
        <v/>
      </c>
      <c r="B451" s="15"/>
      <c r="C451" s="16"/>
      <c r="D451" s="17"/>
      <c r="E451" s="17"/>
      <c r="F451" s="17"/>
      <c r="G451" s="18"/>
      <c r="H451" s="17"/>
      <c r="I451" s="16"/>
      <c r="J451" s="16"/>
      <c r="K451" s="17"/>
      <c r="L451" s="19"/>
      <c r="M451" s="20" t="b">
        <f aca="false">AND(B451&lt;&gt;"",B451&gt;='Read Me'!$B$5,H451&lt;&gt;"")</f>
        <v>0</v>
      </c>
      <c r="N451" s="21" t="str">
        <f aca="false">IF(OR(D451="",E451=""),"",ABS(D451-E451))</f>
        <v/>
      </c>
      <c r="O451" s="22" t="str">
        <f aca="false">IF(OR(H451="",N451="",N451=0),"",IF(C451="BUY",1,-1)*(H451-D451)/N451)</f>
        <v/>
      </c>
      <c r="P451" s="23" t="str">
        <f aca="false">IF(OR(H451="",D451="",K451=""),"",IF(C451="BUY",1,-1)*(H451-D451)*K451*'Read Me'!$B$10-L451)</f>
        <v/>
      </c>
      <c r="Q451" s="4" t="str">
        <f aca="false">IF(O451="","",IF(O451&gt;0,"WIN","LOSS"))</f>
        <v/>
      </c>
      <c r="R451" s="22" t="str">
        <f aca="false">IF(AND(M451,O451&lt;&gt;""),O451,"")</f>
        <v/>
      </c>
      <c r="S451" s="22" t="n">
        <f aca="false">S450+IF(R451="",0,R451)</f>
        <v>0</v>
      </c>
      <c r="T451" s="22" t="n">
        <f aca="false">MAX(T450,S451)</f>
        <v>0</v>
      </c>
      <c r="U451" s="22" t="n">
        <f aca="false">T451-S451</f>
        <v>0</v>
      </c>
      <c r="V451" s="16"/>
    </row>
    <row r="452" customFormat="false" ht="15" hidden="false" customHeight="true" outlineLevel="0" collapsed="false">
      <c r="A452" s="4" t="str">
        <f aca="false">IF(B452="","",ROW()-1)</f>
        <v/>
      </c>
      <c r="B452" s="15"/>
      <c r="C452" s="16"/>
      <c r="D452" s="17"/>
      <c r="E452" s="17"/>
      <c r="F452" s="17"/>
      <c r="G452" s="18"/>
      <c r="H452" s="17"/>
      <c r="I452" s="16"/>
      <c r="J452" s="16"/>
      <c r="K452" s="17"/>
      <c r="L452" s="19"/>
      <c r="M452" s="20" t="b">
        <f aca="false">AND(B452&lt;&gt;"",B452&gt;='Read Me'!$B$5,H452&lt;&gt;"")</f>
        <v>0</v>
      </c>
      <c r="N452" s="21" t="str">
        <f aca="false">IF(OR(D452="",E452=""),"",ABS(D452-E452))</f>
        <v/>
      </c>
      <c r="O452" s="22" t="str">
        <f aca="false">IF(OR(H452="",N452="",N452=0),"",IF(C452="BUY",1,-1)*(H452-D452)/N452)</f>
        <v/>
      </c>
      <c r="P452" s="23" t="str">
        <f aca="false">IF(OR(H452="",D452="",K452=""),"",IF(C452="BUY",1,-1)*(H452-D452)*K452*'Read Me'!$B$10-L452)</f>
        <v/>
      </c>
      <c r="Q452" s="4" t="str">
        <f aca="false">IF(O452="","",IF(O452&gt;0,"WIN","LOSS"))</f>
        <v/>
      </c>
      <c r="R452" s="22" t="str">
        <f aca="false">IF(AND(M452,O452&lt;&gt;""),O452,"")</f>
        <v/>
      </c>
      <c r="S452" s="22" t="n">
        <f aca="false">S451+IF(R452="",0,R452)</f>
        <v>0</v>
      </c>
      <c r="T452" s="22" t="n">
        <f aca="false">MAX(T451,S452)</f>
        <v>0</v>
      </c>
      <c r="U452" s="22" t="n">
        <f aca="false">T452-S452</f>
        <v>0</v>
      </c>
      <c r="V452" s="16"/>
    </row>
    <row r="453" customFormat="false" ht="15" hidden="false" customHeight="true" outlineLevel="0" collapsed="false">
      <c r="A453" s="4" t="str">
        <f aca="false">IF(B453="","",ROW()-1)</f>
        <v/>
      </c>
      <c r="B453" s="15"/>
      <c r="C453" s="16"/>
      <c r="D453" s="17"/>
      <c r="E453" s="17"/>
      <c r="F453" s="17"/>
      <c r="G453" s="18"/>
      <c r="H453" s="17"/>
      <c r="I453" s="16"/>
      <c r="J453" s="16"/>
      <c r="K453" s="17"/>
      <c r="L453" s="19"/>
      <c r="M453" s="20" t="b">
        <f aca="false">AND(B453&lt;&gt;"",B453&gt;='Read Me'!$B$5,H453&lt;&gt;"")</f>
        <v>0</v>
      </c>
      <c r="N453" s="21" t="str">
        <f aca="false">IF(OR(D453="",E453=""),"",ABS(D453-E453))</f>
        <v/>
      </c>
      <c r="O453" s="22" t="str">
        <f aca="false">IF(OR(H453="",N453="",N453=0),"",IF(C453="BUY",1,-1)*(H453-D453)/N453)</f>
        <v/>
      </c>
      <c r="P453" s="23" t="str">
        <f aca="false">IF(OR(H453="",D453="",K453=""),"",IF(C453="BUY",1,-1)*(H453-D453)*K453*'Read Me'!$B$10-L453)</f>
        <v/>
      </c>
      <c r="Q453" s="4" t="str">
        <f aca="false">IF(O453="","",IF(O453&gt;0,"WIN","LOSS"))</f>
        <v/>
      </c>
      <c r="R453" s="22" t="str">
        <f aca="false">IF(AND(M453,O453&lt;&gt;""),O453,"")</f>
        <v/>
      </c>
      <c r="S453" s="22" t="n">
        <f aca="false">S452+IF(R453="",0,R453)</f>
        <v>0</v>
      </c>
      <c r="T453" s="22" t="n">
        <f aca="false">MAX(T452,S453)</f>
        <v>0</v>
      </c>
      <c r="U453" s="22" t="n">
        <f aca="false">T453-S453</f>
        <v>0</v>
      </c>
      <c r="V453" s="16"/>
    </row>
    <row r="454" customFormat="false" ht="15" hidden="false" customHeight="true" outlineLevel="0" collapsed="false">
      <c r="A454" s="4" t="str">
        <f aca="false">IF(B454="","",ROW()-1)</f>
        <v/>
      </c>
      <c r="B454" s="15"/>
      <c r="C454" s="16"/>
      <c r="D454" s="17"/>
      <c r="E454" s="17"/>
      <c r="F454" s="17"/>
      <c r="G454" s="18"/>
      <c r="H454" s="17"/>
      <c r="I454" s="16"/>
      <c r="J454" s="16"/>
      <c r="K454" s="17"/>
      <c r="L454" s="19"/>
      <c r="M454" s="20" t="b">
        <f aca="false">AND(B454&lt;&gt;"",B454&gt;='Read Me'!$B$5,H454&lt;&gt;"")</f>
        <v>0</v>
      </c>
      <c r="N454" s="21" t="str">
        <f aca="false">IF(OR(D454="",E454=""),"",ABS(D454-E454))</f>
        <v/>
      </c>
      <c r="O454" s="22" t="str">
        <f aca="false">IF(OR(H454="",N454="",N454=0),"",IF(C454="BUY",1,-1)*(H454-D454)/N454)</f>
        <v/>
      </c>
      <c r="P454" s="23" t="str">
        <f aca="false">IF(OR(H454="",D454="",K454=""),"",IF(C454="BUY",1,-1)*(H454-D454)*K454*'Read Me'!$B$10-L454)</f>
        <v/>
      </c>
      <c r="Q454" s="4" t="str">
        <f aca="false">IF(O454="","",IF(O454&gt;0,"WIN","LOSS"))</f>
        <v/>
      </c>
      <c r="R454" s="22" t="str">
        <f aca="false">IF(AND(M454,O454&lt;&gt;""),O454,"")</f>
        <v/>
      </c>
      <c r="S454" s="22" t="n">
        <f aca="false">S453+IF(R454="",0,R454)</f>
        <v>0</v>
      </c>
      <c r="T454" s="22" t="n">
        <f aca="false">MAX(T453,S454)</f>
        <v>0</v>
      </c>
      <c r="U454" s="22" t="n">
        <f aca="false">T454-S454</f>
        <v>0</v>
      </c>
      <c r="V454" s="16"/>
    </row>
    <row r="455" customFormat="false" ht="15" hidden="false" customHeight="true" outlineLevel="0" collapsed="false">
      <c r="A455" s="4" t="str">
        <f aca="false">IF(B455="","",ROW()-1)</f>
        <v/>
      </c>
      <c r="B455" s="15"/>
      <c r="C455" s="16"/>
      <c r="D455" s="17"/>
      <c r="E455" s="17"/>
      <c r="F455" s="17"/>
      <c r="G455" s="18"/>
      <c r="H455" s="17"/>
      <c r="I455" s="16"/>
      <c r="J455" s="16"/>
      <c r="K455" s="17"/>
      <c r="L455" s="19"/>
      <c r="M455" s="20" t="b">
        <f aca="false">AND(B455&lt;&gt;"",B455&gt;='Read Me'!$B$5,H455&lt;&gt;"")</f>
        <v>0</v>
      </c>
      <c r="N455" s="21" t="str">
        <f aca="false">IF(OR(D455="",E455=""),"",ABS(D455-E455))</f>
        <v/>
      </c>
      <c r="O455" s="22" t="str">
        <f aca="false">IF(OR(H455="",N455="",N455=0),"",IF(C455="BUY",1,-1)*(H455-D455)/N455)</f>
        <v/>
      </c>
      <c r="P455" s="23" t="str">
        <f aca="false">IF(OR(H455="",D455="",K455=""),"",IF(C455="BUY",1,-1)*(H455-D455)*K455*'Read Me'!$B$10-L455)</f>
        <v/>
      </c>
      <c r="Q455" s="4" t="str">
        <f aca="false">IF(O455="","",IF(O455&gt;0,"WIN","LOSS"))</f>
        <v/>
      </c>
      <c r="R455" s="22" t="str">
        <f aca="false">IF(AND(M455,O455&lt;&gt;""),O455,"")</f>
        <v/>
      </c>
      <c r="S455" s="22" t="n">
        <f aca="false">S454+IF(R455="",0,R455)</f>
        <v>0</v>
      </c>
      <c r="T455" s="22" t="n">
        <f aca="false">MAX(T454,S455)</f>
        <v>0</v>
      </c>
      <c r="U455" s="22" t="n">
        <f aca="false">T455-S455</f>
        <v>0</v>
      </c>
      <c r="V455" s="16"/>
    </row>
    <row r="456" customFormat="false" ht="15" hidden="false" customHeight="true" outlineLevel="0" collapsed="false">
      <c r="A456" s="4" t="str">
        <f aca="false">IF(B456="","",ROW()-1)</f>
        <v/>
      </c>
      <c r="B456" s="15"/>
      <c r="C456" s="16"/>
      <c r="D456" s="17"/>
      <c r="E456" s="17"/>
      <c r="F456" s="17"/>
      <c r="G456" s="18"/>
      <c r="H456" s="17"/>
      <c r="I456" s="16"/>
      <c r="J456" s="16"/>
      <c r="K456" s="17"/>
      <c r="L456" s="19"/>
      <c r="M456" s="20" t="b">
        <f aca="false">AND(B456&lt;&gt;"",B456&gt;='Read Me'!$B$5,H456&lt;&gt;"")</f>
        <v>0</v>
      </c>
      <c r="N456" s="21" t="str">
        <f aca="false">IF(OR(D456="",E456=""),"",ABS(D456-E456))</f>
        <v/>
      </c>
      <c r="O456" s="22" t="str">
        <f aca="false">IF(OR(H456="",N456="",N456=0),"",IF(C456="BUY",1,-1)*(H456-D456)/N456)</f>
        <v/>
      </c>
      <c r="P456" s="23" t="str">
        <f aca="false">IF(OR(H456="",D456="",K456=""),"",IF(C456="BUY",1,-1)*(H456-D456)*K456*'Read Me'!$B$10-L456)</f>
        <v/>
      </c>
      <c r="Q456" s="4" t="str">
        <f aca="false">IF(O456="","",IF(O456&gt;0,"WIN","LOSS"))</f>
        <v/>
      </c>
      <c r="R456" s="22" t="str">
        <f aca="false">IF(AND(M456,O456&lt;&gt;""),O456,"")</f>
        <v/>
      </c>
      <c r="S456" s="22" t="n">
        <f aca="false">S455+IF(R456="",0,R456)</f>
        <v>0</v>
      </c>
      <c r="T456" s="22" t="n">
        <f aca="false">MAX(T455,S456)</f>
        <v>0</v>
      </c>
      <c r="U456" s="22" t="n">
        <f aca="false">T456-S456</f>
        <v>0</v>
      </c>
      <c r="V456" s="16"/>
    </row>
    <row r="457" customFormat="false" ht="15" hidden="false" customHeight="true" outlineLevel="0" collapsed="false">
      <c r="A457" s="4" t="str">
        <f aca="false">IF(B457="","",ROW()-1)</f>
        <v/>
      </c>
      <c r="B457" s="15"/>
      <c r="C457" s="16"/>
      <c r="D457" s="17"/>
      <c r="E457" s="17"/>
      <c r="F457" s="17"/>
      <c r="G457" s="18"/>
      <c r="H457" s="17"/>
      <c r="I457" s="16"/>
      <c r="J457" s="16"/>
      <c r="K457" s="17"/>
      <c r="L457" s="19"/>
      <c r="M457" s="20" t="b">
        <f aca="false">AND(B457&lt;&gt;"",B457&gt;='Read Me'!$B$5,H457&lt;&gt;"")</f>
        <v>0</v>
      </c>
      <c r="N457" s="21" t="str">
        <f aca="false">IF(OR(D457="",E457=""),"",ABS(D457-E457))</f>
        <v/>
      </c>
      <c r="O457" s="22" t="str">
        <f aca="false">IF(OR(H457="",N457="",N457=0),"",IF(C457="BUY",1,-1)*(H457-D457)/N457)</f>
        <v/>
      </c>
      <c r="P457" s="23" t="str">
        <f aca="false">IF(OR(H457="",D457="",K457=""),"",IF(C457="BUY",1,-1)*(H457-D457)*K457*'Read Me'!$B$10-L457)</f>
        <v/>
      </c>
      <c r="Q457" s="4" t="str">
        <f aca="false">IF(O457="","",IF(O457&gt;0,"WIN","LOSS"))</f>
        <v/>
      </c>
      <c r="R457" s="22" t="str">
        <f aca="false">IF(AND(M457,O457&lt;&gt;""),O457,"")</f>
        <v/>
      </c>
      <c r="S457" s="22" t="n">
        <f aca="false">S456+IF(R457="",0,R457)</f>
        <v>0</v>
      </c>
      <c r="T457" s="22" t="n">
        <f aca="false">MAX(T456,S457)</f>
        <v>0</v>
      </c>
      <c r="U457" s="22" t="n">
        <f aca="false">T457-S457</f>
        <v>0</v>
      </c>
      <c r="V457" s="16"/>
    </row>
    <row r="458" customFormat="false" ht="15" hidden="false" customHeight="true" outlineLevel="0" collapsed="false">
      <c r="A458" s="4" t="str">
        <f aca="false">IF(B458="","",ROW()-1)</f>
        <v/>
      </c>
      <c r="B458" s="15"/>
      <c r="C458" s="16"/>
      <c r="D458" s="17"/>
      <c r="E458" s="17"/>
      <c r="F458" s="17"/>
      <c r="G458" s="18"/>
      <c r="H458" s="17"/>
      <c r="I458" s="16"/>
      <c r="J458" s="16"/>
      <c r="K458" s="17"/>
      <c r="L458" s="19"/>
      <c r="M458" s="20" t="b">
        <f aca="false">AND(B458&lt;&gt;"",B458&gt;='Read Me'!$B$5,H458&lt;&gt;"")</f>
        <v>0</v>
      </c>
      <c r="N458" s="21" t="str">
        <f aca="false">IF(OR(D458="",E458=""),"",ABS(D458-E458))</f>
        <v/>
      </c>
      <c r="O458" s="22" t="str">
        <f aca="false">IF(OR(H458="",N458="",N458=0),"",IF(C458="BUY",1,-1)*(H458-D458)/N458)</f>
        <v/>
      </c>
      <c r="P458" s="23" t="str">
        <f aca="false">IF(OR(H458="",D458="",K458=""),"",IF(C458="BUY",1,-1)*(H458-D458)*K458*'Read Me'!$B$10-L458)</f>
        <v/>
      </c>
      <c r="Q458" s="4" t="str">
        <f aca="false">IF(O458="","",IF(O458&gt;0,"WIN","LOSS"))</f>
        <v/>
      </c>
      <c r="R458" s="22" t="str">
        <f aca="false">IF(AND(M458,O458&lt;&gt;""),O458,"")</f>
        <v/>
      </c>
      <c r="S458" s="22" t="n">
        <f aca="false">S457+IF(R458="",0,R458)</f>
        <v>0</v>
      </c>
      <c r="T458" s="22" t="n">
        <f aca="false">MAX(T457,S458)</f>
        <v>0</v>
      </c>
      <c r="U458" s="22" t="n">
        <f aca="false">T458-S458</f>
        <v>0</v>
      </c>
      <c r="V458" s="16"/>
    </row>
    <row r="459" customFormat="false" ht="15" hidden="false" customHeight="true" outlineLevel="0" collapsed="false">
      <c r="A459" s="4" t="str">
        <f aca="false">IF(B459="","",ROW()-1)</f>
        <v/>
      </c>
      <c r="B459" s="15"/>
      <c r="C459" s="16"/>
      <c r="D459" s="17"/>
      <c r="E459" s="17"/>
      <c r="F459" s="17"/>
      <c r="G459" s="18"/>
      <c r="H459" s="17"/>
      <c r="I459" s="16"/>
      <c r="J459" s="16"/>
      <c r="K459" s="17"/>
      <c r="L459" s="19"/>
      <c r="M459" s="20" t="b">
        <f aca="false">AND(B459&lt;&gt;"",B459&gt;='Read Me'!$B$5,H459&lt;&gt;"")</f>
        <v>0</v>
      </c>
      <c r="N459" s="21" t="str">
        <f aca="false">IF(OR(D459="",E459=""),"",ABS(D459-E459))</f>
        <v/>
      </c>
      <c r="O459" s="22" t="str">
        <f aca="false">IF(OR(H459="",N459="",N459=0),"",IF(C459="BUY",1,-1)*(H459-D459)/N459)</f>
        <v/>
      </c>
      <c r="P459" s="23" t="str">
        <f aca="false">IF(OR(H459="",D459="",K459=""),"",IF(C459="BUY",1,-1)*(H459-D459)*K459*'Read Me'!$B$10-L459)</f>
        <v/>
      </c>
      <c r="Q459" s="4" t="str">
        <f aca="false">IF(O459="","",IF(O459&gt;0,"WIN","LOSS"))</f>
        <v/>
      </c>
      <c r="R459" s="22" t="str">
        <f aca="false">IF(AND(M459,O459&lt;&gt;""),O459,"")</f>
        <v/>
      </c>
      <c r="S459" s="22" t="n">
        <f aca="false">S458+IF(R459="",0,R459)</f>
        <v>0</v>
      </c>
      <c r="T459" s="22" t="n">
        <f aca="false">MAX(T458,S459)</f>
        <v>0</v>
      </c>
      <c r="U459" s="22" t="n">
        <f aca="false">T459-S459</f>
        <v>0</v>
      </c>
      <c r="V459" s="16"/>
    </row>
    <row r="460" customFormat="false" ht="15" hidden="false" customHeight="true" outlineLevel="0" collapsed="false">
      <c r="A460" s="4" t="str">
        <f aca="false">IF(B460="","",ROW()-1)</f>
        <v/>
      </c>
      <c r="B460" s="15"/>
      <c r="C460" s="16"/>
      <c r="D460" s="17"/>
      <c r="E460" s="17"/>
      <c r="F460" s="17"/>
      <c r="G460" s="18"/>
      <c r="H460" s="17"/>
      <c r="I460" s="16"/>
      <c r="J460" s="16"/>
      <c r="K460" s="17"/>
      <c r="L460" s="19"/>
      <c r="M460" s="20" t="b">
        <f aca="false">AND(B460&lt;&gt;"",B460&gt;='Read Me'!$B$5,H460&lt;&gt;"")</f>
        <v>0</v>
      </c>
      <c r="N460" s="21" t="str">
        <f aca="false">IF(OR(D460="",E460=""),"",ABS(D460-E460))</f>
        <v/>
      </c>
      <c r="O460" s="22" t="str">
        <f aca="false">IF(OR(H460="",N460="",N460=0),"",IF(C460="BUY",1,-1)*(H460-D460)/N460)</f>
        <v/>
      </c>
      <c r="P460" s="23" t="str">
        <f aca="false">IF(OR(H460="",D460="",K460=""),"",IF(C460="BUY",1,-1)*(H460-D460)*K460*'Read Me'!$B$10-L460)</f>
        <v/>
      </c>
      <c r="Q460" s="4" t="str">
        <f aca="false">IF(O460="","",IF(O460&gt;0,"WIN","LOSS"))</f>
        <v/>
      </c>
      <c r="R460" s="22" t="str">
        <f aca="false">IF(AND(M460,O460&lt;&gt;""),O460,"")</f>
        <v/>
      </c>
      <c r="S460" s="22" t="n">
        <f aca="false">S459+IF(R460="",0,R460)</f>
        <v>0</v>
      </c>
      <c r="T460" s="22" t="n">
        <f aca="false">MAX(T459,S460)</f>
        <v>0</v>
      </c>
      <c r="U460" s="22" t="n">
        <f aca="false">T460-S460</f>
        <v>0</v>
      </c>
      <c r="V460" s="16"/>
    </row>
    <row r="461" customFormat="false" ht="15" hidden="false" customHeight="true" outlineLevel="0" collapsed="false">
      <c r="A461" s="4" t="str">
        <f aca="false">IF(B461="","",ROW()-1)</f>
        <v/>
      </c>
      <c r="B461" s="15"/>
      <c r="C461" s="16"/>
      <c r="D461" s="17"/>
      <c r="E461" s="17"/>
      <c r="F461" s="17"/>
      <c r="G461" s="18"/>
      <c r="H461" s="17"/>
      <c r="I461" s="16"/>
      <c r="J461" s="16"/>
      <c r="K461" s="17"/>
      <c r="L461" s="19"/>
      <c r="M461" s="20" t="b">
        <f aca="false">AND(B461&lt;&gt;"",B461&gt;='Read Me'!$B$5,H461&lt;&gt;"")</f>
        <v>0</v>
      </c>
      <c r="N461" s="21" t="str">
        <f aca="false">IF(OR(D461="",E461=""),"",ABS(D461-E461))</f>
        <v/>
      </c>
      <c r="O461" s="22" t="str">
        <f aca="false">IF(OR(H461="",N461="",N461=0),"",IF(C461="BUY",1,-1)*(H461-D461)/N461)</f>
        <v/>
      </c>
      <c r="P461" s="23" t="str">
        <f aca="false">IF(OR(H461="",D461="",K461=""),"",IF(C461="BUY",1,-1)*(H461-D461)*K461*'Read Me'!$B$10-L461)</f>
        <v/>
      </c>
      <c r="Q461" s="4" t="str">
        <f aca="false">IF(O461="","",IF(O461&gt;0,"WIN","LOSS"))</f>
        <v/>
      </c>
      <c r="R461" s="22" t="str">
        <f aca="false">IF(AND(M461,O461&lt;&gt;""),O461,"")</f>
        <v/>
      </c>
      <c r="S461" s="22" t="n">
        <f aca="false">S460+IF(R461="",0,R461)</f>
        <v>0</v>
      </c>
      <c r="T461" s="22" t="n">
        <f aca="false">MAX(T460,S461)</f>
        <v>0</v>
      </c>
      <c r="U461" s="22" t="n">
        <f aca="false">T461-S461</f>
        <v>0</v>
      </c>
      <c r="V461" s="16"/>
    </row>
    <row r="462" customFormat="false" ht="15" hidden="false" customHeight="true" outlineLevel="0" collapsed="false">
      <c r="A462" s="4" t="str">
        <f aca="false">IF(B462="","",ROW()-1)</f>
        <v/>
      </c>
      <c r="B462" s="15"/>
      <c r="C462" s="16"/>
      <c r="D462" s="17"/>
      <c r="E462" s="17"/>
      <c r="F462" s="17"/>
      <c r="G462" s="18"/>
      <c r="H462" s="17"/>
      <c r="I462" s="16"/>
      <c r="J462" s="16"/>
      <c r="K462" s="17"/>
      <c r="L462" s="19"/>
      <c r="M462" s="20" t="b">
        <f aca="false">AND(B462&lt;&gt;"",B462&gt;='Read Me'!$B$5,H462&lt;&gt;"")</f>
        <v>0</v>
      </c>
      <c r="N462" s="21" t="str">
        <f aca="false">IF(OR(D462="",E462=""),"",ABS(D462-E462))</f>
        <v/>
      </c>
      <c r="O462" s="22" t="str">
        <f aca="false">IF(OR(H462="",N462="",N462=0),"",IF(C462="BUY",1,-1)*(H462-D462)/N462)</f>
        <v/>
      </c>
      <c r="P462" s="23" t="str">
        <f aca="false">IF(OR(H462="",D462="",K462=""),"",IF(C462="BUY",1,-1)*(H462-D462)*K462*'Read Me'!$B$10-L462)</f>
        <v/>
      </c>
      <c r="Q462" s="4" t="str">
        <f aca="false">IF(O462="","",IF(O462&gt;0,"WIN","LOSS"))</f>
        <v/>
      </c>
      <c r="R462" s="22" t="str">
        <f aca="false">IF(AND(M462,O462&lt;&gt;""),O462,"")</f>
        <v/>
      </c>
      <c r="S462" s="22" t="n">
        <f aca="false">S461+IF(R462="",0,R462)</f>
        <v>0</v>
      </c>
      <c r="T462" s="22" t="n">
        <f aca="false">MAX(T461,S462)</f>
        <v>0</v>
      </c>
      <c r="U462" s="22" t="n">
        <f aca="false">T462-S462</f>
        <v>0</v>
      </c>
      <c r="V462" s="16"/>
    </row>
    <row r="463" customFormat="false" ht="15" hidden="false" customHeight="true" outlineLevel="0" collapsed="false">
      <c r="A463" s="4" t="str">
        <f aca="false">IF(B463="","",ROW()-1)</f>
        <v/>
      </c>
      <c r="B463" s="15"/>
      <c r="C463" s="16"/>
      <c r="D463" s="17"/>
      <c r="E463" s="17"/>
      <c r="F463" s="17"/>
      <c r="G463" s="18"/>
      <c r="H463" s="17"/>
      <c r="I463" s="16"/>
      <c r="J463" s="16"/>
      <c r="K463" s="17"/>
      <c r="L463" s="19"/>
      <c r="M463" s="20" t="b">
        <f aca="false">AND(B463&lt;&gt;"",B463&gt;='Read Me'!$B$5,H463&lt;&gt;"")</f>
        <v>0</v>
      </c>
      <c r="N463" s="21" t="str">
        <f aca="false">IF(OR(D463="",E463=""),"",ABS(D463-E463))</f>
        <v/>
      </c>
      <c r="O463" s="22" t="str">
        <f aca="false">IF(OR(H463="",N463="",N463=0),"",IF(C463="BUY",1,-1)*(H463-D463)/N463)</f>
        <v/>
      </c>
      <c r="P463" s="23" t="str">
        <f aca="false">IF(OR(H463="",D463="",K463=""),"",IF(C463="BUY",1,-1)*(H463-D463)*K463*'Read Me'!$B$10-L463)</f>
        <v/>
      </c>
      <c r="Q463" s="4" t="str">
        <f aca="false">IF(O463="","",IF(O463&gt;0,"WIN","LOSS"))</f>
        <v/>
      </c>
      <c r="R463" s="22" t="str">
        <f aca="false">IF(AND(M463,O463&lt;&gt;""),O463,"")</f>
        <v/>
      </c>
      <c r="S463" s="22" t="n">
        <f aca="false">S462+IF(R463="",0,R463)</f>
        <v>0</v>
      </c>
      <c r="T463" s="22" t="n">
        <f aca="false">MAX(T462,S463)</f>
        <v>0</v>
      </c>
      <c r="U463" s="22" t="n">
        <f aca="false">T463-S463</f>
        <v>0</v>
      </c>
      <c r="V463" s="16"/>
    </row>
    <row r="464" customFormat="false" ht="15" hidden="false" customHeight="true" outlineLevel="0" collapsed="false">
      <c r="A464" s="4" t="str">
        <f aca="false">IF(B464="","",ROW()-1)</f>
        <v/>
      </c>
      <c r="B464" s="15"/>
      <c r="C464" s="16"/>
      <c r="D464" s="17"/>
      <c r="E464" s="17"/>
      <c r="F464" s="17"/>
      <c r="G464" s="18"/>
      <c r="H464" s="17"/>
      <c r="I464" s="16"/>
      <c r="J464" s="16"/>
      <c r="K464" s="17"/>
      <c r="L464" s="19"/>
      <c r="M464" s="20" t="b">
        <f aca="false">AND(B464&lt;&gt;"",B464&gt;='Read Me'!$B$5,H464&lt;&gt;"")</f>
        <v>0</v>
      </c>
      <c r="N464" s="21" t="str">
        <f aca="false">IF(OR(D464="",E464=""),"",ABS(D464-E464))</f>
        <v/>
      </c>
      <c r="O464" s="22" t="str">
        <f aca="false">IF(OR(H464="",N464="",N464=0),"",IF(C464="BUY",1,-1)*(H464-D464)/N464)</f>
        <v/>
      </c>
      <c r="P464" s="23" t="str">
        <f aca="false">IF(OR(H464="",D464="",K464=""),"",IF(C464="BUY",1,-1)*(H464-D464)*K464*'Read Me'!$B$10-L464)</f>
        <v/>
      </c>
      <c r="Q464" s="4" t="str">
        <f aca="false">IF(O464="","",IF(O464&gt;0,"WIN","LOSS"))</f>
        <v/>
      </c>
      <c r="R464" s="22" t="str">
        <f aca="false">IF(AND(M464,O464&lt;&gt;""),O464,"")</f>
        <v/>
      </c>
      <c r="S464" s="22" t="n">
        <f aca="false">S463+IF(R464="",0,R464)</f>
        <v>0</v>
      </c>
      <c r="T464" s="22" t="n">
        <f aca="false">MAX(T463,S464)</f>
        <v>0</v>
      </c>
      <c r="U464" s="22" t="n">
        <f aca="false">T464-S464</f>
        <v>0</v>
      </c>
      <c r="V464" s="16"/>
    </row>
    <row r="465" customFormat="false" ht="15" hidden="false" customHeight="true" outlineLevel="0" collapsed="false">
      <c r="A465" s="4" t="str">
        <f aca="false">IF(B465="","",ROW()-1)</f>
        <v/>
      </c>
      <c r="B465" s="15"/>
      <c r="C465" s="16"/>
      <c r="D465" s="17"/>
      <c r="E465" s="17"/>
      <c r="F465" s="17"/>
      <c r="G465" s="18"/>
      <c r="H465" s="17"/>
      <c r="I465" s="16"/>
      <c r="J465" s="16"/>
      <c r="K465" s="17"/>
      <c r="L465" s="19"/>
      <c r="M465" s="20" t="b">
        <f aca="false">AND(B465&lt;&gt;"",B465&gt;='Read Me'!$B$5,H465&lt;&gt;"")</f>
        <v>0</v>
      </c>
      <c r="N465" s="21" t="str">
        <f aca="false">IF(OR(D465="",E465=""),"",ABS(D465-E465))</f>
        <v/>
      </c>
      <c r="O465" s="22" t="str">
        <f aca="false">IF(OR(H465="",N465="",N465=0),"",IF(C465="BUY",1,-1)*(H465-D465)/N465)</f>
        <v/>
      </c>
      <c r="P465" s="23" t="str">
        <f aca="false">IF(OR(H465="",D465="",K465=""),"",IF(C465="BUY",1,-1)*(H465-D465)*K465*'Read Me'!$B$10-L465)</f>
        <v/>
      </c>
      <c r="Q465" s="4" t="str">
        <f aca="false">IF(O465="","",IF(O465&gt;0,"WIN","LOSS"))</f>
        <v/>
      </c>
      <c r="R465" s="22" t="str">
        <f aca="false">IF(AND(M465,O465&lt;&gt;""),O465,"")</f>
        <v/>
      </c>
      <c r="S465" s="22" t="n">
        <f aca="false">S464+IF(R465="",0,R465)</f>
        <v>0</v>
      </c>
      <c r="T465" s="22" t="n">
        <f aca="false">MAX(T464,S465)</f>
        <v>0</v>
      </c>
      <c r="U465" s="22" t="n">
        <f aca="false">T465-S465</f>
        <v>0</v>
      </c>
      <c r="V465" s="16"/>
    </row>
    <row r="466" customFormat="false" ht="15" hidden="false" customHeight="true" outlineLevel="0" collapsed="false">
      <c r="A466" s="4" t="str">
        <f aca="false">IF(B466="","",ROW()-1)</f>
        <v/>
      </c>
      <c r="B466" s="15"/>
      <c r="C466" s="16"/>
      <c r="D466" s="17"/>
      <c r="E466" s="17"/>
      <c r="F466" s="17"/>
      <c r="G466" s="18"/>
      <c r="H466" s="17"/>
      <c r="I466" s="16"/>
      <c r="J466" s="16"/>
      <c r="K466" s="17"/>
      <c r="L466" s="19"/>
      <c r="M466" s="20" t="b">
        <f aca="false">AND(B466&lt;&gt;"",B466&gt;='Read Me'!$B$5,H466&lt;&gt;"")</f>
        <v>0</v>
      </c>
      <c r="N466" s="21" t="str">
        <f aca="false">IF(OR(D466="",E466=""),"",ABS(D466-E466))</f>
        <v/>
      </c>
      <c r="O466" s="22" t="str">
        <f aca="false">IF(OR(H466="",N466="",N466=0),"",IF(C466="BUY",1,-1)*(H466-D466)/N466)</f>
        <v/>
      </c>
      <c r="P466" s="23" t="str">
        <f aca="false">IF(OR(H466="",D466="",K466=""),"",IF(C466="BUY",1,-1)*(H466-D466)*K466*'Read Me'!$B$10-L466)</f>
        <v/>
      </c>
      <c r="Q466" s="4" t="str">
        <f aca="false">IF(O466="","",IF(O466&gt;0,"WIN","LOSS"))</f>
        <v/>
      </c>
      <c r="R466" s="22" t="str">
        <f aca="false">IF(AND(M466,O466&lt;&gt;""),O466,"")</f>
        <v/>
      </c>
      <c r="S466" s="22" t="n">
        <f aca="false">S465+IF(R466="",0,R466)</f>
        <v>0</v>
      </c>
      <c r="T466" s="22" t="n">
        <f aca="false">MAX(T465,S466)</f>
        <v>0</v>
      </c>
      <c r="U466" s="22" t="n">
        <f aca="false">T466-S466</f>
        <v>0</v>
      </c>
      <c r="V466" s="16"/>
    </row>
    <row r="467" customFormat="false" ht="15" hidden="false" customHeight="true" outlineLevel="0" collapsed="false">
      <c r="A467" s="4" t="str">
        <f aca="false">IF(B467="","",ROW()-1)</f>
        <v/>
      </c>
      <c r="B467" s="15"/>
      <c r="C467" s="16"/>
      <c r="D467" s="17"/>
      <c r="E467" s="17"/>
      <c r="F467" s="17"/>
      <c r="G467" s="18"/>
      <c r="H467" s="17"/>
      <c r="I467" s="16"/>
      <c r="J467" s="16"/>
      <c r="K467" s="17"/>
      <c r="L467" s="19"/>
      <c r="M467" s="20" t="b">
        <f aca="false">AND(B467&lt;&gt;"",B467&gt;='Read Me'!$B$5,H467&lt;&gt;"")</f>
        <v>0</v>
      </c>
      <c r="N467" s="21" t="str">
        <f aca="false">IF(OR(D467="",E467=""),"",ABS(D467-E467))</f>
        <v/>
      </c>
      <c r="O467" s="22" t="str">
        <f aca="false">IF(OR(H467="",N467="",N467=0),"",IF(C467="BUY",1,-1)*(H467-D467)/N467)</f>
        <v/>
      </c>
      <c r="P467" s="23" t="str">
        <f aca="false">IF(OR(H467="",D467="",K467=""),"",IF(C467="BUY",1,-1)*(H467-D467)*K467*'Read Me'!$B$10-L467)</f>
        <v/>
      </c>
      <c r="Q467" s="4" t="str">
        <f aca="false">IF(O467="","",IF(O467&gt;0,"WIN","LOSS"))</f>
        <v/>
      </c>
      <c r="R467" s="22" t="str">
        <f aca="false">IF(AND(M467,O467&lt;&gt;""),O467,"")</f>
        <v/>
      </c>
      <c r="S467" s="22" t="n">
        <f aca="false">S466+IF(R467="",0,R467)</f>
        <v>0</v>
      </c>
      <c r="T467" s="22" t="n">
        <f aca="false">MAX(T466,S467)</f>
        <v>0</v>
      </c>
      <c r="U467" s="22" t="n">
        <f aca="false">T467-S467</f>
        <v>0</v>
      </c>
      <c r="V467" s="16"/>
    </row>
    <row r="468" customFormat="false" ht="15" hidden="false" customHeight="true" outlineLevel="0" collapsed="false">
      <c r="A468" s="4" t="str">
        <f aca="false">IF(B468="","",ROW()-1)</f>
        <v/>
      </c>
      <c r="B468" s="15"/>
      <c r="C468" s="16"/>
      <c r="D468" s="17"/>
      <c r="E468" s="17"/>
      <c r="F468" s="17"/>
      <c r="G468" s="18"/>
      <c r="H468" s="17"/>
      <c r="I468" s="16"/>
      <c r="J468" s="16"/>
      <c r="K468" s="17"/>
      <c r="L468" s="19"/>
      <c r="M468" s="20" t="b">
        <f aca="false">AND(B468&lt;&gt;"",B468&gt;='Read Me'!$B$5,H468&lt;&gt;"")</f>
        <v>0</v>
      </c>
      <c r="N468" s="21" t="str">
        <f aca="false">IF(OR(D468="",E468=""),"",ABS(D468-E468))</f>
        <v/>
      </c>
      <c r="O468" s="22" t="str">
        <f aca="false">IF(OR(H468="",N468="",N468=0),"",IF(C468="BUY",1,-1)*(H468-D468)/N468)</f>
        <v/>
      </c>
      <c r="P468" s="23" t="str">
        <f aca="false">IF(OR(H468="",D468="",K468=""),"",IF(C468="BUY",1,-1)*(H468-D468)*K468*'Read Me'!$B$10-L468)</f>
        <v/>
      </c>
      <c r="Q468" s="4" t="str">
        <f aca="false">IF(O468="","",IF(O468&gt;0,"WIN","LOSS"))</f>
        <v/>
      </c>
      <c r="R468" s="22" t="str">
        <f aca="false">IF(AND(M468,O468&lt;&gt;""),O468,"")</f>
        <v/>
      </c>
      <c r="S468" s="22" t="n">
        <f aca="false">S467+IF(R468="",0,R468)</f>
        <v>0</v>
      </c>
      <c r="T468" s="22" t="n">
        <f aca="false">MAX(T467,S468)</f>
        <v>0</v>
      </c>
      <c r="U468" s="22" t="n">
        <f aca="false">T468-S468</f>
        <v>0</v>
      </c>
      <c r="V468" s="16"/>
    </row>
    <row r="469" customFormat="false" ht="15" hidden="false" customHeight="true" outlineLevel="0" collapsed="false">
      <c r="A469" s="4" t="str">
        <f aca="false">IF(B469="","",ROW()-1)</f>
        <v/>
      </c>
      <c r="B469" s="15"/>
      <c r="C469" s="16"/>
      <c r="D469" s="17"/>
      <c r="E469" s="17"/>
      <c r="F469" s="17"/>
      <c r="G469" s="18"/>
      <c r="H469" s="17"/>
      <c r="I469" s="16"/>
      <c r="J469" s="16"/>
      <c r="K469" s="17"/>
      <c r="L469" s="19"/>
      <c r="M469" s="20" t="b">
        <f aca="false">AND(B469&lt;&gt;"",B469&gt;='Read Me'!$B$5,H469&lt;&gt;"")</f>
        <v>0</v>
      </c>
      <c r="N469" s="21" t="str">
        <f aca="false">IF(OR(D469="",E469=""),"",ABS(D469-E469))</f>
        <v/>
      </c>
      <c r="O469" s="22" t="str">
        <f aca="false">IF(OR(H469="",N469="",N469=0),"",IF(C469="BUY",1,-1)*(H469-D469)/N469)</f>
        <v/>
      </c>
      <c r="P469" s="23" t="str">
        <f aca="false">IF(OR(H469="",D469="",K469=""),"",IF(C469="BUY",1,-1)*(H469-D469)*K469*'Read Me'!$B$10-L469)</f>
        <v/>
      </c>
      <c r="Q469" s="4" t="str">
        <f aca="false">IF(O469="","",IF(O469&gt;0,"WIN","LOSS"))</f>
        <v/>
      </c>
      <c r="R469" s="22" t="str">
        <f aca="false">IF(AND(M469,O469&lt;&gt;""),O469,"")</f>
        <v/>
      </c>
      <c r="S469" s="22" t="n">
        <f aca="false">S468+IF(R469="",0,R469)</f>
        <v>0</v>
      </c>
      <c r="T469" s="22" t="n">
        <f aca="false">MAX(T468,S469)</f>
        <v>0</v>
      </c>
      <c r="U469" s="22" t="n">
        <f aca="false">T469-S469</f>
        <v>0</v>
      </c>
      <c r="V469" s="16"/>
    </row>
    <row r="470" customFormat="false" ht="15" hidden="false" customHeight="true" outlineLevel="0" collapsed="false">
      <c r="A470" s="4" t="str">
        <f aca="false">IF(B470="","",ROW()-1)</f>
        <v/>
      </c>
      <c r="B470" s="15"/>
      <c r="C470" s="16"/>
      <c r="D470" s="17"/>
      <c r="E470" s="17"/>
      <c r="F470" s="17"/>
      <c r="G470" s="18"/>
      <c r="H470" s="17"/>
      <c r="I470" s="16"/>
      <c r="J470" s="16"/>
      <c r="K470" s="17"/>
      <c r="L470" s="19"/>
      <c r="M470" s="20" t="b">
        <f aca="false">AND(B470&lt;&gt;"",B470&gt;='Read Me'!$B$5,H470&lt;&gt;"")</f>
        <v>0</v>
      </c>
      <c r="N470" s="21" t="str">
        <f aca="false">IF(OR(D470="",E470=""),"",ABS(D470-E470))</f>
        <v/>
      </c>
      <c r="O470" s="22" t="str">
        <f aca="false">IF(OR(H470="",N470="",N470=0),"",IF(C470="BUY",1,-1)*(H470-D470)/N470)</f>
        <v/>
      </c>
      <c r="P470" s="23" t="str">
        <f aca="false">IF(OR(H470="",D470="",K470=""),"",IF(C470="BUY",1,-1)*(H470-D470)*K470*'Read Me'!$B$10-L470)</f>
        <v/>
      </c>
      <c r="Q470" s="4" t="str">
        <f aca="false">IF(O470="","",IF(O470&gt;0,"WIN","LOSS"))</f>
        <v/>
      </c>
      <c r="R470" s="22" t="str">
        <f aca="false">IF(AND(M470,O470&lt;&gt;""),O470,"")</f>
        <v/>
      </c>
      <c r="S470" s="22" t="n">
        <f aca="false">S469+IF(R470="",0,R470)</f>
        <v>0</v>
      </c>
      <c r="T470" s="22" t="n">
        <f aca="false">MAX(T469,S470)</f>
        <v>0</v>
      </c>
      <c r="U470" s="22" t="n">
        <f aca="false">T470-S470</f>
        <v>0</v>
      </c>
      <c r="V470" s="16"/>
    </row>
    <row r="471" customFormat="false" ht="15" hidden="false" customHeight="true" outlineLevel="0" collapsed="false">
      <c r="A471" s="4" t="str">
        <f aca="false">IF(B471="","",ROW()-1)</f>
        <v/>
      </c>
      <c r="B471" s="15"/>
      <c r="C471" s="16"/>
      <c r="D471" s="17"/>
      <c r="E471" s="17"/>
      <c r="F471" s="17"/>
      <c r="G471" s="18"/>
      <c r="H471" s="17"/>
      <c r="I471" s="16"/>
      <c r="J471" s="16"/>
      <c r="K471" s="17"/>
      <c r="L471" s="19"/>
      <c r="M471" s="20" t="b">
        <f aca="false">AND(B471&lt;&gt;"",B471&gt;='Read Me'!$B$5,H471&lt;&gt;"")</f>
        <v>0</v>
      </c>
      <c r="N471" s="21" t="str">
        <f aca="false">IF(OR(D471="",E471=""),"",ABS(D471-E471))</f>
        <v/>
      </c>
      <c r="O471" s="22" t="str">
        <f aca="false">IF(OR(H471="",N471="",N471=0),"",IF(C471="BUY",1,-1)*(H471-D471)/N471)</f>
        <v/>
      </c>
      <c r="P471" s="23" t="str">
        <f aca="false">IF(OR(H471="",D471="",K471=""),"",IF(C471="BUY",1,-1)*(H471-D471)*K471*'Read Me'!$B$10-L471)</f>
        <v/>
      </c>
      <c r="Q471" s="4" t="str">
        <f aca="false">IF(O471="","",IF(O471&gt;0,"WIN","LOSS"))</f>
        <v/>
      </c>
      <c r="R471" s="22" t="str">
        <f aca="false">IF(AND(M471,O471&lt;&gt;""),O471,"")</f>
        <v/>
      </c>
      <c r="S471" s="22" t="n">
        <f aca="false">S470+IF(R471="",0,R471)</f>
        <v>0</v>
      </c>
      <c r="T471" s="22" t="n">
        <f aca="false">MAX(T470,S471)</f>
        <v>0</v>
      </c>
      <c r="U471" s="22" t="n">
        <f aca="false">T471-S471</f>
        <v>0</v>
      </c>
      <c r="V471" s="16"/>
    </row>
    <row r="472" customFormat="false" ht="15" hidden="false" customHeight="true" outlineLevel="0" collapsed="false">
      <c r="A472" s="4" t="str">
        <f aca="false">IF(B472="","",ROW()-1)</f>
        <v/>
      </c>
      <c r="B472" s="15"/>
      <c r="C472" s="16"/>
      <c r="D472" s="17"/>
      <c r="E472" s="17"/>
      <c r="F472" s="17"/>
      <c r="G472" s="18"/>
      <c r="H472" s="17"/>
      <c r="I472" s="16"/>
      <c r="J472" s="16"/>
      <c r="K472" s="17"/>
      <c r="L472" s="19"/>
      <c r="M472" s="20" t="b">
        <f aca="false">AND(B472&lt;&gt;"",B472&gt;='Read Me'!$B$5,H472&lt;&gt;"")</f>
        <v>0</v>
      </c>
      <c r="N472" s="21" t="str">
        <f aca="false">IF(OR(D472="",E472=""),"",ABS(D472-E472))</f>
        <v/>
      </c>
      <c r="O472" s="22" t="str">
        <f aca="false">IF(OR(H472="",N472="",N472=0),"",IF(C472="BUY",1,-1)*(H472-D472)/N472)</f>
        <v/>
      </c>
      <c r="P472" s="23" t="str">
        <f aca="false">IF(OR(H472="",D472="",K472=""),"",IF(C472="BUY",1,-1)*(H472-D472)*K472*'Read Me'!$B$10-L472)</f>
        <v/>
      </c>
      <c r="Q472" s="4" t="str">
        <f aca="false">IF(O472="","",IF(O472&gt;0,"WIN","LOSS"))</f>
        <v/>
      </c>
      <c r="R472" s="22" t="str">
        <f aca="false">IF(AND(M472,O472&lt;&gt;""),O472,"")</f>
        <v/>
      </c>
      <c r="S472" s="22" t="n">
        <f aca="false">S471+IF(R472="",0,R472)</f>
        <v>0</v>
      </c>
      <c r="T472" s="22" t="n">
        <f aca="false">MAX(T471,S472)</f>
        <v>0</v>
      </c>
      <c r="U472" s="22" t="n">
        <f aca="false">T472-S472</f>
        <v>0</v>
      </c>
      <c r="V472" s="16"/>
    </row>
    <row r="473" customFormat="false" ht="15" hidden="false" customHeight="true" outlineLevel="0" collapsed="false">
      <c r="A473" s="4" t="str">
        <f aca="false">IF(B473="","",ROW()-1)</f>
        <v/>
      </c>
      <c r="B473" s="15"/>
      <c r="C473" s="16"/>
      <c r="D473" s="17"/>
      <c r="E473" s="17"/>
      <c r="F473" s="17"/>
      <c r="G473" s="18"/>
      <c r="H473" s="17"/>
      <c r="I473" s="16"/>
      <c r="J473" s="16"/>
      <c r="K473" s="17"/>
      <c r="L473" s="19"/>
      <c r="M473" s="20" t="b">
        <f aca="false">AND(B473&lt;&gt;"",B473&gt;='Read Me'!$B$5,H473&lt;&gt;"")</f>
        <v>0</v>
      </c>
      <c r="N473" s="21" t="str">
        <f aca="false">IF(OR(D473="",E473=""),"",ABS(D473-E473))</f>
        <v/>
      </c>
      <c r="O473" s="22" t="str">
        <f aca="false">IF(OR(H473="",N473="",N473=0),"",IF(C473="BUY",1,-1)*(H473-D473)/N473)</f>
        <v/>
      </c>
      <c r="P473" s="23" t="str">
        <f aca="false">IF(OR(H473="",D473="",K473=""),"",IF(C473="BUY",1,-1)*(H473-D473)*K473*'Read Me'!$B$10-L473)</f>
        <v/>
      </c>
      <c r="Q473" s="4" t="str">
        <f aca="false">IF(O473="","",IF(O473&gt;0,"WIN","LOSS"))</f>
        <v/>
      </c>
      <c r="R473" s="22" t="str">
        <f aca="false">IF(AND(M473,O473&lt;&gt;""),O473,"")</f>
        <v/>
      </c>
      <c r="S473" s="22" t="n">
        <f aca="false">S472+IF(R473="",0,R473)</f>
        <v>0</v>
      </c>
      <c r="T473" s="22" t="n">
        <f aca="false">MAX(T472,S473)</f>
        <v>0</v>
      </c>
      <c r="U473" s="22" t="n">
        <f aca="false">T473-S473</f>
        <v>0</v>
      </c>
      <c r="V473" s="16"/>
    </row>
    <row r="474" customFormat="false" ht="15" hidden="false" customHeight="true" outlineLevel="0" collapsed="false">
      <c r="A474" s="4" t="str">
        <f aca="false">IF(B474="","",ROW()-1)</f>
        <v/>
      </c>
      <c r="B474" s="15"/>
      <c r="C474" s="16"/>
      <c r="D474" s="17"/>
      <c r="E474" s="17"/>
      <c r="F474" s="17"/>
      <c r="G474" s="18"/>
      <c r="H474" s="17"/>
      <c r="I474" s="16"/>
      <c r="J474" s="16"/>
      <c r="K474" s="17"/>
      <c r="L474" s="19"/>
      <c r="M474" s="20" t="b">
        <f aca="false">AND(B474&lt;&gt;"",B474&gt;='Read Me'!$B$5,H474&lt;&gt;"")</f>
        <v>0</v>
      </c>
      <c r="N474" s="21" t="str">
        <f aca="false">IF(OR(D474="",E474=""),"",ABS(D474-E474))</f>
        <v/>
      </c>
      <c r="O474" s="22" t="str">
        <f aca="false">IF(OR(H474="",N474="",N474=0),"",IF(C474="BUY",1,-1)*(H474-D474)/N474)</f>
        <v/>
      </c>
      <c r="P474" s="23" t="str">
        <f aca="false">IF(OR(H474="",D474="",K474=""),"",IF(C474="BUY",1,-1)*(H474-D474)*K474*'Read Me'!$B$10-L474)</f>
        <v/>
      </c>
      <c r="Q474" s="4" t="str">
        <f aca="false">IF(O474="","",IF(O474&gt;0,"WIN","LOSS"))</f>
        <v/>
      </c>
      <c r="R474" s="22" t="str">
        <f aca="false">IF(AND(M474,O474&lt;&gt;""),O474,"")</f>
        <v/>
      </c>
      <c r="S474" s="22" t="n">
        <f aca="false">S473+IF(R474="",0,R474)</f>
        <v>0</v>
      </c>
      <c r="T474" s="22" t="n">
        <f aca="false">MAX(T473,S474)</f>
        <v>0</v>
      </c>
      <c r="U474" s="22" t="n">
        <f aca="false">T474-S474</f>
        <v>0</v>
      </c>
      <c r="V474" s="16"/>
    </row>
    <row r="475" customFormat="false" ht="15" hidden="false" customHeight="true" outlineLevel="0" collapsed="false">
      <c r="A475" s="4" t="str">
        <f aca="false">IF(B475="","",ROW()-1)</f>
        <v/>
      </c>
      <c r="B475" s="15"/>
      <c r="C475" s="16"/>
      <c r="D475" s="17"/>
      <c r="E475" s="17"/>
      <c r="F475" s="17"/>
      <c r="G475" s="18"/>
      <c r="H475" s="17"/>
      <c r="I475" s="16"/>
      <c r="J475" s="16"/>
      <c r="K475" s="17"/>
      <c r="L475" s="19"/>
      <c r="M475" s="20" t="b">
        <f aca="false">AND(B475&lt;&gt;"",B475&gt;='Read Me'!$B$5,H475&lt;&gt;"")</f>
        <v>0</v>
      </c>
      <c r="N475" s="21" t="str">
        <f aca="false">IF(OR(D475="",E475=""),"",ABS(D475-E475))</f>
        <v/>
      </c>
      <c r="O475" s="22" t="str">
        <f aca="false">IF(OR(H475="",N475="",N475=0),"",IF(C475="BUY",1,-1)*(H475-D475)/N475)</f>
        <v/>
      </c>
      <c r="P475" s="23" t="str">
        <f aca="false">IF(OR(H475="",D475="",K475=""),"",IF(C475="BUY",1,-1)*(H475-D475)*K475*'Read Me'!$B$10-L475)</f>
        <v/>
      </c>
      <c r="Q475" s="4" t="str">
        <f aca="false">IF(O475="","",IF(O475&gt;0,"WIN","LOSS"))</f>
        <v/>
      </c>
      <c r="R475" s="22" t="str">
        <f aca="false">IF(AND(M475,O475&lt;&gt;""),O475,"")</f>
        <v/>
      </c>
      <c r="S475" s="22" t="n">
        <f aca="false">S474+IF(R475="",0,R475)</f>
        <v>0</v>
      </c>
      <c r="T475" s="22" t="n">
        <f aca="false">MAX(T474,S475)</f>
        <v>0</v>
      </c>
      <c r="U475" s="22" t="n">
        <f aca="false">T475-S475</f>
        <v>0</v>
      </c>
      <c r="V475" s="16"/>
    </row>
    <row r="476" customFormat="false" ht="15" hidden="false" customHeight="true" outlineLevel="0" collapsed="false">
      <c r="A476" s="4" t="str">
        <f aca="false">IF(B476="","",ROW()-1)</f>
        <v/>
      </c>
      <c r="B476" s="15"/>
      <c r="C476" s="16"/>
      <c r="D476" s="17"/>
      <c r="E476" s="17"/>
      <c r="F476" s="17"/>
      <c r="G476" s="18"/>
      <c r="H476" s="17"/>
      <c r="I476" s="16"/>
      <c r="J476" s="16"/>
      <c r="K476" s="17"/>
      <c r="L476" s="19"/>
      <c r="M476" s="20" t="b">
        <f aca="false">AND(B476&lt;&gt;"",B476&gt;='Read Me'!$B$5,H476&lt;&gt;"")</f>
        <v>0</v>
      </c>
      <c r="N476" s="21" t="str">
        <f aca="false">IF(OR(D476="",E476=""),"",ABS(D476-E476))</f>
        <v/>
      </c>
      <c r="O476" s="22" t="str">
        <f aca="false">IF(OR(H476="",N476="",N476=0),"",IF(C476="BUY",1,-1)*(H476-D476)/N476)</f>
        <v/>
      </c>
      <c r="P476" s="23" t="str">
        <f aca="false">IF(OR(H476="",D476="",K476=""),"",IF(C476="BUY",1,-1)*(H476-D476)*K476*'Read Me'!$B$10-L476)</f>
        <v/>
      </c>
      <c r="Q476" s="4" t="str">
        <f aca="false">IF(O476="","",IF(O476&gt;0,"WIN","LOSS"))</f>
        <v/>
      </c>
      <c r="R476" s="22" t="str">
        <f aca="false">IF(AND(M476,O476&lt;&gt;""),O476,"")</f>
        <v/>
      </c>
      <c r="S476" s="22" t="n">
        <f aca="false">S475+IF(R476="",0,R476)</f>
        <v>0</v>
      </c>
      <c r="T476" s="22" t="n">
        <f aca="false">MAX(T475,S476)</f>
        <v>0</v>
      </c>
      <c r="U476" s="22" t="n">
        <f aca="false">T476-S476</f>
        <v>0</v>
      </c>
      <c r="V476" s="16"/>
    </row>
    <row r="477" customFormat="false" ht="15" hidden="false" customHeight="true" outlineLevel="0" collapsed="false">
      <c r="A477" s="4" t="str">
        <f aca="false">IF(B477="","",ROW()-1)</f>
        <v/>
      </c>
      <c r="B477" s="15"/>
      <c r="C477" s="16"/>
      <c r="D477" s="17"/>
      <c r="E477" s="17"/>
      <c r="F477" s="17"/>
      <c r="G477" s="18"/>
      <c r="H477" s="17"/>
      <c r="I477" s="16"/>
      <c r="J477" s="16"/>
      <c r="K477" s="17"/>
      <c r="L477" s="19"/>
      <c r="M477" s="20" t="b">
        <f aca="false">AND(B477&lt;&gt;"",B477&gt;='Read Me'!$B$5,H477&lt;&gt;"")</f>
        <v>0</v>
      </c>
      <c r="N477" s="21" t="str">
        <f aca="false">IF(OR(D477="",E477=""),"",ABS(D477-E477))</f>
        <v/>
      </c>
      <c r="O477" s="22" t="str">
        <f aca="false">IF(OR(H477="",N477="",N477=0),"",IF(C477="BUY",1,-1)*(H477-D477)/N477)</f>
        <v/>
      </c>
      <c r="P477" s="23" t="str">
        <f aca="false">IF(OR(H477="",D477="",K477=""),"",IF(C477="BUY",1,-1)*(H477-D477)*K477*'Read Me'!$B$10-L477)</f>
        <v/>
      </c>
      <c r="Q477" s="4" t="str">
        <f aca="false">IF(O477="","",IF(O477&gt;0,"WIN","LOSS"))</f>
        <v/>
      </c>
      <c r="R477" s="22" t="str">
        <f aca="false">IF(AND(M477,O477&lt;&gt;""),O477,"")</f>
        <v/>
      </c>
      <c r="S477" s="22" t="n">
        <f aca="false">S476+IF(R477="",0,R477)</f>
        <v>0</v>
      </c>
      <c r="T477" s="22" t="n">
        <f aca="false">MAX(T476,S477)</f>
        <v>0</v>
      </c>
      <c r="U477" s="22" t="n">
        <f aca="false">T477-S477</f>
        <v>0</v>
      </c>
      <c r="V477" s="16"/>
    </row>
    <row r="478" customFormat="false" ht="15" hidden="false" customHeight="true" outlineLevel="0" collapsed="false">
      <c r="A478" s="4" t="str">
        <f aca="false">IF(B478="","",ROW()-1)</f>
        <v/>
      </c>
      <c r="B478" s="15"/>
      <c r="C478" s="16"/>
      <c r="D478" s="17"/>
      <c r="E478" s="17"/>
      <c r="F478" s="17"/>
      <c r="G478" s="18"/>
      <c r="H478" s="17"/>
      <c r="I478" s="16"/>
      <c r="J478" s="16"/>
      <c r="K478" s="17"/>
      <c r="L478" s="19"/>
      <c r="M478" s="20" t="b">
        <f aca="false">AND(B478&lt;&gt;"",B478&gt;='Read Me'!$B$5,H478&lt;&gt;"")</f>
        <v>0</v>
      </c>
      <c r="N478" s="21" t="str">
        <f aca="false">IF(OR(D478="",E478=""),"",ABS(D478-E478))</f>
        <v/>
      </c>
      <c r="O478" s="22" t="str">
        <f aca="false">IF(OR(H478="",N478="",N478=0),"",IF(C478="BUY",1,-1)*(H478-D478)/N478)</f>
        <v/>
      </c>
      <c r="P478" s="23" t="str">
        <f aca="false">IF(OR(H478="",D478="",K478=""),"",IF(C478="BUY",1,-1)*(H478-D478)*K478*'Read Me'!$B$10-L478)</f>
        <v/>
      </c>
      <c r="Q478" s="4" t="str">
        <f aca="false">IF(O478="","",IF(O478&gt;0,"WIN","LOSS"))</f>
        <v/>
      </c>
      <c r="R478" s="22" t="str">
        <f aca="false">IF(AND(M478,O478&lt;&gt;""),O478,"")</f>
        <v/>
      </c>
      <c r="S478" s="22" t="n">
        <f aca="false">S477+IF(R478="",0,R478)</f>
        <v>0</v>
      </c>
      <c r="T478" s="22" t="n">
        <f aca="false">MAX(T477,S478)</f>
        <v>0</v>
      </c>
      <c r="U478" s="22" t="n">
        <f aca="false">T478-S478</f>
        <v>0</v>
      </c>
      <c r="V478" s="16"/>
    </row>
    <row r="479" customFormat="false" ht="15" hidden="false" customHeight="true" outlineLevel="0" collapsed="false">
      <c r="A479" s="4" t="str">
        <f aca="false">IF(B479="","",ROW()-1)</f>
        <v/>
      </c>
      <c r="B479" s="15"/>
      <c r="C479" s="16"/>
      <c r="D479" s="17"/>
      <c r="E479" s="17"/>
      <c r="F479" s="17"/>
      <c r="G479" s="18"/>
      <c r="H479" s="17"/>
      <c r="I479" s="16"/>
      <c r="J479" s="16"/>
      <c r="K479" s="17"/>
      <c r="L479" s="19"/>
      <c r="M479" s="20" t="b">
        <f aca="false">AND(B479&lt;&gt;"",B479&gt;='Read Me'!$B$5,H479&lt;&gt;"")</f>
        <v>0</v>
      </c>
      <c r="N479" s="21" t="str">
        <f aca="false">IF(OR(D479="",E479=""),"",ABS(D479-E479))</f>
        <v/>
      </c>
      <c r="O479" s="22" t="str">
        <f aca="false">IF(OR(H479="",N479="",N479=0),"",IF(C479="BUY",1,-1)*(H479-D479)/N479)</f>
        <v/>
      </c>
      <c r="P479" s="23" t="str">
        <f aca="false">IF(OR(H479="",D479="",K479=""),"",IF(C479="BUY",1,-1)*(H479-D479)*K479*'Read Me'!$B$10-L479)</f>
        <v/>
      </c>
      <c r="Q479" s="4" t="str">
        <f aca="false">IF(O479="","",IF(O479&gt;0,"WIN","LOSS"))</f>
        <v/>
      </c>
      <c r="R479" s="22" t="str">
        <f aca="false">IF(AND(M479,O479&lt;&gt;""),O479,"")</f>
        <v/>
      </c>
      <c r="S479" s="22" t="n">
        <f aca="false">S478+IF(R479="",0,R479)</f>
        <v>0</v>
      </c>
      <c r="T479" s="22" t="n">
        <f aca="false">MAX(T478,S479)</f>
        <v>0</v>
      </c>
      <c r="U479" s="22" t="n">
        <f aca="false">T479-S479</f>
        <v>0</v>
      </c>
      <c r="V479" s="16"/>
    </row>
    <row r="480" customFormat="false" ht="15" hidden="false" customHeight="true" outlineLevel="0" collapsed="false">
      <c r="A480" s="4" t="str">
        <f aca="false">IF(B480="","",ROW()-1)</f>
        <v/>
      </c>
      <c r="B480" s="15"/>
      <c r="C480" s="16"/>
      <c r="D480" s="17"/>
      <c r="E480" s="17"/>
      <c r="F480" s="17"/>
      <c r="G480" s="18"/>
      <c r="H480" s="17"/>
      <c r="I480" s="16"/>
      <c r="J480" s="16"/>
      <c r="K480" s="17"/>
      <c r="L480" s="19"/>
      <c r="M480" s="20" t="b">
        <f aca="false">AND(B480&lt;&gt;"",B480&gt;='Read Me'!$B$5,H480&lt;&gt;"")</f>
        <v>0</v>
      </c>
      <c r="N480" s="21" t="str">
        <f aca="false">IF(OR(D480="",E480=""),"",ABS(D480-E480))</f>
        <v/>
      </c>
      <c r="O480" s="22" t="str">
        <f aca="false">IF(OR(H480="",N480="",N480=0),"",IF(C480="BUY",1,-1)*(H480-D480)/N480)</f>
        <v/>
      </c>
      <c r="P480" s="23" t="str">
        <f aca="false">IF(OR(H480="",D480="",K480=""),"",IF(C480="BUY",1,-1)*(H480-D480)*K480*'Read Me'!$B$10-L480)</f>
        <v/>
      </c>
      <c r="Q480" s="4" t="str">
        <f aca="false">IF(O480="","",IF(O480&gt;0,"WIN","LOSS"))</f>
        <v/>
      </c>
      <c r="R480" s="22" t="str">
        <f aca="false">IF(AND(M480,O480&lt;&gt;""),O480,"")</f>
        <v/>
      </c>
      <c r="S480" s="22" t="n">
        <f aca="false">S479+IF(R480="",0,R480)</f>
        <v>0</v>
      </c>
      <c r="T480" s="22" t="n">
        <f aca="false">MAX(T479,S480)</f>
        <v>0</v>
      </c>
      <c r="U480" s="22" t="n">
        <f aca="false">T480-S480</f>
        <v>0</v>
      </c>
      <c r="V480" s="16"/>
    </row>
    <row r="481" customFormat="false" ht="15" hidden="false" customHeight="true" outlineLevel="0" collapsed="false">
      <c r="A481" s="4" t="str">
        <f aca="false">IF(B481="","",ROW()-1)</f>
        <v/>
      </c>
      <c r="B481" s="15"/>
      <c r="C481" s="16"/>
      <c r="D481" s="17"/>
      <c r="E481" s="17"/>
      <c r="F481" s="17"/>
      <c r="G481" s="18"/>
      <c r="H481" s="17"/>
      <c r="I481" s="16"/>
      <c r="J481" s="16"/>
      <c r="K481" s="17"/>
      <c r="L481" s="19"/>
      <c r="M481" s="20" t="b">
        <f aca="false">AND(B481&lt;&gt;"",B481&gt;='Read Me'!$B$5,H481&lt;&gt;"")</f>
        <v>0</v>
      </c>
      <c r="N481" s="21" t="str">
        <f aca="false">IF(OR(D481="",E481=""),"",ABS(D481-E481))</f>
        <v/>
      </c>
      <c r="O481" s="22" t="str">
        <f aca="false">IF(OR(H481="",N481="",N481=0),"",IF(C481="BUY",1,-1)*(H481-D481)/N481)</f>
        <v/>
      </c>
      <c r="P481" s="23" t="str">
        <f aca="false">IF(OR(H481="",D481="",K481=""),"",IF(C481="BUY",1,-1)*(H481-D481)*K481*'Read Me'!$B$10-L481)</f>
        <v/>
      </c>
      <c r="Q481" s="4" t="str">
        <f aca="false">IF(O481="","",IF(O481&gt;0,"WIN","LOSS"))</f>
        <v/>
      </c>
      <c r="R481" s="22" t="str">
        <f aca="false">IF(AND(M481,O481&lt;&gt;""),O481,"")</f>
        <v/>
      </c>
      <c r="S481" s="22" t="n">
        <f aca="false">S480+IF(R481="",0,R481)</f>
        <v>0</v>
      </c>
      <c r="T481" s="22" t="n">
        <f aca="false">MAX(T480,S481)</f>
        <v>0</v>
      </c>
      <c r="U481" s="22" t="n">
        <f aca="false">T481-S481</f>
        <v>0</v>
      </c>
      <c r="V481" s="16"/>
    </row>
    <row r="482" customFormat="false" ht="15" hidden="false" customHeight="true" outlineLevel="0" collapsed="false">
      <c r="A482" s="4" t="str">
        <f aca="false">IF(B482="","",ROW()-1)</f>
        <v/>
      </c>
      <c r="B482" s="15"/>
      <c r="C482" s="16"/>
      <c r="D482" s="17"/>
      <c r="E482" s="17"/>
      <c r="F482" s="17"/>
      <c r="G482" s="18"/>
      <c r="H482" s="17"/>
      <c r="I482" s="16"/>
      <c r="J482" s="16"/>
      <c r="K482" s="17"/>
      <c r="L482" s="19"/>
      <c r="M482" s="20" t="b">
        <f aca="false">AND(B482&lt;&gt;"",B482&gt;='Read Me'!$B$5,H482&lt;&gt;"")</f>
        <v>0</v>
      </c>
      <c r="N482" s="21" t="str">
        <f aca="false">IF(OR(D482="",E482=""),"",ABS(D482-E482))</f>
        <v/>
      </c>
      <c r="O482" s="22" t="str">
        <f aca="false">IF(OR(H482="",N482="",N482=0),"",IF(C482="BUY",1,-1)*(H482-D482)/N482)</f>
        <v/>
      </c>
      <c r="P482" s="23" t="str">
        <f aca="false">IF(OR(H482="",D482="",K482=""),"",IF(C482="BUY",1,-1)*(H482-D482)*K482*'Read Me'!$B$10-L482)</f>
        <v/>
      </c>
      <c r="Q482" s="4" t="str">
        <f aca="false">IF(O482="","",IF(O482&gt;0,"WIN","LOSS"))</f>
        <v/>
      </c>
      <c r="R482" s="22" t="str">
        <f aca="false">IF(AND(M482,O482&lt;&gt;""),O482,"")</f>
        <v/>
      </c>
      <c r="S482" s="22" t="n">
        <f aca="false">S481+IF(R482="",0,R482)</f>
        <v>0</v>
      </c>
      <c r="T482" s="22" t="n">
        <f aca="false">MAX(T481,S482)</f>
        <v>0</v>
      </c>
      <c r="U482" s="22" t="n">
        <f aca="false">T482-S482</f>
        <v>0</v>
      </c>
      <c r="V482" s="16"/>
    </row>
    <row r="483" customFormat="false" ht="15" hidden="false" customHeight="true" outlineLevel="0" collapsed="false">
      <c r="A483" s="4" t="str">
        <f aca="false">IF(B483="","",ROW()-1)</f>
        <v/>
      </c>
      <c r="B483" s="15"/>
      <c r="C483" s="16"/>
      <c r="D483" s="17"/>
      <c r="E483" s="17"/>
      <c r="F483" s="17"/>
      <c r="G483" s="18"/>
      <c r="H483" s="17"/>
      <c r="I483" s="16"/>
      <c r="J483" s="16"/>
      <c r="K483" s="17"/>
      <c r="L483" s="19"/>
      <c r="M483" s="20" t="b">
        <f aca="false">AND(B483&lt;&gt;"",B483&gt;='Read Me'!$B$5,H483&lt;&gt;"")</f>
        <v>0</v>
      </c>
      <c r="N483" s="21" t="str">
        <f aca="false">IF(OR(D483="",E483=""),"",ABS(D483-E483))</f>
        <v/>
      </c>
      <c r="O483" s="22" t="str">
        <f aca="false">IF(OR(H483="",N483="",N483=0),"",IF(C483="BUY",1,-1)*(H483-D483)/N483)</f>
        <v/>
      </c>
      <c r="P483" s="23" t="str">
        <f aca="false">IF(OR(H483="",D483="",K483=""),"",IF(C483="BUY",1,-1)*(H483-D483)*K483*'Read Me'!$B$10-L483)</f>
        <v/>
      </c>
      <c r="Q483" s="4" t="str">
        <f aca="false">IF(O483="","",IF(O483&gt;0,"WIN","LOSS"))</f>
        <v/>
      </c>
      <c r="R483" s="22" t="str">
        <f aca="false">IF(AND(M483,O483&lt;&gt;""),O483,"")</f>
        <v/>
      </c>
      <c r="S483" s="22" t="n">
        <f aca="false">S482+IF(R483="",0,R483)</f>
        <v>0</v>
      </c>
      <c r="T483" s="22" t="n">
        <f aca="false">MAX(T482,S483)</f>
        <v>0</v>
      </c>
      <c r="U483" s="22" t="n">
        <f aca="false">T483-S483</f>
        <v>0</v>
      </c>
      <c r="V483" s="16"/>
    </row>
    <row r="484" customFormat="false" ht="15" hidden="false" customHeight="true" outlineLevel="0" collapsed="false">
      <c r="A484" s="4" t="str">
        <f aca="false">IF(B484="","",ROW()-1)</f>
        <v/>
      </c>
      <c r="B484" s="15"/>
      <c r="C484" s="16"/>
      <c r="D484" s="17"/>
      <c r="E484" s="17"/>
      <c r="F484" s="17"/>
      <c r="G484" s="18"/>
      <c r="H484" s="17"/>
      <c r="I484" s="16"/>
      <c r="J484" s="16"/>
      <c r="K484" s="17"/>
      <c r="L484" s="19"/>
      <c r="M484" s="20" t="b">
        <f aca="false">AND(B484&lt;&gt;"",B484&gt;='Read Me'!$B$5,H484&lt;&gt;"")</f>
        <v>0</v>
      </c>
      <c r="N484" s="21" t="str">
        <f aca="false">IF(OR(D484="",E484=""),"",ABS(D484-E484))</f>
        <v/>
      </c>
      <c r="O484" s="22" t="str">
        <f aca="false">IF(OR(H484="",N484="",N484=0),"",IF(C484="BUY",1,-1)*(H484-D484)/N484)</f>
        <v/>
      </c>
      <c r="P484" s="23" t="str">
        <f aca="false">IF(OR(H484="",D484="",K484=""),"",IF(C484="BUY",1,-1)*(H484-D484)*K484*'Read Me'!$B$10-L484)</f>
        <v/>
      </c>
      <c r="Q484" s="4" t="str">
        <f aca="false">IF(O484="","",IF(O484&gt;0,"WIN","LOSS"))</f>
        <v/>
      </c>
      <c r="R484" s="22" t="str">
        <f aca="false">IF(AND(M484,O484&lt;&gt;""),O484,"")</f>
        <v/>
      </c>
      <c r="S484" s="22" t="n">
        <f aca="false">S483+IF(R484="",0,R484)</f>
        <v>0</v>
      </c>
      <c r="T484" s="22" t="n">
        <f aca="false">MAX(T483,S484)</f>
        <v>0</v>
      </c>
      <c r="U484" s="22" t="n">
        <f aca="false">T484-S484</f>
        <v>0</v>
      </c>
      <c r="V484" s="16"/>
    </row>
    <row r="485" customFormat="false" ht="15" hidden="false" customHeight="true" outlineLevel="0" collapsed="false">
      <c r="A485" s="4" t="str">
        <f aca="false">IF(B485="","",ROW()-1)</f>
        <v/>
      </c>
      <c r="B485" s="15"/>
      <c r="C485" s="16"/>
      <c r="D485" s="17"/>
      <c r="E485" s="17"/>
      <c r="F485" s="17"/>
      <c r="G485" s="18"/>
      <c r="H485" s="17"/>
      <c r="I485" s="16"/>
      <c r="J485" s="16"/>
      <c r="K485" s="17"/>
      <c r="L485" s="19"/>
      <c r="M485" s="20" t="b">
        <f aca="false">AND(B485&lt;&gt;"",B485&gt;='Read Me'!$B$5,H485&lt;&gt;"")</f>
        <v>0</v>
      </c>
      <c r="N485" s="21" t="str">
        <f aca="false">IF(OR(D485="",E485=""),"",ABS(D485-E485))</f>
        <v/>
      </c>
      <c r="O485" s="22" t="str">
        <f aca="false">IF(OR(H485="",N485="",N485=0),"",IF(C485="BUY",1,-1)*(H485-D485)/N485)</f>
        <v/>
      </c>
      <c r="P485" s="23" t="str">
        <f aca="false">IF(OR(H485="",D485="",K485=""),"",IF(C485="BUY",1,-1)*(H485-D485)*K485*'Read Me'!$B$10-L485)</f>
        <v/>
      </c>
      <c r="Q485" s="4" t="str">
        <f aca="false">IF(O485="","",IF(O485&gt;0,"WIN","LOSS"))</f>
        <v/>
      </c>
      <c r="R485" s="22" t="str">
        <f aca="false">IF(AND(M485,O485&lt;&gt;""),O485,"")</f>
        <v/>
      </c>
      <c r="S485" s="22" t="n">
        <f aca="false">S484+IF(R485="",0,R485)</f>
        <v>0</v>
      </c>
      <c r="T485" s="22" t="n">
        <f aca="false">MAX(T484,S485)</f>
        <v>0</v>
      </c>
      <c r="U485" s="22" t="n">
        <f aca="false">T485-S485</f>
        <v>0</v>
      </c>
      <c r="V485" s="16"/>
    </row>
    <row r="486" customFormat="false" ht="15" hidden="false" customHeight="true" outlineLevel="0" collapsed="false">
      <c r="A486" s="4" t="str">
        <f aca="false">IF(B486="","",ROW()-1)</f>
        <v/>
      </c>
      <c r="B486" s="15"/>
      <c r="C486" s="16"/>
      <c r="D486" s="17"/>
      <c r="E486" s="17"/>
      <c r="F486" s="17"/>
      <c r="G486" s="18"/>
      <c r="H486" s="17"/>
      <c r="I486" s="16"/>
      <c r="J486" s="16"/>
      <c r="K486" s="17"/>
      <c r="L486" s="19"/>
      <c r="M486" s="20" t="b">
        <f aca="false">AND(B486&lt;&gt;"",B486&gt;='Read Me'!$B$5,H486&lt;&gt;"")</f>
        <v>0</v>
      </c>
      <c r="N486" s="21" t="str">
        <f aca="false">IF(OR(D486="",E486=""),"",ABS(D486-E486))</f>
        <v/>
      </c>
      <c r="O486" s="22" t="str">
        <f aca="false">IF(OR(H486="",N486="",N486=0),"",IF(C486="BUY",1,-1)*(H486-D486)/N486)</f>
        <v/>
      </c>
      <c r="P486" s="23" t="str">
        <f aca="false">IF(OR(H486="",D486="",K486=""),"",IF(C486="BUY",1,-1)*(H486-D486)*K486*'Read Me'!$B$10-L486)</f>
        <v/>
      </c>
      <c r="Q486" s="4" t="str">
        <f aca="false">IF(O486="","",IF(O486&gt;0,"WIN","LOSS"))</f>
        <v/>
      </c>
      <c r="R486" s="22" t="str">
        <f aca="false">IF(AND(M486,O486&lt;&gt;""),O486,"")</f>
        <v/>
      </c>
      <c r="S486" s="22" t="n">
        <f aca="false">S485+IF(R486="",0,R486)</f>
        <v>0</v>
      </c>
      <c r="T486" s="22" t="n">
        <f aca="false">MAX(T485,S486)</f>
        <v>0</v>
      </c>
      <c r="U486" s="22" t="n">
        <f aca="false">T486-S486</f>
        <v>0</v>
      </c>
      <c r="V486" s="16"/>
    </row>
    <row r="487" customFormat="false" ht="15" hidden="false" customHeight="true" outlineLevel="0" collapsed="false">
      <c r="A487" s="4" t="str">
        <f aca="false">IF(B487="","",ROW()-1)</f>
        <v/>
      </c>
      <c r="B487" s="15"/>
      <c r="C487" s="16"/>
      <c r="D487" s="17"/>
      <c r="E487" s="17"/>
      <c r="F487" s="17"/>
      <c r="G487" s="18"/>
      <c r="H487" s="17"/>
      <c r="I487" s="16"/>
      <c r="J487" s="16"/>
      <c r="K487" s="17"/>
      <c r="L487" s="19"/>
      <c r="M487" s="20" t="b">
        <f aca="false">AND(B487&lt;&gt;"",B487&gt;='Read Me'!$B$5,H487&lt;&gt;"")</f>
        <v>0</v>
      </c>
      <c r="N487" s="21" t="str">
        <f aca="false">IF(OR(D487="",E487=""),"",ABS(D487-E487))</f>
        <v/>
      </c>
      <c r="O487" s="22" t="str">
        <f aca="false">IF(OR(H487="",N487="",N487=0),"",IF(C487="BUY",1,-1)*(H487-D487)/N487)</f>
        <v/>
      </c>
      <c r="P487" s="23" t="str">
        <f aca="false">IF(OR(H487="",D487="",K487=""),"",IF(C487="BUY",1,-1)*(H487-D487)*K487*'Read Me'!$B$10-L487)</f>
        <v/>
      </c>
      <c r="Q487" s="4" t="str">
        <f aca="false">IF(O487="","",IF(O487&gt;0,"WIN","LOSS"))</f>
        <v/>
      </c>
      <c r="R487" s="22" t="str">
        <f aca="false">IF(AND(M487,O487&lt;&gt;""),O487,"")</f>
        <v/>
      </c>
      <c r="S487" s="22" t="n">
        <f aca="false">S486+IF(R487="",0,R487)</f>
        <v>0</v>
      </c>
      <c r="T487" s="22" t="n">
        <f aca="false">MAX(T486,S487)</f>
        <v>0</v>
      </c>
      <c r="U487" s="22" t="n">
        <f aca="false">T487-S487</f>
        <v>0</v>
      </c>
      <c r="V487" s="16"/>
    </row>
    <row r="488" customFormat="false" ht="15" hidden="false" customHeight="true" outlineLevel="0" collapsed="false">
      <c r="A488" s="4" t="str">
        <f aca="false">IF(B488="","",ROW()-1)</f>
        <v/>
      </c>
      <c r="B488" s="15"/>
      <c r="C488" s="16"/>
      <c r="D488" s="17"/>
      <c r="E488" s="17"/>
      <c r="F488" s="17"/>
      <c r="G488" s="18"/>
      <c r="H488" s="17"/>
      <c r="I488" s="16"/>
      <c r="J488" s="16"/>
      <c r="K488" s="17"/>
      <c r="L488" s="19"/>
      <c r="M488" s="20" t="b">
        <f aca="false">AND(B488&lt;&gt;"",B488&gt;='Read Me'!$B$5,H488&lt;&gt;"")</f>
        <v>0</v>
      </c>
      <c r="N488" s="21" t="str">
        <f aca="false">IF(OR(D488="",E488=""),"",ABS(D488-E488))</f>
        <v/>
      </c>
      <c r="O488" s="22" t="str">
        <f aca="false">IF(OR(H488="",N488="",N488=0),"",IF(C488="BUY",1,-1)*(H488-D488)/N488)</f>
        <v/>
      </c>
      <c r="P488" s="23" t="str">
        <f aca="false">IF(OR(H488="",D488="",K488=""),"",IF(C488="BUY",1,-1)*(H488-D488)*K488*'Read Me'!$B$10-L488)</f>
        <v/>
      </c>
      <c r="Q488" s="4" t="str">
        <f aca="false">IF(O488="","",IF(O488&gt;0,"WIN","LOSS"))</f>
        <v/>
      </c>
      <c r="R488" s="22" t="str">
        <f aca="false">IF(AND(M488,O488&lt;&gt;""),O488,"")</f>
        <v/>
      </c>
      <c r="S488" s="22" t="n">
        <f aca="false">S487+IF(R488="",0,R488)</f>
        <v>0</v>
      </c>
      <c r="T488" s="22" t="n">
        <f aca="false">MAX(T487,S488)</f>
        <v>0</v>
      </c>
      <c r="U488" s="22" t="n">
        <f aca="false">T488-S488</f>
        <v>0</v>
      </c>
      <c r="V488" s="16"/>
    </row>
    <row r="489" customFormat="false" ht="15" hidden="false" customHeight="true" outlineLevel="0" collapsed="false">
      <c r="A489" s="4" t="str">
        <f aca="false">IF(B489="","",ROW()-1)</f>
        <v/>
      </c>
      <c r="B489" s="15"/>
      <c r="C489" s="16"/>
      <c r="D489" s="17"/>
      <c r="E489" s="17"/>
      <c r="F489" s="17"/>
      <c r="G489" s="18"/>
      <c r="H489" s="17"/>
      <c r="I489" s="16"/>
      <c r="J489" s="16"/>
      <c r="K489" s="17"/>
      <c r="L489" s="19"/>
      <c r="M489" s="20" t="b">
        <f aca="false">AND(B489&lt;&gt;"",B489&gt;='Read Me'!$B$5,H489&lt;&gt;"")</f>
        <v>0</v>
      </c>
      <c r="N489" s="21" t="str">
        <f aca="false">IF(OR(D489="",E489=""),"",ABS(D489-E489))</f>
        <v/>
      </c>
      <c r="O489" s="22" t="str">
        <f aca="false">IF(OR(H489="",N489="",N489=0),"",IF(C489="BUY",1,-1)*(H489-D489)/N489)</f>
        <v/>
      </c>
      <c r="P489" s="23" t="str">
        <f aca="false">IF(OR(H489="",D489="",K489=""),"",IF(C489="BUY",1,-1)*(H489-D489)*K489*'Read Me'!$B$10-L489)</f>
        <v/>
      </c>
      <c r="Q489" s="4" t="str">
        <f aca="false">IF(O489="","",IF(O489&gt;0,"WIN","LOSS"))</f>
        <v/>
      </c>
      <c r="R489" s="22" t="str">
        <f aca="false">IF(AND(M489,O489&lt;&gt;""),O489,"")</f>
        <v/>
      </c>
      <c r="S489" s="22" t="n">
        <f aca="false">S488+IF(R489="",0,R489)</f>
        <v>0</v>
      </c>
      <c r="T489" s="22" t="n">
        <f aca="false">MAX(T488,S489)</f>
        <v>0</v>
      </c>
      <c r="U489" s="22" t="n">
        <f aca="false">T489-S489</f>
        <v>0</v>
      </c>
      <c r="V489" s="16"/>
    </row>
    <row r="490" customFormat="false" ht="15" hidden="false" customHeight="true" outlineLevel="0" collapsed="false">
      <c r="A490" s="4" t="str">
        <f aca="false">IF(B490="","",ROW()-1)</f>
        <v/>
      </c>
      <c r="B490" s="15"/>
      <c r="C490" s="16"/>
      <c r="D490" s="17"/>
      <c r="E490" s="17"/>
      <c r="F490" s="17"/>
      <c r="G490" s="18"/>
      <c r="H490" s="17"/>
      <c r="I490" s="16"/>
      <c r="J490" s="16"/>
      <c r="K490" s="17"/>
      <c r="L490" s="19"/>
      <c r="M490" s="20" t="b">
        <f aca="false">AND(B490&lt;&gt;"",B490&gt;='Read Me'!$B$5,H490&lt;&gt;"")</f>
        <v>0</v>
      </c>
      <c r="N490" s="21" t="str">
        <f aca="false">IF(OR(D490="",E490=""),"",ABS(D490-E490))</f>
        <v/>
      </c>
      <c r="O490" s="22" t="str">
        <f aca="false">IF(OR(H490="",N490="",N490=0),"",IF(C490="BUY",1,-1)*(H490-D490)/N490)</f>
        <v/>
      </c>
      <c r="P490" s="23" t="str">
        <f aca="false">IF(OR(H490="",D490="",K490=""),"",IF(C490="BUY",1,-1)*(H490-D490)*K490*'Read Me'!$B$10-L490)</f>
        <v/>
      </c>
      <c r="Q490" s="4" t="str">
        <f aca="false">IF(O490="","",IF(O490&gt;0,"WIN","LOSS"))</f>
        <v/>
      </c>
      <c r="R490" s="22" t="str">
        <f aca="false">IF(AND(M490,O490&lt;&gt;""),O490,"")</f>
        <v/>
      </c>
      <c r="S490" s="22" t="n">
        <f aca="false">S489+IF(R490="",0,R490)</f>
        <v>0</v>
      </c>
      <c r="T490" s="22" t="n">
        <f aca="false">MAX(T489,S490)</f>
        <v>0</v>
      </c>
      <c r="U490" s="22" t="n">
        <f aca="false">T490-S490</f>
        <v>0</v>
      </c>
      <c r="V490" s="16"/>
    </row>
    <row r="491" customFormat="false" ht="15" hidden="false" customHeight="true" outlineLevel="0" collapsed="false">
      <c r="A491" s="4" t="str">
        <f aca="false">IF(B491="","",ROW()-1)</f>
        <v/>
      </c>
      <c r="B491" s="15"/>
      <c r="C491" s="16"/>
      <c r="D491" s="17"/>
      <c r="E491" s="17"/>
      <c r="F491" s="17"/>
      <c r="G491" s="18"/>
      <c r="H491" s="17"/>
      <c r="I491" s="16"/>
      <c r="J491" s="16"/>
      <c r="K491" s="17"/>
      <c r="L491" s="19"/>
      <c r="M491" s="20" t="b">
        <f aca="false">AND(B491&lt;&gt;"",B491&gt;='Read Me'!$B$5,H491&lt;&gt;"")</f>
        <v>0</v>
      </c>
      <c r="N491" s="21" t="str">
        <f aca="false">IF(OR(D491="",E491=""),"",ABS(D491-E491))</f>
        <v/>
      </c>
      <c r="O491" s="22" t="str">
        <f aca="false">IF(OR(H491="",N491="",N491=0),"",IF(C491="BUY",1,-1)*(H491-D491)/N491)</f>
        <v/>
      </c>
      <c r="P491" s="23" t="str">
        <f aca="false">IF(OR(H491="",D491="",K491=""),"",IF(C491="BUY",1,-1)*(H491-D491)*K491*'Read Me'!$B$10-L491)</f>
        <v/>
      </c>
      <c r="Q491" s="4" t="str">
        <f aca="false">IF(O491="","",IF(O491&gt;0,"WIN","LOSS"))</f>
        <v/>
      </c>
      <c r="R491" s="22" t="str">
        <f aca="false">IF(AND(M491,O491&lt;&gt;""),O491,"")</f>
        <v/>
      </c>
      <c r="S491" s="22" t="n">
        <f aca="false">S490+IF(R491="",0,R491)</f>
        <v>0</v>
      </c>
      <c r="T491" s="22" t="n">
        <f aca="false">MAX(T490,S491)</f>
        <v>0</v>
      </c>
      <c r="U491" s="22" t="n">
        <f aca="false">T491-S491</f>
        <v>0</v>
      </c>
      <c r="V491" s="16"/>
    </row>
    <row r="492" customFormat="false" ht="15" hidden="false" customHeight="true" outlineLevel="0" collapsed="false">
      <c r="A492" s="4" t="str">
        <f aca="false">IF(B492="","",ROW()-1)</f>
        <v/>
      </c>
      <c r="B492" s="15"/>
      <c r="C492" s="16"/>
      <c r="D492" s="17"/>
      <c r="E492" s="17"/>
      <c r="F492" s="17"/>
      <c r="G492" s="18"/>
      <c r="H492" s="17"/>
      <c r="I492" s="16"/>
      <c r="J492" s="16"/>
      <c r="K492" s="17"/>
      <c r="L492" s="19"/>
      <c r="M492" s="20" t="b">
        <f aca="false">AND(B492&lt;&gt;"",B492&gt;='Read Me'!$B$5,H492&lt;&gt;"")</f>
        <v>0</v>
      </c>
      <c r="N492" s="21" t="str">
        <f aca="false">IF(OR(D492="",E492=""),"",ABS(D492-E492))</f>
        <v/>
      </c>
      <c r="O492" s="22" t="str">
        <f aca="false">IF(OR(H492="",N492="",N492=0),"",IF(C492="BUY",1,-1)*(H492-D492)/N492)</f>
        <v/>
      </c>
      <c r="P492" s="23" t="str">
        <f aca="false">IF(OR(H492="",D492="",K492=""),"",IF(C492="BUY",1,-1)*(H492-D492)*K492*'Read Me'!$B$10-L492)</f>
        <v/>
      </c>
      <c r="Q492" s="4" t="str">
        <f aca="false">IF(O492="","",IF(O492&gt;0,"WIN","LOSS"))</f>
        <v/>
      </c>
      <c r="R492" s="22" t="str">
        <f aca="false">IF(AND(M492,O492&lt;&gt;""),O492,"")</f>
        <v/>
      </c>
      <c r="S492" s="22" t="n">
        <f aca="false">S491+IF(R492="",0,R492)</f>
        <v>0</v>
      </c>
      <c r="T492" s="22" t="n">
        <f aca="false">MAX(T491,S492)</f>
        <v>0</v>
      </c>
      <c r="U492" s="22" t="n">
        <f aca="false">T492-S492</f>
        <v>0</v>
      </c>
      <c r="V492" s="16"/>
    </row>
    <row r="493" customFormat="false" ht="15" hidden="false" customHeight="true" outlineLevel="0" collapsed="false">
      <c r="A493" s="4" t="str">
        <f aca="false">IF(B493="","",ROW()-1)</f>
        <v/>
      </c>
      <c r="B493" s="15"/>
      <c r="C493" s="16"/>
      <c r="D493" s="17"/>
      <c r="E493" s="17"/>
      <c r="F493" s="17"/>
      <c r="G493" s="18"/>
      <c r="H493" s="17"/>
      <c r="I493" s="16"/>
      <c r="J493" s="16"/>
      <c r="K493" s="17"/>
      <c r="L493" s="19"/>
      <c r="M493" s="20" t="b">
        <f aca="false">AND(B493&lt;&gt;"",B493&gt;='Read Me'!$B$5,H493&lt;&gt;"")</f>
        <v>0</v>
      </c>
      <c r="N493" s="21" t="str">
        <f aca="false">IF(OR(D493="",E493=""),"",ABS(D493-E493))</f>
        <v/>
      </c>
      <c r="O493" s="22" t="str">
        <f aca="false">IF(OR(H493="",N493="",N493=0),"",IF(C493="BUY",1,-1)*(H493-D493)/N493)</f>
        <v/>
      </c>
      <c r="P493" s="23" t="str">
        <f aca="false">IF(OR(H493="",D493="",K493=""),"",IF(C493="BUY",1,-1)*(H493-D493)*K493*'Read Me'!$B$10-L493)</f>
        <v/>
      </c>
      <c r="Q493" s="4" t="str">
        <f aca="false">IF(O493="","",IF(O493&gt;0,"WIN","LOSS"))</f>
        <v/>
      </c>
      <c r="R493" s="22" t="str">
        <f aca="false">IF(AND(M493,O493&lt;&gt;""),O493,"")</f>
        <v/>
      </c>
      <c r="S493" s="22" t="n">
        <f aca="false">S492+IF(R493="",0,R493)</f>
        <v>0</v>
      </c>
      <c r="T493" s="22" t="n">
        <f aca="false">MAX(T492,S493)</f>
        <v>0</v>
      </c>
      <c r="U493" s="22" t="n">
        <f aca="false">T493-S493</f>
        <v>0</v>
      </c>
      <c r="V493" s="16"/>
    </row>
    <row r="494" customFormat="false" ht="15" hidden="false" customHeight="true" outlineLevel="0" collapsed="false">
      <c r="A494" s="4" t="str">
        <f aca="false">IF(B494="","",ROW()-1)</f>
        <v/>
      </c>
      <c r="B494" s="15"/>
      <c r="C494" s="16"/>
      <c r="D494" s="17"/>
      <c r="E494" s="17"/>
      <c r="F494" s="17"/>
      <c r="G494" s="18"/>
      <c r="H494" s="17"/>
      <c r="I494" s="16"/>
      <c r="J494" s="16"/>
      <c r="K494" s="17"/>
      <c r="L494" s="19"/>
      <c r="M494" s="20" t="b">
        <f aca="false">AND(B494&lt;&gt;"",B494&gt;='Read Me'!$B$5,H494&lt;&gt;"")</f>
        <v>0</v>
      </c>
      <c r="N494" s="21" t="str">
        <f aca="false">IF(OR(D494="",E494=""),"",ABS(D494-E494))</f>
        <v/>
      </c>
      <c r="O494" s="22" t="str">
        <f aca="false">IF(OR(H494="",N494="",N494=0),"",IF(C494="BUY",1,-1)*(H494-D494)/N494)</f>
        <v/>
      </c>
      <c r="P494" s="23" t="str">
        <f aca="false">IF(OR(H494="",D494="",K494=""),"",IF(C494="BUY",1,-1)*(H494-D494)*K494*'Read Me'!$B$10-L494)</f>
        <v/>
      </c>
      <c r="Q494" s="4" t="str">
        <f aca="false">IF(O494="","",IF(O494&gt;0,"WIN","LOSS"))</f>
        <v/>
      </c>
      <c r="R494" s="22" t="str">
        <f aca="false">IF(AND(M494,O494&lt;&gt;""),O494,"")</f>
        <v/>
      </c>
      <c r="S494" s="22" t="n">
        <f aca="false">S493+IF(R494="",0,R494)</f>
        <v>0</v>
      </c>
      <c r="T494" s="22" t="n">
        <f aca="false">MAX(T493,S494)</f>
        <v>0</v>
      </c>
      <c r="U494" s="22" t="n">
        <f aca="false">T494-S494</f>
        <v>0</v>
      </c>
      <c r="V494" s="16"/>
    </row>
    <row r="495" customFormat="false" ht="15" hidden="false" customHeight="true" outlineLevel="0" collapsed="false">
      <c r="A495" s="4" t="str">
        <f aca="false">IF(B495="","",ROW()-1)</f>
        <v/>
      </c>
      <c r="B495" s="15"/>
      <c r="C495" s="16"/>
      <c r="D495" s="17"/>
      <c r="E495" s="17"/>
      <c r="F495" s="17"/>
      <c r="G495" s="18"/>
      <c r="H495" s="17"/>
      <c r="I495" s="16"/>
      <c r="J495" s="16"/>
      <c r="K495" s="17"/>
      <c r="L495" s="19"/>
      <c r="M495" s="20" t="b">
        <f aca="false">AND(B495&lt;&gt;"",B495&gt;='Read Me'!$B$5,H495&lt;&gt;"")</f>
        <v>0</v>
      </c>
      <c r="N495" s="21" t="str">
        <f aca="false">IF(OR(D495="",E495=""),"",ABS(D495-E495))</f>
        <v/>
      </c>
      <c r="O495" s="22" t="str">
        <f aca="false">IF(OR(H495="",N495="",N495=0),"",IF(C495="BUY",1,-1)*(H495-D495)/N495)</f>
        <v/>
      </c>
      <c r="P495" s="23" t="str">
        <f aca="false">IF(OR(H495="",D495="",K495=""),"",IF(C495="BUY",1,-1)*(H495-D495)*K495*'Read Me'!$B$10-L495)</f>
        <v/>
      </c>
      <c r="Q495" s="4" t="str">
        <f aca="false">IF(O495="","",IF(O495&gt;0,"WIN","LOSS"))</f>
        <v/>
      </c>
      <c r="R495" s="22" t="str">
        <f aca="false">IF(AND(M495,O495&lt;&gt;""),O495,"")</f>
        <v/>
      </c>
      <c r="S495" s="22" t="n">
        <f aca="false">S494+IF(R495="",0,R495)</f>
        <v>0</v>
      </c>
      <c r="T495" s="22" t="n">
        <f aca="false">MAX(T494,S495)</f>
        <v>0</v>
      </c>
      <c r="U495" s="22" t="n">
        <f aca="false">T495-S495</f>
        <v>0</v>
      </c>
      <c r="V495" s="16"/>
    </row>
    <row r="496" customFormat="false" ht="15" hidden="false" customHeight="true" outlineLevel="0" collapsed="false">
      <c r="A496" s="4" t="str">
        <f aca="false">IF(B496="","",ROW()-1)</f>
        <v/>
      </c>
      <c r="B496" s="15"/>
      <c r="C496" s="16"/>
      <c r="D496" s="17"/>
      <c r="E496" s="17"/>
      <c r="F496" s="17"/>
      <c r="G496" s="18"/>
      <c r="H496" s="17"/>
      <c r="I496" s="16"/>
      <c r="J496" s="16"/>
      <c r="K496" s="17"/>
      <c r="L496" s="19"/>
      <c r="M496" s="20" t="b">
        <f aca="false">AND(B496&lt;&gt;"",B496&gt;='Read Me'!$B$5,H496&lt;&gt;"")</f>
        <v>0</v>
      </c>
      <c r="N496" s="21" t="str">
        <f aca="false">IF(OR(D496="",E496=""),"",ABS(D496-E496))</f>
        <v/>
      </c>
      <c r="O496" s="22" t="str">
        <f aca="false">IF(OR(H496="",N496="",N496=0),"",IF(C496="BUY",1,-1)*(H496-D496)/N496)</f>
        <v/>
      </c>
      <c r="P496" s="23" t="str">
        <f aca="false">IF(OR(H496="",D496="",K496=""),"",IF(C496="BUY",1,-1)*(H496-D496)*K496*'Read Me'!$B$10-L496)</f>
        <v/>
      </c>
      <c r="Q496" s="4" t="str">
        <f aca="false">IF(O496="","",IF(O496&gt;0,"WIN","LOSS"))</f>
        <v/>
      </c>
      <c r="R496" s="22" t="str">
        <f aca="false">IF(AND(M496,O496&lt;&gt;""),O496,"")</f>
        <v/>
      </c>
      <c r="S496" s="22" t="n">
        <f aca="false">S495+IF(R496="",0,R496)</f>
        <v>0</v>
      </c>
      <c r="T496" s="22" t="n">
        <f aca="false">MAX(T495,S496)</f>
        <v>0</v>
      </c>
      <c r="U496" s="22" t="n">
        <f aca="false">T496-S496</f>
        <v>0</v>
      </c>
      <c r="V496" s="16"/>
    </row>
    <row r="497" customFormat="false" ht="15" hidden="false" customHeight="true" outlineLevel="0" collapsed="false">
      <c r="A497" s="4" t="str">
        <f aca="false">IF(B497="","",ROW()-1)</f>
        <v/>
      </c>
      <c r="B497" s="15"/>
      <c r="C497" s="16"/>
      <c r="D497" s="17"/>
      <c r="E497" s="17"/>
      <c r="F497" s="17"/>
      <c r="G497" s="18"/>
      <c r="H497" s="17"/>
      <c r="I497" s="16"/>
      <c r="J497" s="16"/>
      <c r="K497" s="17"/>
      <c r="L497" s="19"/>
      <c r="M497" s="20" t="b">
        <f aca="false">AND(B497&lt;&gt;"",B497&gt;='Read Me'!$B$5,H497&lt;&gt;"")</f>
        <v>0</v>
      </c>
      <c r="N497" s="21" t="str">
        <f aca="false">IF(OR(D497="",E497=""),"",ABS(D497-E497))</f>
        <v/>
      </c>
      <c r="O497" s="22" t="str">
        <f aca="false">IF(OR(H497="",N497="",N497=0),"",IF(C497="BUY",1,-1)*(H497-D497)/N497)</f>
        <v/>
      </c>
      <c r="P497" s="23" t="str">
        <f aca="false">IF(OR(H497="",D497="",K497=""),"",IF(C497="BUY",1,-1)*(H497-D497)*K497*'Read Me'!$B$10-L497)</f>
        <v/>
      </c>
      <c r="Q497" s="4" t="str">
        <f aca="false">IF(O497="","",IF(O497&gt;0,"WIN","LOSS"))</f>
        <v/>
      </c>
      <c r="R497" s="22" t="str">
        <f aca="false">IF(AND(M497,O497&lt;&gt;""),O497,"")</f>
        <v/>
      </c>
      <c r="S497" s="22" t="n">
        <f aca="false">S496+IF(R497="",0,R497)</f>
        <v>0</v>
      </c>
      <c r="T497" s="22" t="n">
        <f aca="false">MAX(T496,S497)</f>
        <v>0</v>
      </c>
      <c r="U497" s="22" t="n">
        <f aca="false">T497-S497</f>
        <v>0</v>
      </c>
      <c r="V497" s="16"/>
    </row>
    <row r="498" customFormat="false" ht="15" hidden="false" customHeight="true" outlineLevel="0" collapsed="false">
      <c r="A498" s="4" t="str">
        <f aca="false">IF(B498="","",ROW()-1)</f>
        <v/>
      </c>
      <c r="B498" s="15"/>
      <c r="C498" s="16"/>
      <c r="D498" s="17"/>
      <c r="E498" s="17"/>
      <c r="F498" s="17"/>
      <c r="G498" s="18"/>
      <c r="H498" s="17"/>
      <c r="I498" s="16"/>
      <c r="J498" s="16"/>
      <c r="K498" s="17"/>
      <c r="L498" s="19"/>
      <c r="M498" s="20" t="b">
        <f aca="false">AND(B498&lt;&gt;"",B498&gt;='Read Me'!$B$5,H498&lt;&gt;"")</f>
        <v>0</v>
      </c>
      <c r="N498" s="21" t="str">
        <f aca="false">IF(OR(D498="",E498=""),"",ABS(D498-E498))</f>
        <v/>
      </c>
      <c r="O498" s="22" t="str">
        <f aca="false">IF(OR(H498="",N498="",N498=0),"",IF(C498="BUY",1,-1)*(H498-D498)/N498)</f>
        <v/>
      </c>
      <c r="P498" s="23" t="str">
        <f aca="false">IF(OR(H498="",D498="",K498=""),"",IF(C498="BUY",1,-1)*(H498-D498)*K498*'Read Me'!$B$10-L498)</f>
        <v/>
      </c>
      <c r="Q498" s="4" t="str">
        <f aca="false">IF(O498="","",IF(O498&gt;0,"WIN","LOSS"))</f>
        <v/>
      </c>
      <c r="R498" s="22" t="str">
        <f aca="false">IF(AND(M498,O498&lt;&gt;""),O498,"")</f>
        <v/>
      </c>
      <c r="S498" s="22" t="n">
        <f aca="false">S497+IF(R498="",0,R498)</f>
        <v>0</v>
      </c>
      <c r="T498" s="22" t="n">
        <f aca="false">MAX(T497,S498)</f>
        <v>0</v>
      </c>
      <c r="U498" s="22" t="n">
        <f aca="false">T498-S498</f>
        <v>0</v>
      </c>
      <c r="V498" s="16"/>
    </row>
    <row r="499" customFormat="false" ht="15" hidden="false" customHeight="true" outlineLevel="0" collapsed="false">
      <c r="A499" s="4" t="str">
        <f aca="false">IF(B499="","",ROW()-1)</f>
        <v/>
      </c>
      <c r="B499" s="15"/>
      <c r="C499" s="16"/>
      <c r="D499" s="17"/>
      <c r="E499" s="17"/>
      <c r="F499" s="17"/>
      <c r="G499" s="18"/>
      <c r="H499" s="17"/>
      <c r="I499" s="16"/>
      <c r="J499" s="16"/>
      <c r="K499" s="17"/>
      <c r="L499" s="19"/>
      <c r="M499" s="20" t="b">
        <f aca="false">AND(B499&lt;&gt;"",B499&gt;='Read Me'!$B$5,H499&lt;&gt;"")</f>
        <v>0</v>
      </c>
      <c r="N499" s="21" t="str">
        <f aca="false">IF(OR(D499="",E499=""),"",ABS(D499-E499))</f>
        <v/>
      </c>
      <c r="O499" s="22" t="str">
        <f aca="false">IF(OR(H499="",N499="",N499=0),"",IF(C499="BUY",1,-1)*(H499-D499)/N499)</f>
        <v/>
      </c>
      <c r="P499" s="23" t="str">
        <f aca="false">IF(OR(H499="",D499="",K499=""),"",IF(C499="BUY",1,-1)*(H499-D499)*K499*'Read Me'!$B$10-L499)</f>
        <v/>
      </c>
      <c r="Q499" s="4" t="str">
        <f aca="false">IF(O499="","",IF(O499&gt;0,"WIN","LOSS"))</f>
        <v/>
      </c>
      <c r="R499" s="22" t="str">
        <f aca="false">IF(AND(M499,O499&lt;&gt;""),O499,"")</f>
        <v/>
      </c>
      <c r="S499" s="22" t="n">
        <f aca="false">S498+IF(R499="",0,R499)</f>
        <v>0</v>
      </c>
      <c r="T499" s="22" t="n">
        <f aca="false">MAX(T498,S499)</f>
        <v>0</v>
      </c>
      <c r="U499" s="22" t="n">
        <f aca="false">T499-S499</f>
        <v>0</v>
      </c>
      <c r="V499" s="16"/>
    </row>
    <row r="500" customFormat="false" ht="15" hidden="false" customHeight="true" outlineLevel="0" collapsed="false">
      <c r="A500" s="4" t="str">
        <f aca="false">IF(B500="","",ROW()-1)</f>
        <v/>
      </c>
      <c r="B500" s="15"/>
      <c r="C500" s="16"/>
      <c r="D500" s="17"/>
      <c r="E500" s="17"/>
      <c r="F500" s="17"/>
      <c r="G500" s="18"/>
      <c r="H500" s="17"/>
      <c r="I500" s="16"/>
      <c r="J500" s="16"/>
      <c r="K500" s="17"/>
      <c r="L500" s="19"/>
      <c r="M500" s="20" t="b">
        <f aca="false">AND(B500&lt;&gt;"",B500&gt;='Read Me'!$B$5,H500&lt;&gt;"")</f>
        <v>0</v>
      </c>
      <c r="N500" s="21" t="str">
        <f aca="false">IF(OR(D500="",E500=""),"",ABS(D500-E500))</f>
        <v/>
      </c>
      <c r="O500" s="22" t="str">
        <f aca="false">IF(OR(H500="",N500="",N500=0),"",IF(C500="BUY",1,-1)*(H500-D500)/N500)</f>
        <v/>
      </c>
      <c r="P500" s="23" t="str">
        <f aca="false">IF(OR(H500="",D500="",K500=""),"",IF(C500="BUY",1,-1)*(H500-D500)*K500*'Read Me'!$B$10-L500)</f>
        <v/>
      </c>
      <c r="Q500" s="4" t="str">
        <f aca="false">IF(O500="","",IF(O500&gt;0,"WIN","LOSS"))</f>
        <v/>
      </c>
      <c r="R500" s="22" t="str">
        <f aca="false">IF(AND(M500,O500&lt;&gt;""),O500,"")</f>
        <v/>
      </c>
      <c r="S500" s="22" t="n">
        <f aca="false">S499+IF(R500="",0,R500)</f>
        <v>0</v>
      </c>
      <c r="T500" s="22" t="n">
        <f aca="false">MAX(T499,S500)</f>
        <v>0</v>
      </c>
      <c r="U500" s="22" t="n">
        <f aca="false">T500-S500</f>
        <v>0</v>
      </c>
      <c r="V500" s="16"/>
    </row>
    <row r="501" customFormat="false" ht="15" hidden="false" customHeight="true" outlineLevel="0" collapsed="false">
      <c r="A501" s="4" t="str">
        <f aca="false">IF(B501="","",ROW()-1)</f>
        <v/>
      </c>
      <c r="B501" s="15"/>
      <c r="C501" s="16"/>
      <c r="D501" s="17"/>
      <c r="E501" s="17"/>
      <c r="F501" s="17"/>
      <c r="G501" s="18"/>
      <c r="H501" s="17"/>
      <c r="I501" s="16"/>
      <c r="J501" s="16"/>
      <c r="K501" s="17"/>
      <c r="L501" s="19"/>
      <c r="M501" s="20" t="b">
        <f aca="false">AND(B501&lt;&gt;"",B501&gt;='Read Me'!$B$5,H501&lt;&gt;"")</f>
        <v>0</v>
      </c>
      <c r="N501" s="21" t="str">
        <f aca="false">IF(OR(D501="",E501=""),"",ABS(D501-E501))</f>
        <v/>
      </c>
      <c r="O501" s="22" t="str">
        <f aca="false">IF(OR(H501="",N501="",N501=0),"",IF(C501="BUY",1,-1)*(H501-D501)/N501)</f>
        <v/>
      </c>
      <c r="P501" s="23" t="str">
        <f aca="false">IF(OR(H501="",D501="",K501=""),"",IF(C501="BUY",1,-1)*(H501-D501)*K501*'Read Me'!$B$10-L501)</f>
        <v/>
      </c>
      <c r="Q501" s="4" t="str">
        <f aca="false">IF(O501="","",IF(O501&gt;0,"WIN","LOSS"))</f>
        <v/>
      </c>
      <c r="R501" s="22" t="str">
        <f aca="false">IF(AND(M501,O501&lt;&gt;""),O501,"")</f>
        <v/>
      </c>
      <c r="S501" s="22" t="n">
        <f aca="false">S500+IF(R501="",0,R501)</f>
        <v>0</v>
      </c>
      <c r="T501" s="22" t="n">
        <f aca="false">MAX(T500,S501)</f>
        <v>0</v>
      </c>
      <c r="U501" s="22" t="n">
        <f aca="false">T501-S501</f>
        <v>0</v>
      </c>
      <c r="V501" s="16"/>
    </row>
  </sheetData>
  <dataValidations count="3">
    <dataValidation allowBlank="true" errorStyle="stop" operator="between" showDropDown="false" showErrorMessage="false" showInputMessage="false" sqref="C2:C501" type="list">
      <formula1>"BUY,SELL"</formula1>
      <formula2>0</formula2>
    </dataValidation>
    <dataValidation allowBlank="true" errorStyle="stop" operator="between" showDropDown="false" showErrorMessage="false" showInputMessage="false" sqref="I2:I501" type="list">
      <formula1>"TP1,TP2,TP3,SL,BE,Manual,Timeout"</formula1>
      <formula2>0</formula2>
    </dataValidation>
    <dataValidation allowBlank="true" errorStyle="stop" operator="between" showDropDown="false" showErrorMessage="false" showInputMessage="false" sqref="J2:J5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9" min="6" style="1" width="11"/>
    <col collapsed="false" customWidth="true" hidden="false" outlineLevel="0" max="10" min="10" style="1" width="18"/>
    <col collapsed="false" customWidth="true" hidden="false" outlineLevel="0" max="11" min="11" style="1" width="50"/>
  </cols>
  <sheetData>
    <row r="1" customFormat="false" ht="31.5" hidden="false" customHeight="true" outlineLevel="0" collapsed="false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</row>
    <row r="2" customFormat="false" ht="15" hidden="false" customHeight="true" outlineLevel="0" collapsed="false">
      <c r="A2" s="25" t="n">
        <v>46299</v>
      </c>
      <c r="B2" s="26" t="s">
        <v>63</v>
      </c>
      <c r="C2" s="26" t="s">
        <v>64</v>
      </c>
      <c r="D2" s="26" t="n">
        <v>0</v>
      </c>
      <c r="E2" s="27"/>
      <c r="F2" s="27"/>
      <c r="G2" s="27"/>
      <c r="H2" s="28"/>
      <c r="I2" s="27" t="n">
        <v>0</v>
      </c>
      <c r="J2" s="26" t="s">
        <v>65</v>
      </c>
      <c r="K2" s="26" t="s">
        <v>66</v>
      </c>
    </row>
    <row r="3" customFormat="false" ht="15" hidden="false" customHeight="true" outlineLevel="0" collapsed="false">
      <c r="A3" s="25"/>
      <c r="B3" s="26"/>
      <c r="C3" s="26"/>
      <c r="D3" s="26"/>
      <c r="E3" s="27"/>
      <c r="F3" s="27"/>
      <c r="G3" s="27"/>
      <c r="H3" s="28"/>
      <c r="I3" s="27"/>
      <c r="J3" s="26"/>
      <c r="K3" s="26"/>
    </row>
    <row r="4" customFormat="false" ht="15" hidden="false" customHeight="true" outlineLevel="0" collapsed="false">
      <c r="A4" s="25"/>
      <c r="B4" s="26"/>
      <c r="C4" s="26"/>
      <c r="D4" s="26"/>
      <c r="E4" s="27"/>
      <c r="F4" s="27"/>
      <c r="G4" s="27"/>
      <c r="H4" s="28"/>
      <c r="I4" s="27"/>
      <c r="J4" s="26"/>
      <c r="K4" s="26"/>
    </row>
    <row r="5" customFormat="false" ht="15" hidden="false" customHeight="true" outlineLevel="0" collapsed="false">
      <c r="A5" s="25"/>
      <c r="B5" s="26"/>
      <c r="C5" s="26"/>
      <c r="D5" s="26"/>
      <c r="E5" s="27"/>
      <c r="F5" s="27"/>
      <c r="G5" s="27"/>
      <c r="H5" s="28"/>
      <c r="I5" s="27"/>
      <c r="J5" s="26"/>
      <c r="K5" s="26"/>
    </row>
    <row r="6" customFormat="false" ht="15" hidden="false" customHeight="true" outlineLevel="0" collapsed="false">
      <c r="A6" s="25"/>
      <c r="B6" s="26"/>
      <c r="C6" s="26"/>
      <c r="D6" s="26"/>
      <c r="E6" s="27"/>
      <c r="F6" s="27"/>
      <c r="G6" s="27"/>
      <c r="H6" s="28"/>
      <c r="I6" s="27"/>
      <c r="J6" s="26"/>
      <c r="K6" s="26"/>
    </row>
    <row r="7" customFormat="false" ht="15" hidden="false" customHeight="true" outlineLevel="0" collapsed="false">
      <c r="A7" s="25"/>
      <c r="B7" s="26"/>
      <c r="C7" s="26"/>
      <c r="D7" s="26"/>
      <c r="E7" s="27"/>
      <c r="F7" s="27"/>
      <c r="G7" s="27"/>
      <c r="H7" s="28"/>
      <c r="I7" s="27"/>
      <c r="J7" s="26"/>
      <c r="K7" s="26"/>
    </row>
    <row r="8" customFormat="false" ht="15" hidden="false" customHeight="true" outlineLevel="0" collapsed="false">
      <c r="A8" s="25"/>
      <c r="B8" s="26"/>
      <c r="C8" s="26"/>
      <c r="D8" s="26"/>
      <c r="E8" s="27"/>
      <c r="F8" s="27"/>
      <c r="G8" s="27"/>
      <c r="H8" s="28"/>
      <c r="I8" s="27"/>
      <c r="J8" s="26"/>
      <c r="K8" s="26"/>
    </row>
    <row r="9" customFormat="false" ht="15" hidden="false" customHeight="true" outlineLevel="0" collapsed="false">
      <c r="A9" s="25"/>
      <c r="B9" s="26"/>
      <c r="C9" s="26"/>
      <c r="D9" s="26"/>
      <c r="E9" s="27"/>
      <c r="F9" s="27"/>
      <c r="G9" s="27"/>
      <c r="H9" s="28"/>
      <c r="I9" s="27"/>
      <c r="J9" s="26"/>
      <c r="K9" s="26"/>
    </row>
    <row r="10" customFormat="false" ht="15" hidden="false" customHeight="true" outlineLevel="0" collapsed="false">
      <c r="A10" s="25"/>
      <c r="B10" s="26"/>
      <c r="C10" s="26"/>
      <c r="D10" s="26"/>
      <c r="E10" s="27"/>
      <c r="F10" s="27"/>
      <c r="G10" s="27"/>
      <c r="H10" s="28"/>
      <c r="I10" s="27"/>
      <c r="J10" s="26"/>
      <c r="K10" s="26"/>
    </row>
    <row r="11" customFormat="false" ht="15" hidden="false" customHeight="true" outlineLevel="0" collapsed="false">
      <c r="A11" s="25"/>
      <c r="B11" s="26"/>
      <c r="C11" s="26"/>
      <c r="D11" s="26"/>
      <c r="E11" s="27"/>
      <c r="F11" s="27"/>
      <c r="G11" s="27"/>
      <c r="H11" s="28"/>
      <c r="I11" s="27"/>
      <c r="J11" s="26"/>
      <c r="K11" s="26"/>
    </row>
    <row r="12" customFormat="false" ht="15" hidden="false" customHeight="true" outlineLevel="0" collapsed="false">
      <c r="A12" s="25"/>
      <c r="B12" s="26"/>
      <c r="C12" s="26"/>
      <c r="D12" s="26"/>
      <c r="E12" s="27"/>
      <c r="F12" s="27"/>
      <c r="G12" s="27"/>
      <c r="H12" s="28"/>
      <c r="I12" s="27"/>
      <c r="J12" s="26"/>
      <c r="K12" s="26"/>
    </row>
    <row r="13" customFormat="false" ht="15" hidden="false" customHeight="true" outlineLevel="0" collapsed="false">
      <c r="A13" s="25"/>
      <c r="B13" s="26"/>
      <c r="C13" s="26"/>
      <c r="D13" s="26"/>
      <c r="E13" s="27"/>
      <c r="F13" s="27"/>
      <c r="G13" s="27"/>
      <c r="H13" s="28"/>
      <c r="I13" s="27"/>
      <c r="J13" s="26"/>
      <c r="K13" s="26"/>
    </row>
    <row r="14" customFormat="false" ht="15" hidden="false" customHeight="true" outlineLevel="0" collapsed="false">
      <c r="A14" s="25"/>
      <c r="B14" s="26"/>
      <c r="C14" s="26"/>
      <c r="D14" s="26"/>
      <c r="E14" s="27"/>
      <c r="F14" s="27"/>
      <c r="G14" s="27"/>
      <c r="H14" s="28"/>
      <c r="I14" s="27"/>
      <c r="J14" s="26"/>
      <c r="K14" s="26"/>
    </row>
    <row r="15" customFormat="false" ht="15" hidden="false" customHeight="true" outlineLevel="0" collapsed="false">
      <c r="A15" s="25"/>
      <c r="B15" s="26"/>
      <c r="C15" s="26"/>
      <c r="D15" s="26"/>
      <c r="E15" s="27"/>
      <c r="F15" s="27"/>
      <c r="G15" s="27"/>
      <c r="H15" s="28"/>
      <c r="I15" s="27"/>
      <c r="J15" s="26"/>
      <c r="K15" s="26"/>
    </row>
    <row r="16" customFormat="false" ht="15" hidden="false" customHeight="true" outlineLevel="0" collapsed="false">
      <c r="A16" s="25"/>
      <c r="B16" s="26"/>
      <c r="C16" s="26"/>
      <c r="D16" s="26"/>
      <c r="E16" s="27"/>
      <c r="F16" s="27"/>
      <c r="G16" s="27"/>
      <c r="H16" s="28"/>
      <c r="I16" s="27"/>
      <c r="J16" s="26"/>
      <c r="K16" s="26"/>
    </row>
    <row r="17" customFormat="false" ht="15" hidden="false" customHeight="true" outlineLevel="0" collapsed="false">
      <c r="A17" s="25"/>
      <c r="B17" s="26"/>
      <c r="C17" s="26"/>
      <c r="D17" s="26"/>
      <c r="E17" s="27"/>
      <c r="F17" s="27"/>
      <c r="G17" s="27"/>
      <c r="H17" s="28"/>
      <c r="I17" s="27"/>
      <c r="J17" s="26"/>
      <c r="K17" s="26"/>
    </row>
    <row r="18" customFormat="false" ht="15" hidden="false" customHeight="true" outlineLevel="0" collapsed="false">
      <c r="A18" s="25"/>
      <c r="B18" s="26"/>
      <c r="C18" s="26"/>
      <c r="D18" s="26"/>
      <c r="E18" s="27"/>
      <c r="F18" s="27"/>
      <c r="G18" s="27"/>
      <c r="H18" s="28"/>
      <c r="I18" s="27"/>
      <c r="J18" s="26"/>
      <c r="K18" s="26"/>
    </row>
    <row r="19" customFormat="false" ht="15" hidden="false" customHeight="true" outlineLevel="0" collapsed="false">
      <c r="A19" s="25"/>
      <c r="B19" s="26"/>
      <c r="C19" s="26"/>
      <c r="D19" s="26"/>
      <c r="E19" s="27"/>
      <c r="F19" s="27"/>
      <c r="G19" s="27"/>
      <c r="H19" s="28"/>
      <c r="I19" s="27"/>
      <c r="J19" s="26"/>
      <c r="K19" s="26"/>
    </row>
    <row r="20" customFormat="false" ht="15" hidden="false" customHeight="true" outlineLevel="0" collapsed="false">
      <c r="A20" s="25"/>
      <c r="B20" s="26"/>
      <c r="C20" s="26"/>
      <c r="D20" s="26"/>
      <c r="E20" s="27"/>
      <c r="F20" s="27"/>
      <c r="G20" s="27"/>
      <c r="H20" s="28"/>
      <c r="I20" s="27"/>
      <c r="J20" s="26"/>
      <c r="K20" s="26"/>
    </row>
    <row r="21" customFormat="false" ht="15" hidden="false" customHeight="true" outlineLevel="0" collapsed="false">
      <c r="A21" s="25"/>
      <c r="B21" s="26"/>
      <c r="C21" s="26"/>
      <c r="D21" s="26"/>
      <c r="E21" s="27"/>
      <c r="F21" s="27"/>
      <c r="G21" s="27"/>
      <c r="H21" s="28"/>
      <c r="I21" s="27"/>
      <c r="J21" s="26"/>
      <c r="K21" s="26"/>
    </row>
    <row r="22" customFormat="false" ht="15" hidden="false" customHeight="true" outlineLevel="0" collapsed="false">
      <c r="A22" s="25"/>
      <c r="B22" s="26"/>
      <c r="C22" s="26"/>
      <c r="D22" s="26"/>
      <c r="E22" s="27"/>
      <c r="F22" s="27"/>
      <c r="G22" s="27"/>
      <c r="H22" s="28"/>
      <c r="I22" s="27"/>
      <c r="J22" s="26"/>
      <c r="K22" s="26"/>
    </row>
    <row r="23" customFormat="false" ht="15" hidden="false" customHeight="true" outlineLevel="0" collapsed="false">
      <c r="A23" s="25"/>
      <c r="B23" s="26"/>
      <c r="C23" s="26"/>
      <c r="D23" s="26"/>
      <c r="E23" s="27"/>
      <c r="F23" s="27"/>
      <c r="G23" s="27"/>
      <c r="H23" s="28"/>
      <c r="I23" s="27"/>
      <c r="J23" s="26"/>
      <c r="K23" s="26"/>
    </row>
    <row r="24" customFormat="false" ht="15" hidden="false" customHeight="true" outlineLevel="0" collapsed="false">
      <c r="A24" s="25"/>
      <c r="B24" s="26"/>
      <c r="C24" s="26"/>
      <c r="D24" s="26"/>
      <c r="E24" s="27"/>
      <c r="F24" s="27"/>
      <c r="G24" s="27"/>
      <c r="H24" s="28"/>
      <c r="I24" s="27"/>
      <c r="J24" s="26"/>
      <c r="K24" s="26"/>
    </row>
    <row r="25" customFormat="false" ht="15" hidden="false" customHeight="true" outlineLevel="0" collapsed="false">
      <c r="A25" s="25"/>
      <c r="B25" s="26"/>
      <c r="C25" s="26"/>
      <c r="D25" s="26"/>
      <c r="E25" s="27"/>
      <c r="F25" s="27"/>
      <c r="G25" s="27"/>
      <c r="H25" s="28"/>
      <c r="I25" s="27"/>
      <c r="J25" s="26"/>
      <c r="K25" s="26"/>
    </row>
    <row r="26" customFormat="false" ht="15" hidden="false" customHeight="true" outlineLevel="0" collapsed="false">
      <c r="A26" s="25"/>
      <c r="B26" s="26"/>
      <c r="C26" s="26"/>
      <c r="D26" s="26"/>
      <c r="E26" s="27"/>
      <c r="F26" s="27"/>
      <c r="G26" s="27"/>
      <c r="H26" s="28"/>
      <c r="I26" s="27"/>
      <c r="J26" s="26"/>
      <c r="K26" s="26"/>
    </row>
    <row r="27" customFormat="false" ht="15" hidden="false" customHeight="true" outlineLevel="0" collapsed="false">
      <c r="A27" s="25"/>
      <c r="B27" s="26"/>
      <c r="C27" s="26"/>
      <c r="D27" s="26"/>
      <c r="E27" s="27"/>
      <c r="F27" s="27"/>
      <c r="G27" s="27"/>
      <c r="H27" s="28"/>
      <c r="I27" s="27"/>
      <c r="J27" s="26"/>
      <c r="K27" s="26"/>
    </row>
    <row r="28" customFormat="false" ht="15" hidden="false" customHeight="true" outlineLevel="0" collapsed="false">
      <c r="A28" s="25"/>
      <c r="B28" s="26"/>
      <c r="C28" s="26"/>
      <c r="D28" s="26"/>
      <c r="E28" s="27"/>
      <c r="F28" s="27"/>
      <c r="G28" s="27"/>
      <c r="H28" s="28"/>
      <c r="I28" s="27"/>
      <c r="J28" s="26"/>
      <c r="K28" s="26"/>
    </row>
    <row r="29" customFormat="false" ht="15" hidden="false" customHeight="true" outlineLevel="0" collapsed="false">
      <c r="A29" s="25"/>
      <c r="B29" s="26"/>
      <c r="C29" s="26"/>
      <c r="D29" s="26"/>
      <c r="E29" s="27"/>
      <c r="F29" s="27"/>
      <c r="G29" s="27"/>
      <c r="H29" s="28"/>
      <c r="I29" s="27"/>
      <c r="J29" s="26"/>
      <c r="K29" s="26"/>
    </row>
    <row r="30" customFormat="false" ht="15" hidden="false" customHeight="true" outlineLevel="0" collapsed="false">
      <c r="A30" s="25"/>
      <c r="B30" s="26"/>
      <c r="C30" s="26"/>
      <c r="D30" s="26"/>
      <c r="E30" s="27"/>
      <c r="F30" s="27"/>
      <c r="G30" s="27"/>
      <c r="H30" s="28"/>
      <c r="I30" s="27"/>
      <c r="J30" s="26"/>
      <c r="K30" s="26"/>
    </row>
    <row r="31" customFormat="false" ht="15" hidden="false" customHeight="true" outlineLevel="0" collapsed="false">
      <c r="A31" s="25"/>
      <c r="B31" s="26"/>
      <c r="C31" s="26"/>
      <c r="D31" s="26"/>
      <c r="E31" s="27"/>
      <c r="F31" s="27"/>
      <c r="G31" s="27"/>
      <c r="H31" s="28"/>
      <c r="I31" s="27"/>
      <c r="J31" s="26"/>
      <c r="K31" s="26"/>
    </row>
    <row r="32" customFormat="false" ht="15" hidden="false" customHeight="true" outlineLevel="0" collapsed="false">
      <c r="A32" s="25"/>
      <c r="B32" s="26"/>
      <c r="C32" s="26"/>
      <c r="D32" s="26"/>
      <c r="E32" s="27"/>
      <c r="F32" s="27"/>
      <c r="G32" s="27"/>
      <c r="H32" s="28"/>
      <c r="I32" s="27"/>
      <c r="J32" s="26"/>
      <c r="K32" s="26"/>
    </row>
    <row r="33" customFormat="false" ht="15" hidden="false" customHeight="true" outlineLevel="0" collapsed="false">
      <c r="A33" s="25"/>
      <c r="B33" s="26"/>
      <c r="C33" s="26"/>
      <c r="D33" s="26"/>
      <c r="E33" s="27"/>
      <c r="F33" s="27"/>
      <c r="G33" s="27"/>
      <c r="H33" s="28"/>
      <c r="I33" s="27"/>
      <c r="J33" s="26"/>
      <c r="K33" s="26"/>
    </row>
    <row r="34" customFormat="false" ht="15" hidden="false" customHeight="true" outlineLevel="0" collapsed="false">
      <c r="A34" s="25"/>
      <c r="B34" s="26"/>
      <c r="C34" s="26"/>
      <c r="D34" s="26"/>
      <c r="E34" s="27"/>
      <c r="F34" s="27"/>
      <c r="G34" s="27"/>
      <c r="H34" s="28"/>
      <c r="I34" s="27"/>
      <c r="J34" s="26"/>
      <c r="K34" s="26"/>
    </row>
    <row r="35" customFormat="false" ht="15" hidden="false" customHeight="true" outlineLevel="0" collapsed="false">
      <c r="A35" s="25"/>
      <c r="B35" s="26"/>
      <c r="C35" s="26"/>
      <c r="D35" s="26"/>
      <c r="E35" s="27"/>
      <c r="F35" s="27"/>
      <c r="G35" s="27"/>
      <c r="H35" s="28"/>
      <c r="I35" s="27"/>
      <c r="J35" s="26"/>
      <c r="K35" s="26"/>
    </row>
    <row r="36" customFormat="false" ht="15" hidden="false" customHeight="true" outlineLevel="0" collapsed="false">
      <c r="A36" s="25"/>
      <c r="B36" s="26"/>
      <c r="C36" s="26"/>
      <c r="D36" s="26"/>
      <c r="E36" s="27"/>
      <c r="F36" s="27"/>
      <c r="G36" s="27"/>
      <c r="H36" s="28"/>
      <c r="I36" s="27"/>
      <c r="J36" s="26"/>
      <c r="K36" s="26"/>
    </row>
    <row r="37" customFormat="false" ht="15" hidden="false" customHeight="true" outlineLevel="0" collapsed="false">
      <c r="A37" s="25"/>
      <c r="B37" s="26"/>
      <c r="C37" s="26"/>
      <c r="D37" s="26"/>
      <c r="E37" s="27"/>
      <c r="F37" s="27"/>
      <c r="G37" s="27"/>
      <c r="H37" s="28"/>
      <c r="I37" s="27"/>
      <c r="J37" s="26"/>
      <c r="K37" s="26"/>
    </row>
    <row r="38" customFormat="false" ht="15" hidden="false" customHeight="true" outlineLevel="0" collapsed="false">
      <c r="A38" s="25"/>
      <c r="B38" s="26"/>
      <c r="C38" s="26"/>
      <c r="D38" s="26"/>
      <c r="E38" s="27"/>
      <c r="F38" s="27"/>
      <c r="G38" s="27"/>
      <c r="H38" s="28"/>
      <c r="I38" s="27"/>
      <c r="J38" s="26"/>
      <c r="K38" s="26"/>
    </row>
    <row r="39" customFormat="false" ht="15" hidden="false" customHeight="true" outlineLevel="0" collapsed="false">
      <c r="A39" s="25"/>
      <c r="B39" s="26"/>
      <c r="C39" s="26"/>
      <c r="D39" s="26"/>
      <c r="E39" s="27"/>
      <c r="F39" s="27"/>
      <c r="G39" s="27"/>
      <c r="H39" s="28"/>
      <c r="I39" s="27"/>
      <c r="J39" s="26"/>
      <c r="K39" s="26"/>
    </row>
    <row r="40" customFormat="false" ht="15" hidden="false" customHeight="true" outlineLevel="0" collapsed="false">
      <c r="A40" s="25"/>
      <c r="B40" s="26"/>
      <c r="C40" s="26"/>
      <c r="D40" s="26"/>
      <c r="E40" s="27"/>
      <c r="F40" s="27"/>
      <c r="G40" s="27"/>
      <c r="H40" s="28"/>
      <c r="I40" s="27"/>
      <c r="J40" s="26"/>
      <c r="K40" s="26"/>
    </row>
    <row r="41" customFormat="false" ht="15" hidden="false" customHeight="true" outlineLevel="0" collapsed="false">
      <c r="A41" s="25"/>
      <c r="B41" s="26"/>
      <c r="C41" s="26"/>
      <c r="D41" s="26"/>
      <c r="E41" s="27"/>
      <c r="F41" s="27"/>
      <c r="G41" s="27"/>
      <c r="H41" s="28"/>
      <c r="I41" s="27"/>
      <c r="J41" s="26"/>
      <c r="K41" s="26"/>
    </row>
    <row r="42" customFormat="false" ht="15" hidden="false" customHeight="true" outlineLevel="0" collapsed="false">
      <c r="A42" s="25"/>
      <c r="B42" s="26"/>
      <c r="C42" s="26"/>
      <c r="D42" s="26"/>
      <c r="E42" s="27"/>
      <c r="F42" s="27"/>
      <c r="G42" s="27"/>
      <c r="H42" s="28"/>
      <c r="I42" s="27"/>
      <c r="J42" s="26"/>
      <c r="K42" s="26"/>
    </row>
    <row r="43" customFormat="false" ht="15" hidden="false" customHeight="true" outlineLevel="0" collapsed="false">
      <c r="A43" s="25"/>
      <c r="B43" s="26"/>
      <c r="C43" s="26"/>
      <c r="D43" s="26"/>
      <c r="E43" s="27"/>
      <c r="F43" s="27"/>
      <c r="G43" s="27"/>
      <c r="H43" s="28"/>
      <c r="I43" s="27"/>
      <c r="J43" s="26"/>
      <c r="K43" s="26"/>
    </row>
    <row r="44" customFormat="false" ht="15" hidden="false" customHeight="true" outlineLevel="0" collapsed="false">
      <c r="A44" s="25"/>
      <c r="B44" s="26"/>
      <c r="C44" s="26"/>
      <c r="D44" s="26"/>
      <c r="E44" s="27"/>
      <c r="F44" s="27"/>
      <c r="G44" s="27"/>
      <c r="H44" s="28"/>
      <c r="I44" s="27"/>
      <c r="J44" s="26"/>
      <c r="K44" s="26"/>
    </row>
    <row r="45" customFormat="false" ht="15" hidden="false" customHeight="true" outlineLevel="0" collapsed="false">
      <c r="A45" s="25"/>
      <c r="B45" s="26"/>
      <c r="C45" s="26"/>
      <c r="D45" s="26"/>
      <c r="E45" s="27"/>
      <c r="F45" s="27"/>
      <c r="G45" s="27"/>
      <c r="H45" s="28"/>
      <c r="I45" s="27"/>
      <c r="J45" s="26"/>
      <c r="K45" s="26"/>
    </row>
    <row r="46" customFormat="false" ht="15" hidden="false" customHeight="true" outlineLevel="0" collapsed="false">
      <c r="A46" s="25"/>
      <c r="B46" s="26"/>
      <c r="C46" s="26"/>
      <c r="D46" s="26"/>
      <c r="E46" s="27"/>
      <c r="F46" s="27"/>
      <c r="G46" s="27"/>
      <c r="H46" s="28"/>
      <c r="I46" s="27"/>
      <c r="J46" s="26"/>
      <c r="K46" s="26"/>
    </row>
    <row r="47" customFormat="false" ht="15" hidden="false" customHeight="true" outlineLevel="0" collapsed="false">
      <c r="A47" s="25"/>
      <c r="B47" s="26"/>
      <c r="C47" s="26"/>
      <c r="D47" s="26"/>
      <c r="E47" s="27"/>
      <c r="F47" s="27"/>
      <c r="G47" s="27"/>
      <c r="H47" s="28"/>
      <c r="I47" s="27"/>
      <c r="J47" s="26"/>
      <c r="K47" s="26"/>
    </row>
    <row r="48" customFormat="false" ht="15" hidden="false" customHeight="true" outlineLevel="0" collapsed="false">
      <c r="A48" s="25"/>
      <c r="B48" s="26"/>
      <c r="C48" s="26"/>
      <c r="D48" s="26"/>
      <c r="E48" s="27"/>
      <c r="F48" s="27"/>
      <c r="G48" s="27"/>
      <c r="H48" s="28"/>
      <c r="I48" s="27"/>
      <c r="J48" s="26"/>
      <c r="K48" s="26"/>
    </row>
    <row r="49" customFormat="false" ht="15" hidden="false" customHeight="true" outlineLevel="0" collapsed="false">
      <c r="A49" s="25"/>
      <c r="B49" s="26"/>
      <c r="C49" s="26"/>
      <c r="D49" s="26"/>
      <c r="E49" s="27"/>
      <c r="F49" s="27"/>
      <c r="G49" s="27"/>
      <c r="H49" s="28"/>
      <c r="I49" s="27"/>
      <c r="J49" s="26"/>
      <c r="K49" s="26"/>
    </row>
    <row r="50" customFormat="false" ht="15" hidden="false" customHeight="true" outlineLevel="0" collapsed="false">
      <c r="A50" s="25"/>
      <c r="B50" s="26"/>
      <c r="C50" s="26"/>
      <c r="D50" s="26"/>
      <c r="E50" s="27"/>
      <c r="F50" s="27"/>
      <c r="G50" s="27"/>
      <c r="H50" s="28"/>
      <c r="I50" s="27"/>
      <c r="J50" s="26"/>
      <c r="K50" s="26"/>
    </row>
    <row r="51" customFormat="false" ht="15" hidden="false" customHeight="true" outlineLevel="0" collapsed="false">
      <c r="A51" s="25"/>
      <c r="B51" s="26"/>
      <c r="C51" s="26"/>
      <c r="D51" s="26"/>
      <c r="E51" s="27"/>
      <c r="F51" s="27"/>
      <c r="G51" s="27"/>
      <c r="H51" s="28"/>
      <c r="I51" s="27"/>
      <c r="J51" s="26"/>
      <c r="K51" s="26"/>
    </row>
    <row r="52" customFormat="false" ht="15" hidden="false" customHeight="true" outlineLevel="0" collapsed="false">
      <c r="A52" s="25"/>
      <c r="B52" s="26"/>
      <c r="C52" s="26"/>
      <c r="D52" s="26"/>
      <c r="E52" s="27"/>
      <c r="F52" s="27"/>
      <c r="G52" s="27"/>
      <c r="H52" s="28"/>
      <c r="I52" s="27"/>
      <c r="J52" s="26"/>
      <c r="K52" s="26"/>
    </row>
    <row r="53" customFormat="false" ht="15" hidden="false" customHeight="true" outlineLevel="0" collapsed="false">
      <c r="A53" s="25"/>
      <c r="B53" s="26"/>
      <c r="C53" s="26"/>
      <c r="D53" s="26"/>
      <c r="E53" s="27"/>
      <c r="F53" s="27"/>
      <c r="G53" s="27"/>
      <c r="H53" s="28"/>
      <c r="I53" s="27"/>
      <c r="J53" s="26"/>
      <c r="K53" s="26"/>
    </row>
    <row r="54" customFormat="false" ht="15" hidden="false" customHeight="true" outlineLevel="0" collapsed="false">
      <c r="A54" s="25"/>
      <c r="B54" s="26"/>
      <c r="C54" s="26"/>
      <c r="D54" s="26"/>
      <c r="E54" s="27"/>
      <c r="F54" s="27"/>
      <c r="G54" s="27"/>
      <c r="H54" s="28"/>
      <c r="I54" s="27"/>
      <c r="J54" s="26"/>
      <c r="K54" s="26"/>
    </row>
    <row r="55" customFormat="false" ht="15" hidden="false" customHeight="true" outlineLevel="0" collapsed="false">
      <c r="A55" s="25"/>
      <c r="B55" s="26"/>
      <c r="C55" s="26"/>
      <c r="D55" s="26"/>
      <c r="E55" s="27"/>
      <c r="F55" s="27"/>
      <c r="G55" s="27"/>
      <c r="H55" s="28"/>
      <c r="I55" s="27"/>
      <c r="J55" s="26"/>
      <c r="K55" s="26"/>
    </row>
    <row r="56" customFormat="false" ht="15" hidden="false" customHeight="true" outlineLevel="0" collapsed="false">
      <c r="A56" s="25"/>
      <c r="B56" s="26"/>
      <c r="C56" s="26"/>
      <c r="D56" s="26"/>
      <c r="E56" s="27"/>
      <c r="F56" s="27"/>
      <c r="G56" s="27"/>
      <c r="H56" s="28"/>
      <c r="I56" s="27"/>
      <c r="J56" s="26"/>
      <c r="K56" s="26"/>
    </row>
    <row r="57" customFormat="false" ht="15" hidden="false" customHeight="true" outlineLevel="0" collapsed="false">
      <c r="A57" s="25"/>
      <c r="B57" s="26"/>
      <c r="C57" s="26"/>
      <c r="D57" s="26"/>
      <c r="E57" s="27"/>
      <c r="F57" s="27"/>
      <c r="G57" s="27"/>
      <c r="H57" s="28"/>
      <c r="I57" s="27"/>
      <c r="J57" s="26"/>
      <c r="K57" s="26"/>
    </row>
    <row r="58" customFormat="false" ht="15" hidden="false" customHeight="true" outlineLevel="0" collapsed="false">
      <c r="A58" s="25"/>
      <c r="B58" s="26"/>
      <c r="C58" s="26"/>
      <c r="D58" s="26"/>
      <c r="E58" s="27"/>
      <c r="F58" s="27"/>
      <c r="G58" s="27"/>
      <c r="H58" s="28"/>
      <c r="I58" s="27"/>
      <c r="J58" s="26"/>
      <c r="K58" s="26"/>
    </row>
    <row r="59" customFormat="false" ht="15" hidden="false" customHeight="true" outlineLevel="0" collapsed="false">
      <c r="A59" s="25"/>
      <c r="B59" s="26"/>
      <c r="C59" s="26"/>
      <c r="D59" s="26"/>
      <c r="E59" s="27"/>
      <c r="F59" s="27"/>
      <c r="G59" s="27"/>
      <c r="H59" s="28"/>
      <c r="I59" s="27"/>
      <c r="J59" s="26"/>
      <c r="K59" s="26"/>
    </row>
    <row r="60" customFormat="false" ht="15" hidden="false" customHeight="true" outlineLevel="0" collapsed="false">
      <c r="A60" s="25"/>
      <c r="B60" s="26"/>
      <c r="C60" s="26"/>
      <c r="D60" s="26"/>
      <c r="E60" s="27"/>
      <c r="F60" s="27"/>
      <c r="G60" s="27"/>
      <c r="H60" s="28"/>
      <c r="I60" s="27"/>
      <c r="J60" s="26"/>
      <c r="K60" s="26"/>
    </row>
    <row r="61" customFormat="false" ht="15" hidden="false" customHeight="true" outlineLevel="0" collapsed="false">
      <c r="A61" s="25"/>
      <c r="B61" s="26"/>
      <c r="C61" s="26"/>
      <c r="D61" s="26"/>
      <c r="E61" s="27"/>
      <c r="F61" s="27"/>
      <c r="G61" s="27"/>
      <c r="H61" s="28"/>
      <c r="I61" s="27"/>
      <c r="J61" s="26"/>
      <c r="K61" s="26"/>
    </row>
    <row r="62" customFormat="false" ht="15" hidden="false" customHeight="true" outlineLevel="0" collapsed="false">
      <c r="A62" s="25"/>
      <c r="B62" s="26"/>
      <c r="C62" s="26"/>
      <c r="D62" s="26"/>
      <c r="E62" s="27"/>
      <c r="F62" s="27"/>
      <c r="G62" s="27"/>
      <c r="H62" s="28"/>
      <c r="I62" s="27"/>
      <c r="J62" s="26"/>
      <c r="K62" s="26"/>
    </row>
    <row r="63" customFormat="false" ht="15" hidden="false" customHeight="true" outlineLevel="0" collapsed="false">
      <c r="A63" s="25"/>
      <c r="B63" s="26"/>
      <c r="C63" s="26"/>
      <c r="D63" s="26"/>
      <c r="E63" s="27"/>
      <c r="F63" s="27"/>
      <c r="G63" s="27"/>
      <c r="H63" s="28"/>
      <c r="I63" s="27"/>
      <c r="J63" s="26"/>
      <c r="K63" s="26"/>
    </row>
    <row r="64" customFormat="false" ht="15" hidden="false" customHeight="true" outlineLevel="0" collapsed="false">
      <c r="A64" s="25"/>
      <c r="B64" s="26"/>
      <c r="C64" s="26"/>
      <c r="D64" s="26"/>
      <c r="E64" s="27"/>
      <c r="F64" s="27"/>
      <c r="G64" s="27"/>
      <c r="H64" s="28"/>
      <c r="I64" s="27"/>
      <c r="J64" s="26"/>
      <c r="K64" s="26"/>
    </row>
    <row r="65" customFormat="false" ht="15" hidden="false" customHeight="true" outlineLevel="0" collapsed="false">
      <c r="A65" s="25"/>
      <c r="B65" s="26"/>
      <c r="C65" s="26"/>
      <c r="D65" s="26"/>
      <c r="E65" s="27"/>
      <c r="F65" s="27"/>
      <c r="G65" s="27"/>
      <c r="H65" s="28"/>
      <c r="I65" s="27"/>
      <c r="J65" s="26"/>
      <c r="K65" s="26"/>
    </row>
    <row r="66" customFormat="false" ht="15" hidden="false" customHeight="true" outlineLevel="0" collapsed="false">
      <c r="A66" s="25"/>
      <c r="B66" s="26"/>
      <c r="C66" s="26"/>
      <c r="D66" s="26"/>
      <c r="E66" s="27"/>
      <c r="F66" s="27"/>
      <c r="G66" s="27"/>
      <c r="H66" s="28"/>
      <c r="I66" s="27"/>
      <c r="J66" s="26"/>
      <c r="K66" s="26"/>
    </row>
    <row r="67" customFormat="false" ht="15" hidden="false" customHeight="true" outlineLevel="0" collapsed="false">
      <c r="A67" s="25"/>
      <c r="B67" s="26"/>
      <c r="C67" s="26"/>
      <c r="D67" s="26"/>
      <c r="E67" s="27"/>
      <c r="F67" s="27"/>
      <c r="G67" s="27"/>
      <c r="H67" s="28"/>
      <c r="I67" s="27"/>
      <c r="J67" s="26"/>
      <c r="K67" s="26"/>
    </row>
    <row r="68" customFormat="false" ht="15" hidden="false" customHeight="true" outlineLevel="0" collapsed="false">
      <c r="A68" s="25"/>
      <c r="B68" s="26"/>
      <c r="C68" s="26"/>
      <c r="D68" s="26"/>
      <c r="E68" s="27"/>
      <c r="F68" s="27"/>
      <c r="G68" s="27"/>
      <c r="H68" s="28"/>
      <c r="I68" s="27"/>
      <c r="J68" s="26"/>
      <c r="K68" s="26"/>
    </row>
    <row r="69" customFormat="false" ht="15" hidden="false" customHeight="true" outlineLevel="0" collapsed="false">
      <c r="A69" s="25"/>
      <c r="B69" s="26"/>
      <c r="C69" s="26"/>
      <c r="D69" s="26"/>
      <c r="E69" s="27"/>
      <c r="F69" s="27"/>
      <c r="G69" s="27"/>
      <c r="H69" s="28"/>
      <c r="I69" s="27"/>
      <c r="J69" s="26"/>
      <c r="K69" s="26"/>
    </row>
    <row r="70" customFormat="false" ht="15" hidden="false" customHeight="true" outlineLevel="0" collapsed="false">
      <c r="A70" s="25"/>
      <c r="B70" s="26"/>
      <c r="C70" s="26"/>
      <c r="D70" s="26"/>
      <c r="E70" s="27"/>
      <c r="F70" s="27"/>
      <c r="G70" s="27"/>
      <c r="H70" s="28"/>
      <c r="I70" s="27"/>
      <c r="J70" s="26"/>
      <c r="K70" s="26"/>
    </row>
    <row r="71" customFormat="false" ht="15" hidden="false" customHeight="true" outlineLevel="0" collapsed="false">
      <c r="A71" s="25"/>
      <c r="B71" s="26"/>
      <c r="C71" s="26"/>
      <c r="D71" s="26"/>
      <c r="E71" s="27"/>
      <c r="F71" s="27"/>
      <c r="G71" s="27"/>
      <c r="H71" s="28"/>
      <c r="I71" s="27"/>
      <c r="J71" s="26"/>
      <c r="K71" s="26"/>
    </row>
    <row r="72" customFormat="false" ht="15" hidden="false" customHeight="true" outlineLevel="0" collapsed="false">
      <c r="A72" s="25"/>
      <c r="B72" s="26"/>
      <c r="C72" s="26"/>
      <c r="D72" s="26"/>
      <c r="E72" s="27"/>
      <c r="F72" s="27"/>
      <c r="G72" s="27"/>
      <c r="H72" s="28"/>
      <c r="I72" s="27"/>
      <c r="J72" s="26"/>
      <c r="K72" s="26"/>
    </row>
    <row r="73" customFormat="false" ht="15" hidden="false" customHeight="true" outlineLevel="0" collapsed="false">
      <c r="A73" s="25"/>
      <c r="B73" s="26"/>
      <c r="C73" s="26"/>
      <c r="D73" s="26"/>
      <c r="E73" s="27"/>
      <c r="F73" s="27"/>
      <c r="G73" s="27"/>
      <c r="H73" s="28"/>
      <c r="I73" s="27"/>
      <c r="J73" s="26"/>
      <c r="K73" s="26"/>
    </row>
    <row r="74" customFormat="false" ht="15" hidden="false" customHeight="true" outlineLevel="0" collapsed="false">
      <c r="A74" s="25"/>
      <c r="B74" s="26"/>
      <c r="C74" s="26"/>
      <c r="D74" s="26"/>
      <c r="E74" s="27"/>
      <c r="F74" s="27"/>
      <c r="G74" s="27"/>
      <c r="H74" s="28"/>
      <c r="I74" s="27"/>
      <c r="J74" s="26"/>
      <c r="K74" s="26"/>
    </row>
    <row r="75" customFormat="false" ht="15" hidden="false" customHeight="true" outlineLevel="0" collapsed="false">
      <c r="A75" s="25"/>
      <c r="B75" s="26"/>
      <c r="C75" s="26"/>
      <c r="D75" s="26"/>
      <c r="E75" s="27"/>
      <c r="F75" s="27"/>
      <c r="G75" s="27"/>
      <c r="H75" s="28"/>
      <c r="I75" s="27"/>
      <c r="J75" s="26"/>
      <c r="K75" s="26"/>
    </row>
    <row r="76" customFormat="false" ht="15" hidden="false" customHeight="true" outlineLevel="0" collapsed="false">
      <c r="A76" s="25"/>
      <c r="B76" s="26"/>
      <c r="C76" s="26"/>
      <c r="D76" s="26"/>
      <c r="E76" s="27"/>
      <c r="F76" s="27"/>
      <c r="G76" s="27"/>
      <c r="H76" s="28"/>
      <c r="I76" s="27"/>
      <c r="J76" s="26"/>
      <c r="K76" s="26"/>
    </row>
    <row r="77" customFormat="false" ht="15" hidden="false" customHeight="true" outlineLevel="0" collapsed="false">
      <c r="A77" s="25"/>
      <c r="B77" s="26"/>
      <c r="C77" s="26"/>
      <c r="D77" s="26"/>
      <c r="E77" s="27"/>
      <c r="F77" s="27"/>
      <c r="G77" s="27"/>
      <c r="H77" s="28"/>
      <c r="I77" s="27"/>
      <c r="J77" s="26"/>
      <c r="K77" s="26"/>
    </row>
    <row r="78" customFormat="false" ht="15" hidden="false" customHeight="true" outlineLevel="0" collapsed="false">
      <c r="A78" s="25"/>
      <c r="B78" s="26"/>
      <c r="C78" s="26"/>
      <c r="D78" s="26"/>
      <c r="E78" s="27"/>
      <c r="F78" s="27"/>
      <c r="G78" s="27"/>
      <c r="H78" s="28"/>
      <c r="I78" s="27"/>
      <c r="J78" s="26"/>
      <c r="K78" s="26"/>
    </row>
    <row r="79" customFormat="false" ht="15" hidden="false" customHeight="true" outlineLevel="0" collapsed="false">
      <c r="A79" s="25"/>
      <c r="B79" s="26"/>
      <c r="C79" s="26"/>
      <c r="D79" s="26"/>
      <c r="E79" s="27"/>
      <c r="F79" s="27"/>
      <c r="G79" s="27"/>
      <c r="H79" s="28"/>
      <c r="I79" s="27"/>
      <c r="J79" s="26"/>
      <c r="K79" s="26"/>
    </row>
    <row r="80" customFormat="false" ht="15" hidden="false" customHeight="true" outlineLevel="0" collapsed="false">
      <c r="A80" s="25"/>
      <c r="B80" s="26"/>
      <c r="C80" s="26"/>
      <c r="D80" s="26"/>
      <c r="E80" s="27"/>
      <c r="F80" s="27"/>
      <c r="G80" s="27"/>
      <c r="H80" s="28"/>
      <c r="I80" s="27"/>
      <c r="J80" s="26"/>
      <c r="K80" s="26"/>
    </row>
    <row r="81" customFormat="false" ht="15" hidden="false" customHeight="true" outlineLevel="0" collapsed="false">
      <c r="A81" s="25"/>
      <c r="B81" s="26"/>
      <c r="C81" s="26"/>
      <c r="D81" s="26"/>
      <c r="E81" s="27"/>
      <c r="F81" s="27"/>
      <c r="G81" s="27"/>
      <c r="H81" s="28"/>
      <c r="I81" s="27"/>
      <c r="J81" s="26"/>
      <c r="K81" s="26"/>
    </row>
    <row r="82" customFormat="false" ht="15" hidden="false" customHeight="true" outlineLevel="0" collapsed="false">
      <c r="A82" s="25"/>
      <c r="B82" s="26"/>
      <c r="C82" s="26"/>
      <c r="D82" s="26"/>
      <c r="E82" s="27"/>
      <c r="F82" s="27"/>
      <c r="G82" s="27"/>
      <c r="H82" s="28"/>
      <c r="I82" s="27"/>
      <c r="J82" s="26"/>
      <c r="K82" s="26"/>
    </row>
    <row r="83" customFormat="false" ht="15" hidden="false" customHeight="true" outlineLevel="0" collapsed="false">
      <c r="A83" s="25"/>
      <c r="B83" s="26"/>
      <c r="C83" s="26"/>
      <c r="D83" s="26"/>
      <c r="E83" s="27"/>
      <c r="F83" s="27"/>
      <c r="G83" s="27"/>
      <c r="H83" s="28"/>
      <c r="I83" s="27"/>
      <c r="J83" s="26"/>
      <c r="K83" s="26"/>
    </row>
    <row r="84" customFormat="false" ht="15" hidden="false" customHeight="true" outlineLevel="0" collapsed="false">
      <c r="A84" s="25"/>
      <c r="B84" s="26"/>
      <c r="C84" s="26"/>
      <c r="D84" s="26"/>
      <c r="E84" s="27"/>
      <c r="F84" s="27"/>
      <c r="G84" s="27"/>
      <c r="H84" s="28"/>
      <c r="I84" s="27"/>
      <c r="J84" s="26"/>
      <c r="K84" s="26"/>
    </row>
    <row r="85" customFormat="false" ht="15" hidden="false" customHeight="true" outlineLevel="0" collapsed="false">
      <c r="A85" s="25"/>
      <c r="B85" s="26"/>
      <c r="C85" s="26"/>
      <c r="D85" s="26"/>
      <c r="E85" s="27"/>
      <c r="F85" s="27"/>
      <c r="G85" s="27"/>
      <c r="H85" s="28"/>
      <c r="I85" s="27"/>
      <c r="J85" s="26"/>
      <c r="K85" s="26"/>
    </row>
    <row r="86" customFormat="false" ht="15" hidden="false" customHeight="true" outlineLevel="0" collapsed="false">
      <c r="A86" s="25"/>
      <c r="B86" s="26"/>
      <c r="C86" s="26"/>
      <c r="D86" s="26"/>
      <c r="E86" s="27"/>
      <c r="F86" s="27"/>
      <c r="G86" s="27"/>
      <c r="H86" s="28"/>
      <c r="I86" s="27"/>
      <c r="J86" s="26"/>
      <c r="K86" s="26"/>
    </row>
    <row r="87" customFormat="false" ht="15" hidden="false" customHeight="true" outlineLevel="0" collapsed="false">
      <c r="A87" s="25"/>
      <c r="B87" s="26"/>
      <c r="C87" s="26"/>
      <c r="D87" s="26"/>
      <c r="E87" s="27"/>
      <c r="F87" s="27"/>
      <c r="G87" s="27"/>
      <c r="H87" s="28"/>
      <c r="I87" s="27"/>
      <c r="J87" s="26"/>
      <c r="K87" s="26"/>
    </row>
    <row r="88" customFormat="false" ht="15" hidden="false" customHeight="true" outlineLevel="0" collapsed="false">
      <c r="A88" s="25"/>
      <c r="B88" s="26"/>
      <c r="C88" s="26"/>
      <c r="D88" s="26"/>
      <c r="E88" s="27"/>
      <c r="F88" s="27"/>
      <c r="G88" s="27"/>
      <c r="H88" s="28"/>
      <c r="I88" s="27"/>
      <c r="J88" s="26"/>
      <c r="K88" s="26"/>
    </row>
    <row r="89" customFormat="false" ht="15" hidden="false" customHeight="true" outlineLevel="0" collapsed="false">
      <c r="A89" s="25"/>
      <c r="B89" s="26"/>
      <c r="C89" s="26"/>
      <c r="D89" s="26"/>
      <c r="E89" s="27"/>
      <c r="F89" s="27"/>
      <c r="G89" s="27"/>
      <c r="H89" s="28"/>
      <c r="I89" s="27"/>
      <c r="J89" s="26"/>
      <c r="K89" s="26"/>
    </row>
    <row r="90" customFormat="false" ht="15" hidden="false" customHeight="true" outlineLevel="0" collapsed="false">
      <c r="A90" s="25"/>
      <c r="B90" s="26"/>
      <c r="C90" s="26"/>
      <c r="D90" s="26"/>
      <c r="E90" s="27"/>
      <c r="F90" s="27"/>
      <c r="G90" s="27"/>
      <c r="H90" s="28"/>
      <c r="I90" s="27"/>
      <c r="J90" s="26"/>
      <c r="K90" s="26"/>
    </row>
    <row r="91" customFormat="false" ht="15" hidden="false" customHeight="true" outlineLevel="0" collapsed="false">
      <c r="A91" s="25"/>
      <c r="B91" s="26"/>
      <c r="C91" s="26"/>
      <c r="D91" s="26"/>
      <c r="E91" s="27"/>
      <c r="F91" s="27"/>
      <c r="G91" s="27"/>
      <c r="H91" s="28"/>
      <c r="I91" s="27"/>
      <c r="J91" s="26"/>
      <c r="K91" s="26"/>
    </row>
    <row r="92" customFormat="false" ht="15" hidden="false" customHeight="true" outlineLevel="0" collapsed="false">
      <c r="A92" s="25"/>
      <c r="B92" s="26"/>
      <c r="C92" s="26"/>
      <c r="D92" s="26"/>
      <c r="E92" s="27"/>
      <c r="F92" s="27"/>
      <c r="G92" s="27"/>
      <c r="H92" s="28"/>
      <c r="I92" s="27"/>
      <c r="J92" s="26"/>
      <c r="K92" s="26"/>
    </row>
    <row r="93" customFormat="false" ht="15" hidden="false" customHeight="true" outlineLevel="0" collapsed="false">
      <c r="A93" s="25"/>
      <c r="B93" s="26"/>
      <c r="C93" s="26"/>
      <c r="D93" s="26"/>
      <c r="E93" s="27"/>
      <c r="F93" s="27"/>
      <c r="G93" s="27"/>
      <c r="H93" s="28"/>
      <c r="I93" s="27"/>
      <c r="J93" s="26"/>
      <c r="K93" s="26"/>
    </row>
    <row r="94" customFormat="false" ht="15" hidden="false" customHeight="true" outlineLevel="0" collapsed="false">
      <c r="A94" s="25"/>
      <c r="B94" s="26"/>
      <c r="C94" s="26"/>
      <c r="D94" s="26"/>
      <c r="E94" s="27"/>
      <c r="F94" s="27"/>
      <c r="G94" s="27"/>
      <c r="H94" s="28"/>
      <c r="I94" s="27"/>
      <c r="J94" s="26"/>
      <c r="K94" s="26"/>
    </row>
    <row r="95" customFormat="false" ht="15" hidden="false" customHeight="true" outlineLevel="0" collapsed="false">
      <c r="A95" s="25"/>
      <c r="B95" s="26"/>
      <c r="C95" s="26"/>
      <c r="D95" s="26"/>
      <c r="E95" s="27"/>
      <c r="F95" s="27"/>
      <c r="G95" s="27"/>
      <c r="H95" s="28"/>
      <c r="I95" s="27"/>
      <c r="J95" s="26"/>
      <c r="K95" s="26"/>
    </row>
    <row r="96" customFormat="false" ht="15" hidden="false" customHeight="true" outlineLevel="0" collapsed="false">
      <c r="A96" s="25"/>
      <c r="B96" s="26"/>
      <c r="C96" s="26"/>
      <c r="D96" s="26"/>
      <c r="E96" s="27"/>
      <c r="F96" s="27"/>
      <c r="G96" s="27"/>
      <c r="H96" s="28"/>
      <c r="I96" s="27"/>
      <c r="J96" s="26"/>
      <c r="K96" s="26"/>
    </row>
    <row r="97" customFormat="false" ht="15" hidden="false" customHeight="true" outlineLevel="0" collapsed="false">
      <c r="A97" s="25"/>
      <c r="B97" s="26"/>
      <c r="C97" s="26"/>
      <c r="D97" s="26"/>
      <c r="E97" s="27"/>
      <c r="F97" s="27"/>
      <c r="G97" s="27"/>
      <c r="H97" s="28"/>
      <c r="I97" s="27"/>
      <c r="J97" s="26"/>
      <c r="K97" s="26"/>
    </row>
    <row r="98" customFormat="false" ht="15" hidden="false" customHeight="true" outlineLevel="0" collapsed="false">
      <c r="A98" s="25"/>
      <c r="B98" s="26"/>
      <c r="C98" s="26"/>
      <c r="D98" s="26"/>
      <c r="E98" s="27"/>
      <c r="F98" s="27"/>
      <c r="G98" s="27"/>
      <c r="H98" s="28"/>
      <c r="I98" s="27"/>
      <c r="J98" s="26"/>
      <c r="K98" s="26"/>
    </row>
    <row r="99" customFormat="false" ht="15" hidden="false" customHeight="true" outlineLevel="0" collapsed="false">
      <c r="A99" s="25"/>
      <c r="B99" s="26"/>
      <c r="C99" s="26"/>
      <c r="D99" s="26"/>
      <c r="E99" s="27"/>
      <c r="F99" s="27"/>
      <c r="G99" s="27"/>
      <c r="H99" s="28"/>
      <c r="I99" s="27"/>
      <c r="J99" s="26"/>
      <c r="K99" s="26"/>
    </row>
    <row r="100" customFormat="false" ht="15" hidden="false" customHeight="true" outlineLevel="0" collapsed="false">
      <c r="A100" s="25"/>
      <c r="B100" s="26"/>
      <c r="C100" s="26"/>
      <c r="D100" s="26"/>
      <c r="E100" s="27"/>
      <c r="F100" s="27"/>
      <c r="G100" s="27"/>
      <c r="H100" s="28"/>
      <c r="I100" s="27"/>
      <c r="J100" s="26"/>
      <c r="K100" s="26"/>
    </row>
    <row r="101" customFormat="false" ht="15" hidden="false" customHeight="true" outlineLevel="0" collapsed="false">
      <c r="A101" s="25"/>
      <c r="B101" s="26"/>
      <c r="C101" s="26"/>
      <c r="D101" s="26"/>
      <c r="E101" s="27"/>
      <c r="F101" s="27"/>
      <c r="G101" s="27"/>
      <c r="H101" s="28"/>
      <c r="I101" s="27"/>
      <c r="J101" s="26"/>
      <c r="K101" s="26"/>
    </row>
    <row r="102" customFormat="false" ht="15" hidden="false" customHeight="true" outlineLevel="0" collapsed="false">
      <c r="A102" s="25"/>
      <c r="B102" s="26"/>
      <c r="C102" s="26"/>
      <c r="D102" s="26"/>
      <c r="E102" s="27"/>
      <c r="F102" s="27"/>
      <c r="G102" s="27"/>
      <c r="H102" s="28"/>
      <c r="I102" s="27"/>
      <c r="J102" s="26"/>
      <c r="K102" s="26"/>
    </row>
    <row r="103" customFormat="false" ht="15" hidden="false" customHeight="true" outlineLevel="0" collapsed="false">
      <c r="A103" s="25"/>
      <c r="B103" s="26"/>
      <c r="C103" s="26"/>
      <c r="D103" s="26"/>
      <c r="E103" s="27"/>
      <c r="F103" s="27"/>
      <c r="G103" s="27"/>
      <c r="H103" s="28"/>
      <c r="I103" s="27"/>
      <c r="J103" s="26"/>
      <c r="K103" s="26"/>
    </row>
    <row r="104" customFormat="false" ht="15" hidden="false" customHeight="true" outlineLevel="0" collapsed="false">
      <c r="A104" s="25"/>
      <c r="B104" s="26"/>
      <c r="C104" s="26"/>
      <c r="D104" s="26"/>
      <c r="E104" s="27"/>
      <c r="F104" s="27"/>
      <c r="G104" s="27"/>
      <c r="H104" s="28"/>
      <c r="I104" s="27"/>
      <c r="J104" s="26"/>
      <c r="K104" s="26"/>
    </row>
    <row r="105" customFormat="false" ht="15" hidden="false" customHeight="true" outlineLevel="0" collapsed="false">
      <c r="A105" s="25"/>
      <c r="B105" s="26"/>
      <c r="C105" s="26"/>
      <c r="D105" s="26"/>
      <c r="E105" s="27"/>
      <c r="F105" s="27"/>
      <c r="G105" s="27"/>
      <c r="H105" s="28"/>
      <c r="I105" s="27"/>
      <c r="J105" s="26"/>
      <c r="K105" s="26"/>
    </row>
    <row r="106" customFormat="false" ht="15" hidden="false" customHeight="true" outlineLevel="0" collapsed="false">
      <c r="A106" s="25"/>
      <c r="B106" s="26"/>
      <c r="C106" s="26"/>
      <c r="D106" s="26"/>
      <c r="E106" s="27"/>
      <c r="F106" s="27"/>
      <c r="G106" s="27"/>
      <c r="H106" s="28"/>
      <c r="I106" s="27"/>
      <c r="J106" s="26"/>
      <c r="K106" s="26"/>
    </row>
    <row r="107" customFormat="false" ht="15" hidden="false" customHeight="true" outlineLevel="0" collapsed="false">
      <c r="A107" s="25"/>
      <c r="B107" s="26"/>
      <c r="C107" s="26"/>
      <c r="D107" s="26"/>
      <c r="E107" s="27"/>
      <c r="F107" s="27"/>
      <c r="G107" s="27"/>
      <c r="H107" s="28"/>
      <c r="I107" s="27"/>
      <c r="J107" s="26"/>
      <c r="K107" s="26"/>
    </row>
    <row r="108" customFormat="false" ht="15" hidden="false" customHeight="true" outlineLevel="0" collapsed="false">
      <c r="A108" s="25"/>
      <c r="B108" s="26"/>
      <c r="C108" s="26"/>
      <c r="D108" s="26"/>
      <c r="E108" s="27"/>
      <c r="F108" s="27"/>
      <c r="G108" s="27"/>
      <c r="H108" s="28"/>
      <c r="I108" s="27"/>
      <c r="J108" s="26"/>
      <c r="K108" s="26"/>
    </row>
    <row r="109" customFormat="false" ht="15" hidden="false" customHeight="true" outlineLevel="0" collapsed="false">
      <c r="A109" s="25"/>
      <c r="B109" s="26"/>
      <c r="C109" s="26"/>
      <c r="D109" s="26"/>
      <c r="E109" s="27"/>
      <c r="F109" s="27"/>
      <c r="G109" s="27"/>
      <c r="H109" s="28"/>
      <c r="I109" s="27"/>
      <c r="J109" s="26"/>
      <c r="K109" s="26"/>
    </row>
    <row r="110" customFormat="false" ht="15" hidden="false" customHeight="true" outlineLevel="0" collapsed="false">
      <c r="A110" s="25"/>
      <c r="B110" s="26"/>
      <c r="C110" s="26"/>
      <c r="D110" s="26"/>
      <c r="E110" s="27"/>
      <c r="F110" s="27"/>
      <c r="G110" s="27"/>
      <c r="H110" s="28"/>
      <c r="I110" s="27"/>
      <c r="J110" s="26"/>
      <c r="K110" s="26"/>
    </row>
    <row r="111" customFormat="false" ht="15" hidden="false" customHeight="true" outlineLevel="0" collapsed="false">
      <c r="A111" s="25"/>
      <c r="B111" s="26"/>
      <c r="C111" s="26"/>
      <c r="D111" s="26"/>
      <c r="E111" s="27"/>
      <c r="F111" s="27"/>
      <c r="G111" s="27"/>
      <c r="H111" s="28"/>
      <c r="I111" s="27"/>
      <c r="J111" s="26"/>
      <c r="K111" s="26"/>
    </row>
    <row r="112" customFormat="false" ht="15" hidden="false" customHeight="true" outlineLevel="0" collapsed="false">
      <c r="A112" s="25"/>
      <c r="B112" s="26"/>
      <c r="C112" s="26"/>
      <c r="D112" s="26"/>
      <c r="E112" s="27"/>
      <c r="F112" s="27"/>
      <c r="G112" s="27"/>
      <c r="H112" s="28"/>
      <c r="I112" s="27"/>
      <c r="J112" s="26"/>
      <c r="K112" s="26"/>
    </row>
    <row r="113" customFormat="false" ht="15" hidden="false" customHeight="true" outlineLevel="0" collapsed="false">
      <c r="A113" s="25"/>
      <c r="B113" s="26"/>
      <c r="C113" s="26"/>
      <c r="D113" s="26"/>
      <c r="E113" s="27"/>
      <c r="F113" s="27"/>
      <c r="G113" s="27"/>
      <c r="H113" s="28"/>
      <c r="I113" s="27"/>
      <c r="J113" s="26"/>
      <c r="K113" s="26"/>
    </row>
    <row r="114" customFormat="false" ht="15" hidden="false" customHeight="true" outlineLevel="0" collapsed="false">
      <c r="A114" s="25"/>
      <c r="B114" s="26"/>
      <c r="C114" s="26"/>
      <c r="D114" s="26"/>
      <c r="E114" s="27"/>
      <c r="F114" s="27"/>
      <c r="G114" s="27"/>
      <c r="H114" s="28"/>
      <c r="I114" s="27"/>
      <c r="J114" s="26"/>
      <c r="K114" s="26"/>
    </row>
    <row r="115" customFormat="false" ht="15" hidden="false" customHeight="true" outlineLevel="0" collapsed="false">
      <c r="A115" s="25"/>
      <c r="B115" s="26"/>
      <c r="C115" s="26"/>
      <c r="D115" s="26"/>
      <c r="E115" s="27"/>
      <c r="F115" s="27"/>
      <c r="G115" s="27"/>
      <c r="H115" s="28"/>
      <c r="I115" s="27"/>
      <c r="J115" s="26"/>
      <c r="K115" s="26"/>
    </row>
    <row r="116" customFormat="false" ht="15" hidden="false" customHeight="true" outlineLevel="0" collapsed="false">
      <c r="A116" s="25"/>
      <c r="B116" s="26"/>
      <c r="C116" s="26"/>
      <c r="D116" s="26"/>
      <c r="E116" s="27"/>
      <c r="F116" s="27"/>
      <c r="G116" s="27"/>
      <c r="H116" s="28"/>
      <c r="I116" s="27"/>
      <c r="J116" s="26"/>
      <c r="K116" s="26"/>
    </row>
    <row r="117" customFormat="false" ht="15" hidden="false" customHeight="true" outlineLevel="0" collapsed="false">
      <c r="A117" s="25"/>
      <c r="B117" s="26"/>
      <c r="C117" s="26"/>
      <c r="D117" s="26"/>
      <c r="E117" s="27"/>
      <c r="F117" s="27"/>
      <c r="G117" s="27"/>
      <c r="H117" s="28"/>
      <c r="I117" s="27"/>
      <c r="J117" s="26"/>
      <c r="K117" s="26"/>
    </row>
    <row r="118" customFormat="false" ht="15" hidden="false" customHeight="true" outlineLevel="0" collapsed="false">
      <c r="A118" s="25"/>
      <c r="B118" s="26"/>
      <c r="C118" s="26"/>
      <c r="D118" s="26"/>
      <c r="E118" s="27"/>
      <c r="F118" s="27"/>
      <c r="G118" s="27"/>
      <c r="H118" s="28"/>
      <c r="I118" s="27"/>
      <c r="J118" s="26"/>
      <c r="K118" s="26"/>
    </row>
    <row r="119" customFormat="false" ht="15" hidden="false" customHeight="true" outlineLevel="0" collapsed="false">
      <c r="A119" s="25"/>
      <c r="B119" s="26"/>
      <c r="C119" s="26"/>
      <c r="D119" s="26"/>
      <c r="E119" s="27"/>
      <c r="F119" s="27"/>
      <c r="G119" s="27"/>
      <c r="H119" s="28"/>
      <c r="I119" s="27"/>
      <c r="J119" s="26"/>
      <c r="K119" s="26"/>
    </row>
    <row r="120" customFormat="false" ht="15" hidden="false" customHeight="true" outlineLevel="0" collapsed="false">
      <c r="A120" s="25"/>
      <c r="B120" s="26"/>
      <c r="C120" s="26"/>
      <c r="D120" s="26"/>
      <c r="E120" s="27"/>
      <c r="F120" s="27"/>
      <c r="G120" s="27"/>
      <c r="H120" s="28"/>
      <c r="I120" s="27"/>
      <c r="J120" s="26"/>
      <c r="K120" s="26"/>
    </row>
    <row r="121" customFormat="false" ht="15" hidden="false" customHeight="true" outlineLevel="0" collapsed="false">
      <c r="A121" s="25"/>
      <c r="B121" s="26"/>
      <c r="C121" s="26"/>
      <c r="D121" s="26"/>
      <c r="E121" s="27"/>
      <c r="F121" s="27"/>
      <c r="G121" s="27"/>
      <c r="H121" s="28"/>
      <c r="I121" s="27"/>
      <c r="J121" s="26"/>
      <c r="K121" s="26"/>
    </row>
    <row r="122" customFormat="false" ht="15" hidden="false" customHeight="true" outlineLevel="0" collapsed="false">
      <c r="A122" s="25"/>
      <c r="B122" s="26"/>
      <c r="C122" s="26"/>
      <c r="D122" s="26"/>
      <c r="E122" s="27"/>
      <c r="F122" s="27"/>
      <c r="G122" s="27"/>
      <c r="H122" s="28"/>
      <c r="I122" s="27"/>
      <c r="J122" s="26"/>
      <c r="K122" s="26"/>
    </row>
    <row r="123" customFormat="false" ht="15" hidden="false" customHeight="true" outlineLevel="0" collapsed="false">
      <c r="A123" s="25"/>
      <c r="B123" s="26"/>
      <c r="C123" s="26"/>
      <c r="D123" s="26"/>
      <c r="E123" s="27"/>
      <c r="F123" s="27"/>
      <c r="G123" s="27"/>
      <c r="H123" s="28"/>
      <c r="I123" s="27"/>
      <c r="J123" s="26"/>
      <c r="K123" s="26"/>
    </row>
    <row r="124" customFormat="false" ht="15" hidden="false" customHeight="true" outlineLevel="0" collapsed="false">
      <c r="A124" s="25"/>
      <c r="B124" s="26"/>
      <c r="C124" s="26"/>
      <c r="D124" s="26"/>
      <c r="E124" s="27"/>
      <c r="F124" s="27"/>
      <c r="G124" s="27"/>
      <c r="H124" s="28"/>
      <c r="I124" s="27"/>
      <c r="J124" s="26"/>
      <c r="K124" s="26"/>
    </row>
    <row r="125" customFormat="false" ht="15" hidden="false" customHeight="true" outlineLevel="0" collapsed="false">
      <c r="A125" s="25"/>
      <c r="B125" s="26"/>
      <c r="C125" s="26"/>
      <c r="D125" s="26"/>
      <c r="E125" s="27"/>
      <c r="F125" s="27"/>
      <c r="G125" s="27"/>
      <c r="H125" s="28"/>
      <c r="I125" s="27"/>
      <c r="J125" s="26"/>
      <c r="K125" s="26"/>
    </row>
    <row r="126" customFormat="false" ht="15" hidden="false" customHeight="true" outlineLevel="0" collapsed="false">
      <c r="A126" s="25"/>
      <c r="B126" s="26"/>
      <c r="C126" s="26"/>
      <c r="D126" s="26"/>
      <c r="E126" s="27"/>
      <c r="F126" s="27"/>
      <c r="G126" s="27"/>
      <c r="H126" s="28"/>
      <c r="I126" s="27"/>
      <c r="J126" s="26"/>
      <c r="K126" s="26"/>
    </row>
    <row r="127" customFormat="false" ht="15" hidden="false" customHeight="true" outlineLevel="0" collapsed="false">
      <c r="A127" s="25"/>
      <c r="B127" s="26"/>
      <c r="C127" s="26"/>
      <c r="D127" s="26"/>
      <c r="E127" s="27"/>
      <c r="F127" s="27"/>
      <c r="G127" s="27"/>
      <c r="H127" s="28"/>
      <c r="I127" s="27"/>
      <c r="J127" s="26"/>
      <c r="K127" s="26"/>
    </row>
    <row r="128" customFormat="false" ht="15" hidden="false" customHeight="true" outlineLevel="0" collapsed="false">
      <c r="A128" s="25"/>
      <c r="B128" s="26"/>
      <c r="C128" s="26"/>
      <c r="D128" s="26"/>
      <c r="E128" s="27"/>
      <c r="F128" s="27"/>
      <c r="G128" s="27"/>
      <c r="H128" s="28"/>
      <c r="I128" s="27"/>
      <c r="J128" s="26"/>
      <c r="K128" s="26"/>
    </row>
    <row r="129" customFormat="false" ht="15" hidden="false" customHeight="true" outlineLevel="0" collapsed="false">
      <c r="A129" s="25"/>
      <c r="B129" s="26"/>
      <c r="C129" s="26"/>
      <c r="D129" s="26"/>
      <c r="E129" s="27"/>
      <c r="F129" s="27"/>
      <c r="G129" s="27"/>
      <c r="H129" s="28"/>
      <c r="I129" s="27"/>
      <c r="J129" s="26"/>
      <c r="K129" s="26"/>
    </row>
    <row r="130" customFormat="false" ht="15" hidden="false" customHeight="true" outlineLevel="0" collapsed="false">
      <c r="A130" s="25"/>
      <c r="B130" s="26"/>
      <c r="C130" s="26"/>
      <c r="D130" s="26"/>
      <c r="E130" s="27"/>
      <c r="F130" s="27"/>
      <c r="G130" s="27"/>
      <c r="H130" s="28"/>
      <c r="I130" s="27"/>
      <c r="J130" s="26"/>
      <c r="K130" s="26"/>
    </row>
    <row r="131" customFormat="false" ht="15" hidden="false" customHeight="true" outlineLevel="0" collapsed="false">
      <c r="A131" s="25"/>
      <c r="B131" s="26"/>
      <c r="C131" s="26"/>
      <c r="D131" s="26"/>
      <c r="E131" s="27"/>
      <c r="F131" s="27"/>
      <c r="G131" s="27"/>
      <c r="H131" s="28"/>
      <c r="I131" s="27"/>
      <c r="J131" s="26"/>
      <c r="K131" s="26"/>
    </row>
    <row r="132" customFormat="false" ht="15" hidden="false" customHeight="true" outlineLevel="0" collapsed="false">
      <c r="A132" s="25"/>
      <c r="B132" s="26"/>
      <c r="C132" s="26"/>
      <c r="D132" s="26"/>
      <c r="E132" s="27"/>
      <c r="F132" s="27"/>
      <c r="G132" s="27"/>
      <c r="H132" s="28"/>
      <c r="I132" s="27"/>
      <c r="J132" s="26"/>
      <c r="K132" s="26"/>
    </row>
    <row r="133" customFormat="false" ht="15" hidden="false" customHeight="true" outlineLevel="0" collapsed="false">
      <c r="A133" s="25"/>
      <c r="B133" s="26"/>
      <c r="C133" s="26"/>
      <c r="D133" s="26"/>
      <c r="E133" s="27"/>
      <c r="F133" s="27"/>
      <c r="G133" s="27"/>
      <c r="H133" s="28"/>
      <c r="I133" s="27"/>
      <c r="J133" s="26"/>
      <c r="K133" s="26"/>
    </row>
    <row r="134" customFormat="false" ht="15" hidden="false" customHeight="true" outlineLevel="0" collapsed="false">
      <c r="A134" s="25"/>
      <c r="B134" s="26"/>
      <c r="C134" s="26"/>
      <c r="D134" s="26"/>
      <c r="E134" s="27"/>
      <c r="F134" s="27"/>
      <c r="G134" s="27"/>
      <c r="H134" s="28"/>
      <c r="I134" s="27"/>
      <c r="J134" s="26"/>
      <c r="K134" s="26"/>
    </row>
    <row r="135" customFormat="false" ht="15" hidden="false" customHeight="true" outlineLevel="0" collapsed="false">
      <c r="A135" s="25"/>
      <c r="B135" s="26"/>
      <c r="C135" s="26"/>
      <c r="D135" s="26"/>
      <c r="E135" s="27"/>
      <c r="F135" s="27"/>
      <c r="G135" s="27"/>
      <c r="H135" s="28"/>
      <c r="I135" s="27"/>
      <c r="J135" s="26"/>
      <c r="K135" s="26"/>
    </row>
    <row r="136" customFormat="false" ht="15" hidden="false" customHeight="true" outlineLevel="0" collapsed="false">
      <c r="A136" s="25"/>
      <c r="B136" s="26"/>
      <c r="C136" s="26"/>
      <c r="D136" s="26"/>
      <c r="E136" s="27"/>
      <c r="F136" s="27"/>
      <c r="G136" s="27"/>
      <c r="H136" s="28"/>
      <c r="I136" s="27"/>
      <c r="J136" s="26"/>
      <c r="K136" s="26"/>
    </row>
    <row r="137" customFormat="false" ht="15" hidden="false" customHeight="true" outlineLevel="0" collapsed="false">
      <c r="A137" s="25"/>
      <c r="B137" s="26"/>
      <c r="C137" s="26"/>
      <c r="D137" s="26"/>
      <c r="E137" s="27"/>
      <c r="F137" s="27"/>
      <c r="G137" s="27"/>
      <c r="H137" s="28"/>
      <c r="I137" s="27"/>
      <c r="J137" s="26"/>
      <c r="K137" s="26"/>
    </row>
    <row r="138" customFormat="false" ht="15" hidden="false" customHeight="true" outlineLevel="0" collapsed="false">
      <c r="A138" s="25"/>
      <c r="B138" s="26"/>
      <c r="C138" s="26"/>
      <c r="D138" s="26"/>
      <c r="E138" s="27"/>
      <c r="F138" s="27"/>
      <c r="G138" s="27"/>
      <c r="H138" s="28"/>
      <c r="I138" s="27"/>
      <c r="J138" s="26"/>
      <c r="K138" s="26"/>
    </row>
    <row r="139" customFormat="false" ht="15" hidden="false" customHeight="true" outlineLevel="0" collapsed="false">
      <c r="A139" s="25"/>
      <c r="B139" s="26"/>
      <c r="C139" s="26"/>
      <c r="D139" s="26"/>
      <c r="E139" s="27"/>
      <c r="F139" s="27"/>
      <c r="G139" s="27"/>
      <c r="H139" s="28"/>
      <c r="I139" s="27"/>
      <c r="J139" s="26"/>
      <c r="K139" s="26"/>
    </row>
    <row r="140" customFormat="false" ht="15" hidden="false" customHeight="true" outlineLevel="0" collapsed="false">
      <c r="A140" s="25"/>
      <c r="B140" s="26"/>
      <c r="C140" s="26"/>
      <c r="D140" s="26"/>
      <c r="E140" s="27"/>
      <c r="F140" s="27"/>
      <c r="G140" s="27"/>
      <c r="H140" s="28"/>
      <c r="I140" s="27"/>
      <c r="J140" s="26"/>
      <c r="K140" s="26"/>
    </row>
    <row r="141" customFormat="false" ht="15" hidden="false" customHeight="true" outlineLevel="0" collapsed="false">
      <c r="A141" s="25"/>
      <c r="B141" s="26"/>
      <c r="C141" s="26"/>
      <c r="D141" s="26"/>
      <c r="E141" s="27"/>
      <c r="F141" s="27"/>
      <c r="G141" s="27"/>
      <c r="H141" s="28"/>
      <c r="I141" s="27"/>
      <c r="J141" s="26"/>
      <c r="K141" s="26"/>
    </row>
    <row r="142" customFormat="false" ht="15" hidden="false" customHeight="true" outlineLevel="0" collapsed="false">
      <c r="A142" s="25"/>
      <c r="B142" s="26"/>
      <c r="C142" s="26"/>
      <c r="D142" s="26"/>
      <c r="E142" s="27"/>
      <c r="F142" s="27"/>
      <c r="G142" s="27"/>
      <c r="H142" s="28"/>
      <c r="I142" s="27"/>
      <c r="J142" s="26"/>
      <c r="K142" s="26"/>
    </row>
    <row r="143" customFormat="false" ht="15" hidden="false" customHeight="true" outlineLevel="0" collapsed="false">
      <c r="A143" s="25"/>
      <c r="B143" s="26"/>
      <c r="C143" s="26"/>
      <c r="D143" s="26"/>
      <c r="E143" s="27"/>
      <c r="F143" s="27"/>
      <c r="G143" s="27"/>
      <c r="H143" s="28"/>
      <c r="I143" s="27"/>
      <c r="J143" s="26"/>
      <c r="K143" s="26"/>
    </row>
    <row r="144" customFormat="false" ht="15" hidden="false" customHeight="true" outlineLevel="0" collapsed="false">
      <c r="A144" s="25"/>
      <c r="B144" s="26"/>
      <c r="C144" s="26"/>
      <c r="D144" s="26"/>
      <c r="E144" s="27"/>
      <c r="F144" s="27"/>
      <c r="G144" s="27"/>
      <c r="H144" s="28"/>
      <c r="I144" s="27"/>
      <c r="J144" s="26"/>
      <c r="K144" s="26"/>
    </row>
    <row r="145" customFormat="false" ht="15" hidden="false" customHeight="true" outlineLevel="0" collapsed="false">
      <c r="A145" s="25"/>
      <c r="B145" s="26"/>
      <c r="C145" s="26"/>
      <c r="D145" s="26"/>
      <c r="E145" s="27"/>
      <c r="F145" s="27"/>
      <c r="G145" s="27"/>
      <c r="H145" s="28"/>
      <c r="I145" s="27"/>
      <c r="J145" s="26"/>
      <c r="K145" s="26"/>
    </row>
    <row r="146" customFormat="false" ht="15" hidden="false" customHeight="true" outlineLevel="0" collapsed="false">
      <c r="A146" s="25"/>
      <c r="B146" s="26"/>
      <c r="C146" s="26"/>
      <c r="D146" s="26"/>
      <c r="E146" s="27"/>
      <c r="F146" s="27"/>
      <c r="G146" s="27"/>
      <c r="H146" s="28"/>
      <c r="I146" s="27"/>
      <c r="J146" s="26"/>
      <c r="K146" s="26"/>
    </row>
    <row r="147" customFormat="false" ht="15" hidden="false" customHeight="true" outlineLevel="0" collapsed="false">
      <c r="A147" s="25"/>
      <c r="B147" s="26"/>
      <c r="C147" s="26"/>
      <c r="D147" s="26"/>
      <c r="E147" s="27"/>
      <c r="F147" s="27"/>
      <c r="G147" s="27"/>
      <c r="H147" s="28"/>
      <c r="I147" s="27"/>
      <c r="J147" s="26"/>
      <c r="K147" s="26"/>
    </row>
    <row r="148" customFormat="false" ht="15" hidden="false" customHeight="true" outlineLevel="0" collapsed="false">
      <c r="A148" s="25"/>
      <c r="B148" s="26"/>
      <c r="C148" s="26"/>
      <c r="D148" s="26"/>
      <c r="E148" s="27"/>
      <c r="F148" s="27"/>
      <c r="G148" s="27"/>
      <c r="H148" s="28"/>
      <c r="I148" s="27"/>
      <c r="J148" s="26"/>
      <c r="K148" s="26"/>
    </row>
    <row r="149" customFormat="false" ht="15" hidden="false" customHeight="true" outlineLevel="0" collapsed="false">
      <c r="A149" s="25"/>
      <c r="B149" s="26"/>
      <c r="C149" s="26"/>
      <c r="D149" s="26"/>
      <c r="E149" s="27"/>
      <c r="F149" s="27"/>
      <c r="G149" s="27"/>
      <c r="H149" s="28"/>
      <c r="I149" s="27"/>
      <c r="J149" s="26"/>
      <c r="K149" s="26"/>
    </row>
    <row r="150" customFormat="false" ht="15" hidden="false" customHeight="true" outlineLevel="0" collapsed="false">
      <c r="A150" s="25"/>
      <c r="B150" s="26"/>
      <c r="C150" s="26"/>
      <c r="D150" s="26"/>
      <c r="E150" s="27"/>
      <c r="F150" s="27"/>
      <c r="G150" s="27"/>
      <c r="H150" s="28"/>
      <c r="I150" s="27"/>
      <c r="J150" s="26"/>
      <c r="K150" s="26"/>
    </row>
    <row r="151" customFormat="false" ht="15" hidden="false" customHeight="true" outlineLevel="0" collapsed="false">
      <c r="A151" s="25"/>
      <c r="B151" s="26"/>
      <c r="C151" s="26"/>
      <c r="D151" s="26"/>
      <c r="E151" s="27"/>
      <c r="F151" s="27"/>
      <c r="G151" s="27"/>
      <c r="H151" s="28"/>
      <c r="I151" s="27"/>
      <c r="J151" s="26"/>
      <c r="K151" s="26"/>
    </row>
    <row r="152" customFormat="false" ht="15" hidden="false" customHeight="true" outlineLevel="0" collapsed="false">
      <c r="A152" s="25"/>
      <c r="B152" s="26"/>
      <c r="C152" s="26"/>
      <c r="D152" s="26"/>
      <c r="E152" s="27"/>
      <c r="F152" s="27"/>
      <c r="G152" s="27"/>
      <c r="H152" s="28"/>
      <c r="I152" s="27"/>
      <c r="J152" s="26"/>
      <c r="K152" s="26"/>
    </row>
    <row r="153" customFormat="false" ht="15" hidden="false" customHeight="true" outlineLevel="0" collapsed="false">
      <c r="A153" s="25"/>
      <c r="B153" s="26"/>
      <c r="C153" s="26"/>
      <c r="D153" s="26"/>
      <c r="E153" s="27"/>
      <c r="F153" s="27"/>
      <c r="G153" s="27"/>
      <c r="H153" s="28"/>
      <c r="I153" s="27"/>
      <c r="J153" s="26"/>
      <c r="K153" s="26"/>
    </row>
    <row r="154" customFormat="false" ht="15" hidden="false" customHeight="true" outlineLevel="0" collapsed="false">
      <c r="A154" s="25"/>
      <c r="B154" s="26"/>
      <c r="C154" s="26"/>
      <c r="D154" s="26"/>
      <c r="E154" s="27"/>
      <c r="F154" s="27"/>
      <c r="G154" s="27"/>
      <c r="H154" s="28"/>
      <c r="I154" s="27"/>
      <c r="J154" s="26"/>
      <c r="K154" s="26"/>
    </row>
    <row r="155" customFormat="false" ht="15" hidden="false" customHeight="true" outlineLevel="0" collapsed="false">
      <c r="A155" s="25"/>
      <c r="B155" s="26"/>
      <c r="C155" s="26"/>
      <c r="D155" s="26"/>
      <c r="E155" s="27"/>
      <c r="F155" s="27"/>
      <c r="G155" s="27"/>
      <c r="H155" s="28"/>
      <c r="I155" s="27"/>
      <c r="J155" s="26"/>
      <c r="K155" s="26"/>
    </row>
    <row r="156" customFormat="false" ht="15" hidden="false" customHeight="true" outlineLevel="0" collapsed="false">
      <c r="A156" s="25"/>
      <c r="B156" s="26"/>
      <c r="C156" s="26"/>
      <c r="D156" s="26"/>
      <c r="E156" s="27"/>
      <c r="F156" s="27"/>
      <c r="G156" s="27"/>
      <c r="H156" s="28"/>
      <c r="I156" s="27"/>
      <c r="J156" s="26"/>
      <c r="K156" s="26"/>
    </row>
    <row r="157" customFormat="false" ht="15" hidden="false" customHeight="true" outlineLevel="0" collapsed="false">
      <c r="A157" s="25"/>
      <c r="B157" s="26"/>
      <c r="C157" s="26"/>
      <c r="D157" s="26"/>
      <c r="E157" s="27"/>
      <c r="F157" s="27"/>
      <c r="G157" s="27"/>
      <c r="H157" s="28"/>
      <c r="I157" s="27"/>
      <c r="J157" s="26"/>
      <c r="K157" s="26"/>
    </row>
    <row r="158" customFormat="false" ht="15" hidden="false" customHeight="true" outlineLevel="0" collapsed="false">
      <c r="A158" s="25"/>
      <c r="B158" s="26"/>
      <c r="C158" s="26"/>
      <c r="D158" s="26"/>
      <c r="E158" s="27"/>
      <c r="F158" s="27"/>
      <c r="G158" s="27"/>
      <c r="H158" s="28"/>
      <c r="I158" s="27"/>
      <c r="J158" s="26"/>
      <c r="K158" s="26"/>
    </row>
    <row r="159" customFormat="false" ht="15" hidden="false" customHeight="true" outlineLevel="0" collapsed="false">
      <c r="A159" s="25"/>
      <c r="B159" s="26"/>
      <c r="C159" s="26"/>
      <c r="D159" s="26"/>
      <c r="E159" s="27"/>
      <c r="F159" s="27"/>
      <c r="G159" s="27"/>
      <c r="H159" s="28"/>
      <c r="I159" s="27"/>
      <c r="J159" s="26"/>
      <c r="K159" s="26"/>
    </row>
    <row r="160" customFormat="false" ht="15" hidden="false" customHeight="true" outlineLevel="0" collapsed="false">
      <c r="A160" s="25"/>
      <c r="B160" s="26"/>
      <c r="C160" s="26"/>
      <c r="D160" s="26"/>
      <c r="E160" s="27"/>
      <c r="F160" s="27"/>
      <c r="G160" s="27"/>
      <c r="H160" s="28"/>
      <c r="I160" s="27"/>
      <c r="J160" s="26"/>
      <c r="K160" s="26"/>
    </row>
    <row r="161" customFormat="false" ht="15" hidden="false" customHeight="true" outlineLevel="0" collapsed="false">
      <c r="A161" s="25"/>
      <c r="B161" s="26"/>
      <c r="C161" s="26"/>
      <c r="D161" s="26"/>
      <c r="E161" s="27"/>
      <c r="F161" s="27"/>
      <c r="G161" s="27"/>
      <c r="H161" s="28"/>
      <c r="I161" s="27"/>
      <c r="J161" s="26"/>
      <c r="K161" s="26"/>
    </row>
    <row r="162" customFormat="false" ht="15" hidden="false" customHeight="true" outlineLevel="0" collapsed="false">
      <c r="A162" s="25"/>
      <c r="B162" s="26"/>
      <c r="C162" s="26"/>
      <c r="D162" s="26"/>
      <c r="E162" s="27"/>
      <c r="F162" s="27"/>
      <c r="G162" s="27"/>
      <c r="H162" s="28"/>
      <c r="I162" s="27"/>
      <c r="J162" s="26"/>
      <c r="K162" s="26"/>
    </row>
    <row r="163" customFormat="false" ht="15" hidden="false" customHeight="true" outlineLevel="0" collapsed="false">
      <c r="A163" s="25"/>
      <c r="B163" s="26"/>
      <c r="C163" s="26"/>
      <c r="D163" s="26"/>
      <c r="E163" s="27"/>
      <c r="F163" s="27"/>
      <c r="G163" s="27"/>
      <c r="H163" s="28"/>
      <c r="I163" s="27"/>
      <c r="J163" s="26"/>
      <c r="K163" s="26"/>
    </row>
    <row r="164" customFormat="false" ht="15" hidden="false" customHeight="true" outlineLevel="0" collapsed="false">
      <c r="A164" s="25"/>
      <c r="B164" s="26"/>
      <c r="C164" s="26"/>
      <c r="D164" s="26"/>
      <c r="E164" s="27"/>
      <c r="F164" s="27"/>
      <c r="G164" s="27"/>
      <c r="H164" s="28"/>
      <c r="I164" s="27"/>
      <c r="J164" s="26"/>
      <c r="K164" s="26"/>
    </row>
    <row r="165" customFormat="false" ht="15" hidden="false" customHeight="true" outlineLevel="0" collapsed="false">
      <c r="A165" s="25"/>
      <c r="B165" s="26"/>
      <c r="C165" s="26"/>
      <c r="D165" s="26"/>
      <c r="E165" s="27"/>
      <c r="F165" s="27"/>
      <c r="G165" s="27"/>
      <c r="H165" s="28"/>
      <c r="I165" s="27"/>
      <c r="J165" s="26"/>
      <c r="K165" s="26"/>
    </row>
    <row r="166" customFormat="false" ht="15" hidden="false" customHeight="true" outlineLevel="0" collapsed="false">
      <c r="A166" s="25"/>
      <c r="B166" s="26"/>
      <c r="C166" s="26"/>
      <c r="D166" s="26"/>
      <c r="E166" s="27"/>
      <c r="F166" s="27"/>
      <c r="G166" s="27"/>
      <c r="H166" s="28"/>
      <c r="I166" s="27"/>
      <c r="J166" s="26"/>
      <c r="K166" s="26"/>
    </row>
    <row r="167" customFormat="false" ht="15" hidden="false" customHeight="true" outlineLevel="0" collapsed="false">
      <c r="A167" s="25"/>
      <c r="B167" s="26"/>
      <c r="C167" s="26"/>
      <c r="D167" s="26"/>
      <c r="E167" s="27"/>
      <c r="F167" s="27"/>
      <c r="G167" s="27"/>
      <c r="H167" s="28"/>
      <c r="I167" s="27"/>
      <c r="J167" s="26"/>
      <c r="K167" s="26"/>
    </row>
    <row r="168" customFormat="false" ht="15" hidden="false" customHeight="true" outlineLevel="0" collapsed="false">
      <c r="A168" s="25"/>
      <c r="B168" s="26"/>
      <c r="C168" s="26"/>
      <c r="D168" s="26"/>
      <c r="E168" s="27"/>
      <c r="F168" s="27"/>
      <c r="G168" s="27"/>
      <c r="H168" s="28"/>
      <c r="I168" s="27"/>
      <c r="J168" s="26"/>
      <c r="K168" s="26"/>
    </row>
    <row r="169" customFormat="false" ht="15" hidden="false" customHeight="true" outlineLevel="0" collapsed="false">
      <c r="A169" s="25"/>
      <c r="B169" s="26"/>
      <c r="C169" s="26"/>
      <c r="D169" s="26"/>
      <c r="E169" s="27"/>
      <c r="F169" s="27"/>
      <c r="G169" s="27"/>
      <c r="H169" s="28"/>
      <c r="I169" s="27"/>
      <c r="J169" s="26"/>
      <c r="K169" s="26"/>
    </row>
    <row r="170" customFormat="false" ht="15" hidden="false" customHeight="true" outlineLevel="0" collapsed="false">
      <c r="A170" s="25"/>
      <c r="B170" s="26"/>
      <c r="C170" s="26"/>
      <c r="D170" s="26"/>
      <c r="E170" s="27"/>
      <c r="F170" s="27"/>
      <c r="G170" s="27"/>
      <c r="H170" s="28"/>
      <c r="I170" s="27"/>
      <c r="J170" s="26"/>
      <c r="K170" s="26"/>
    </row>
    <row r="171" customFormat="false" ht="15" hidden="false" customHeight="true" outlineLevel="0" collapsed="false">
      <c r="A171" s="25"/>
      <c r="B171" s="26"/>
      <c r="C171" s="26"/>
      <c r="D171" s="26"/>
      <c r="E171" s="27"/>
      <c r="F171" s="27"/>
      <c r="G171" s="27"/>
      <c r="H171" s="28"/>
      <c r="I171" s="27"/>
      <c r="J171" s="26"/>
      <c r="K171" s="26"/>
    </row>
    <row r="172" customFormat="false" ht="15" hidden="false" customHeight="true" outlineLevel="0" collapsed="false">
      <c r="A172" s="25"/>
      <c r="B172" s="26"/>
      <c r="C172" s="26"/>
      <c r="D172" s="26"/>
      <c r="E172" s="27"/>
      <c r="F172" s="27"/>
      <c r="G172" s="27"/>
      <c r="H172" s="28"/>
      <c r="I172" s="27"/>
      <c r="J172" s="26"/>
      <c r="K172" s="26"/>
    </row>
    <row r="173" customFormat="false" ht="15" hidden="false" customHeight="true" outlineLevel="0" collapsed="false">
      <c r="A173" s="25"/>
      <c r="B173" s="26"/>
      <c r="C173" s="26"/>
      <c r="D173" s="26"/>
      <c r="E173" s="27"/>
      <c r="F173" s="27"/>
      <c r="G173" s="27"/>
      <c r="H173" s="28"/>
      <c r="I173" s="27"/>
      <c r="J173" s="26"/>
      <c r="K173" s="26"/>
    </row>
    <row r="174" customFormat="false" ht="15" hidden="false" customHeight="true" outlineLevel="0" collapsed="false">
      <c r="A174" s="25"/>
      <c r="B174" s="26"/>
      <c r="C174" s="26"/>
      <c r="D174" s="26"/>
      <c r="E174" s="27"/>
      <c r="F174" s="27"/>
      <c r="G174" s="27"/>
      <c r="H174" s="28"/>
      <c r="I174" s="27"/>
      <c r="J174" s="26"/>
      <c r="K174" s="26"/>
    </row>
    <row r="175" customFormat="false" ht="15" hidden="false" customHeight="true" outlineLevel="0" collapsed="false">
      <c r="A175" s="25"/>
      <c r="B175" s="26"/>
      <c r="C175" s="26"/>
      <c r="D175" s="26"/>
      <c r="E175" s="27"/>
      <c r="F175" s="27"/>
      <c r="G175" s="27"/>
      <c r="H175" s="28"/>
      <c r="I175" s="27"/>
      <c r="J175" s="26"/>
      <c r="K175" s="26"/>
    </row>
    <row r="176" customFormat="false" ht="15" hidden="false" customHeight="true" outlineLevel="0" collapsed="false">
      <c r="A176" s="25"/>
      <c r="B176" s="26"/>
      <c r="C176" s="26"/>
      <c r="D176" s="26"/>
      <c r="E176" s="27"/>
      <c r="F176" s="27"/>
      <c r="G176" s="27"/>
      <c r="H176" s="28"/>
      <c r="I176" s="27"/>
      <c r="J176" s="26"/>
      <c r="K176" s="26"/>
    </row>
    <row r="177" customFormat="false" ht="15" hidden="false" customHeight="true" outlineLevel="0" collapsed="false">
      <c r="A177" s="25"/>
      <c r="B177" s="26"/>
      <c r="C177" s="26"/>
      <c r="D177" s="26"/>
      <c r="E177" s="27"/>
      <c r="F177" s="27"/>
      <c r="G177" s="27"/>
      <c r="H177" s="28"/>
      <c r="I177" s="27"/>
      <c r="J177" s="26"/>
      <c r="K177" s="26"/>
    </row>
    <row r="178" customFormat="false" ht="15" hidden="false" customHeight="true" outlineLevel="0" collapsed="false">
      <c r="A178" s="25"/>
      <c r="B178" s="26"/>
      <c r="C178" s="26"/>
      <c r="D178" s="26"/>
      <c r="E178" s="27"/>
      <c r="F178" s="27"/>
      <c r="G178" s="27"/>
      <c r="H178" s="28"/>
      <c r="I178" s="27"/>
      <c r="J178" s="26"/>
      <c r="K178" s="26"/>
    </row>
    <row r="179" customFormat="false" ht="15" hidden="false" customHeight="true" outlineLevel="0" collapsed="false">
      <c r="A179" s="25"/>
      <c r="B179" s="26"/>
      <c r="C179" s="26"/>
      <c r="D179" s="26"/>
      <c r="E179" s="27"/>
      <c r="F179" s="27"/>
      <c r="G179" s="27"/>
      <c r="H179" s="28"/>
      <c r="I179" s="27"/>
      <c r="J179" s="26"/>
      <c r="K179" s="26"/>
    </row>
    <row r="180" customFormat="false" ht="15" hidden="false" customHeight="true" outlineLevel="0" collapsed="false">
      <c r="A180" s="25"/>
      <c r="B180" s="26"/>
      <c r="C180" s="26"/>
      <c r="D180" s="26"/>
      <c r="E180" s="27"/>
      <c r="F180" s="27"/>
      <c r="G180" s="27"/>
      <c r="H180" s="28"/>
      <c r="I180" s="27"/>
      <c r="J180" s="26"/>
      <c r="K180" s="26"/>
    </row>
    <row r="181" customFormat="false" ht="15" hidden="false" customHeight="true" outlineLevel="0" collapsed="false">
      <c r="A181" s="25"/>
      <c r="B181" s="26"/>
      <c r="C181" s="26"/>
      <c r="D181" s="26"/>
      <c r="E181" s="27"/>
      <c r="F181" s="27"/>
      <c r="G181" s="27"/>
      <c r="H181" s="28"/>
      <c r="I181" s="27"/>
      <c r="J181" s="26"/>
      <c r="K181" s="26"/>
    </row>
    <row r="182" customFormat="false" ht="15" hidden="false" customHeight="true" outlineLevel="0" collapsed="false">
      <c r="A182" s="25"/>
      <c r="B182" s="26"/>
      <c r="C182" s="26"/>
      <c r="D182" s="26"/>
      <c r="E182" s="27"/>
      <c r="F182" s="27"/>
      <c r="G182" s="27"/>
      <c r="H182" s="28"/>
      <c r="I182" s="27"/>
      <c r="J182" s="26"/>
      <c r="K182" s="26"/>
    </row>
    <row r="183" customFormat="false" ht="15" hidden="false" customHeight="true" outlineLevel="0" collapsed="false">
      <c r="A183" s="25"/>
      <c r="B183" s="26"/>
      <c r="C183" s="26"/>
      <c r="D183" s="26"/>
      <c r="E183" s="27"/>
      <c r="F183" s="27"/>
      <c r="G183" s="27"/>
      <c r="H183" s="28"/>
      <c r="I183" s="27"/>
      <c r="J183" s="26"/>
      <c r="K183" s="26"/>
    </row>
    <row r="184" customFormat="false" ht="15" hidden="false" customHeight="true" outlineLevel="0" collapsed="false">
      <c r="A184" s="25"/>
      <c r="B184" s="26"/>
      <c r="C184" s="26"/>
      <c r="D184" s="26"/>
      <c r="E184" s="27"/>
      <c r="F184" s="27"/>
      <c r="G184" s="27"/>
      <c r="H184" s="28"/>
      <c r="I184" s="27"/>
      <c r="J184" s="26"/>
      <c r="K184" s="26"/>
    </row>
    <row r="185" customFormat="false" ht="15" hidden="false" customHeight="true" outlineLevel="0" collapsed="false">
      <c r="A185" s="25"/>
      <c r="B185" s="26"/>
      <c r="C185" s="26"/>
      <c r="D185" s="26"/>
      <c r="E185" s="27"/>
      <c r="F185" s="27"/>
      <c r="G185" s="27"/>
      <c r="H185" s="28"/>
      <c r="I185" s="27"/>
      <c r="J185" s="26"/>
      <c r="K185" s="26"/>
    </row>
    <row r="186" customFormat="false" ht="15" hidden="false" customHeight="true" outlineLevel="0" collapsed="false">
      <c r="A186" s="25"/>
      <c r="B186" s="26"/>
      <c r="C186" s="26"/>
      <c r="D186" s="26"/>
      <c r="E186" s="27"/>
      <c r="F186" s="27"/>
      <c r="G186" s="27"/>
      <c r="H186" s="28"/>
      <c r="I186" s="27"/>
      <c r="J186" s="26"/>
      <c r="K186" s="26"/>
    </row>
    <row r="187" customFormat="false" ht="15" hidden="false" customHeight="true" outlineLevel="0" collapsed="false">
      <c r="A187" s="25"/>
      <c r="B187" s="26"/>
      <c r="C187" s="26"/>
      <c r="D187" s="26"/>
      <c r="E187" s="27"/>
      <c r="F187" s="27"/>
      <c r="G187" s="27"/>
      <c r="H187" s="28"/>
      <c r="I187" s="27"/>
      <c r="J187" s="26"/>
      <c r="K187" s="26"/>
    </row>
    <row r="188" customFormat="false" ht="15" hidden="false" customHeight="true" outlineLevel="0" collapsed="false">
      <c r="A188" s="25"/>
      <c r="B188" s="26"/>
      <c r="C188" s="26"/>
      <c r="D188" s="26"/>
      <c r="E188" s="27"/>
      <c r="F188" s="27"/>
      <c r="G188" s="27"/>
      <c r="H188" s="28"/>
      <c r="I188" s="27"/>
      <c r="J188" s="26"/>
      <c r="K188" s="26"/>
    </row>
    <row r="189" customFormat="false" ht="15" hidden="false" customHeight="true" outlineLevel="0" collapsed="false">
      <c r="A189" s="25"/>
      <c r="B189" s="26"/>
      <c r="C189" s="26"/>
      <c r="D189" s="26"/>
      <c r="E189" s="27"/>
      <c r="F189" s="27"/>
      <c r="G189" s="27"/>
      <c r="H189" s="28"/>
      <c r="I189" s="27"/>
      <c r="J189" s="26"/>
      <c r="K189" s="26"/>
    </row>
    <row r="190" customFormat="false" ht="15" hidden="false" customHeight="true" outlineLevel="0" collapsed="false">
      <c r="A190" s="25"/>
      <c r="B190" s="26"/>
      <c r="C190" s="26"/>
      <c r="D190" s="26"/>
      <c r="E190" s="27"/>
      <c r="F190" s="27"/>
      <c r="G190" s="27"/>
      <c r="H190" s="28"/>
      <c r="I190" s="27"/>
      <c r="J190" s="26"/>
      <c r="K190" s="26"/>
    </row>
    <row r="191" customFormat="false" ht="15" hidden="false" customHeight="true" outlineLevel="0" collapsed="false">
      <c r="A191" s="25"/>
      <c r="B191" s="26"/>
      <c r="C191" s="26"/>
      <c r="D191" s="26"/>
      <c r="E191" s="27"/>
      <c r="F191" s="27"/>
      <c r="G191" s="27"/>
      <c r="H191" s="28"/>
      <c r="I191" s="27"/>
      <c r="J191" s="26"/>
      <c r="K191" s="26"/>
    </row>
    <row r="192" customFormat="false" ht="15" hidden="false" customHeight="true" outlineLevel="0" collapsed="false">
      <c r="A192" s="25"/>
      <c r="B192" s="26"/>
      <c r="C192" s="26"/>
      <c r="D192" s="26"/>
      <c r="E192" s="27"/>
      <c r="F192" s="27"/>
      <c r="G192" s="27"/>
      <c r="H192" s="28"/>
      <c r="I192" s="27"/>
      <c r="J192" s="26"/>
      <c r="K192" s="26"/>
    </row>
    <row r="193" customFormat="false" ht="15" hidden="false" customHeight="true" outlineLevel="0" collapsed="false">
      <c r="A193" s="25"/>
      <c r="B193" s="26"/>
      <c r="C193" s="26"/>
      <c r="D193" s="26"/>
      <c r="E193" s="27"/>
      <c r="F193" s="27"/>
      <c r="G193" s="27"/>
      <c r="H193" s="28"/>
      <c r="I193" s="27"/>
      <c r="J193" s="26"/>
      <c r="K193" s="26"/>
    </row>
    <row r="194" customFormat="false" ht="15" hidden="false" customHeight="true" outlineLevel="0" collapsed="false">
      <c r="A194" s="25"/>
      <c r="B194" s="26"/>
      <c r="C194" s="26"/>
      <c r="D194" s="26"/>
      <c r="E194" s="27"/>
      <c r="F194" s="27"/>
      <c r="G194" s="27"/>
      <c r="H194" s="28"/>
      <c r="I194" s="27"/>
      <c r="J194" s="26"/>
      <c r="K194" s="26"/>
    </row>
    <row r="195" customFormat="false" ht="15" hidden="false" customHeight="true" outlineLevel="0" collapsed="false">
      <c r="A195" s="25"/>
      <c r="B195" s="26"/>
      <c r="C195" s="26"/>
      <c r="D195" s="26"/>
      <c r="E195" s="27"/>
      <c r="F195" s="27"/>
      <c r="G195" s="27"/>
      <c r="H195" s="28"/>
      <c r="I195" s="27"/>
      <c r="J195" s="26"/>
      <c r="K195" s="26"/>
    </row>
    <row r="196" customFormat="false" ht="15" hidden="false" customHeight="true" outlineLevel="0" collapsed="false">
      <c r="A196" s="25"/>
      <c r="B196" s="26"/>
      <c r="C196" s="26"/>
      <c r="D196" s="26"/>
      <c r="E196" s="27"/>
      <c r="F196" s="27"/>
      <c r="G196" s="27"/>
      <c r="H196" s="28"/>
      <c r="I196" s="27"/>
      <c r="J196" s="26"/>
      <c r="K196" s="26"/>
    </row>
    <row r="197" customFormat="false" ht="15" hidden="false" customHeight="true" outlineLevel="0" collapsed="false">
      <c r="A197" s="25"/>
      <c r="B197" s="26"/>
      <c r="C197" s="26"/>
      <c r="D197" s="26"/>
      <c r="E197" s="27"/>
      <c r="F197" s="27"/>
      <c r="G197" s="27"/>
      <c r="H197" s="28"/>
      <c r="I197" s="27"/>
      <c r="J197" s="26"/>
      <c r="K197" s="26"/>
    </row>
    <row r="198" customFormat="false" ht="15" hidden="false" customHeight="true" outlineLevel="0" collapsed="false">
      <c r="A198" s="25"/>
      <c r="B198" s="26"/>
      <c r="C198" s="26"/>
      <c r="D198" s="26"/>
      <c r="E198" s="27"/>
      <c r="F198" s="27"/>
      <c r="G198" s="27"/>
      <c r="H198" s="28"/>
      <c r="I198" s="27"/>
      <c r="J198" s="26"/>
      <c r="K198" s="26"/>
    </row>
    <row r="199" customFormat="false" ht="15" hidden="false" customHeight="true" outlineLevel="0" collapsed="false">
      <c r="A199" s="25"/>
      <c r="B199" s="26"/>
      <c r="C199" s="26"/>
      <c r="D199" s="26"/>
      <c r="E199" s="27"/>
      <c r="F199" s="27"/>
      <c r="G199" s="27"/>
      <c r="H199" s="28"/>
      <c r="I199" s="27"/>
      <c r="J199" s="26"/>
      <c r="K199" s="26"/>
    </row>
    <row r="200" customFormat="false" ht="15" hidden="false" customHeight="true" outlineLevel="0" collapsed="false">
      <c r="A200" s="25"/>
      <c r="B200" s="26"/>
      <c r="C200" s="26"/>
      <c r="D200" s="26"/>
      <c r="E200" s="27"/>
      <c r="F200" s="27"/>
      <c r="G200" s="27"/>
      <c r="H200" s="28"/>
      <c r="I200" s="27"/>
      <c r="J200" s="26"/>
      <c r="K200" s="26"/>
    </row>
    <row r="201" customFormat="false" ht="15" hidden="false" customHeight="true" outlineLevel="0" collapsed="false">
      <c r="A201" s="25"/>
      <c r="B201" s="26"/>
      <c r="C201" s="26"/>
      <c r="D201" s="26"/>
      <c r="E201" s="27"/>
      <c r="F201" s="27"/>
      <c r="G201" s="27"/>
      <c r="H201" s="28"/>
      <c r="I201" s="27"/>
      <c r="J201" s="26"/>
      <c r="K201" s="26"/>
    </row>
    <row r="202" customFormat="false" ht="15" hidden="false" customHeight="true" outlineLevel="0" collapsed="false">
      <c r="A202" s="25"/>
      <c r="B202" s="26"/>
      <c r="C202" s="26"/>
      <c r="D202" s="26"/>
      <c r="E202" s="27"/>
      <c r="F202" s="27"/>
      <c r="G202" s="27"/>
      <c r="H202" s="28"/>
      <c r="I202" s="27"/>
      <c r="J202" s="26"/>
      <c r="K202" s="26"/>
    </row>
    <row r="203" customFormat="false" ht="15" hidden="false" customHeight="true" outlineLevel="0" collapsed="false">
      <c r="A203" s="25"/>
      <c r="B203" s="26"/>
      <c r="C203" s="26"/>
      <c r="D203" s="26"/>
      <c r="E203" s="27"/>
      <c r="F203" s="27"/>
      <c r="G203" s="27"/>
      <c r="H203" s="28"/>
      <c r="I203" s="27"/>
      <c r="J203" s="26"/>
      <c r="K203" s="26"/>
    </row>
    <row r="204" customFormat="false" ht="15" hidden="false" customHeight="true" outlineLevel="0" collapsed="false">
      <c r="A204" s="25"/>
      <c r="B204" s="26"/>
      <c r="C204" s="26"/>
      <c r="D204" s="26"/>
      <c r="E204" s="27"/>
      <c r="F204" s="27"/>
      <c r="G204" s="27"/>
      <c r="H204" s="28"/>
      <c r="I204" s="27"/>
      <c r="J204" s="26"/>
      <c r="K204" s="26"/>
    </row>
    <row r="205" customFormat="false" ht="15" hidden="false" customHeight="true" outlineLevel="0" collapsed="false">
      <c r="A205" s="25"/>
      <c r="B205" s="26"/>
      <c r="C205" s="26"/>
      <c r="D205" s="26"/>
      <c r="E205" s="27"/>
      <c r="F205" s="27"/>
      <c r="G205" s="27"/>
      <c r="H205" s="28"/>
      <c r="I205" s="27"/>
      <c r="J205" s="26"/>
      <c r="K205" s="26"/>
    </row>
    <row r="206" customFormat="false" ht="15" hidden="false" customHeight="true" outlineLevel="0" collapsed="false">
      <c r="A206" s="25"/>
      <c r="B206" s="26"/>
      <c r="C206" s="26"/>
      <c r="D206" s="26"/>
      <c r="E206" s="27"/>
      <c r="F206" s="27"/>
      <c r="G206" s="27"/>
      <c r="H206" s="28"/>
      <c r="I206" s="27"/>
      <c r="J206" s="26"/>
      <c r="K206" s="26"/>
    </row>
    <row r="207" customFormat="false" ht="15" hidden="false" customHeight="true" outlineLevel="0" collapsed="false">
      <c r="A207" s="25"/>
      <c r="B207" s="26"/>
      <c r="C207" s="26"/>
      <c r="D207" s="26"/>
      <c r="E207" s="27"/>
      <c r="F207" s="27"/>
      <c r="G207" s="27"/>
      <c r="H207" s="28"/>
      <c r="I207" s="27"/>
      <c r="J207" s="26"/>
      <c r="K207" s="26"/>
    </row>
    <row r="208" customFormat="false" ht="15" hidden="false" customHeight="true" outlineLevel="0" collapsed="false">
      <c r="A208" s="25"/>
      <c r="B208" s="26"/>
      <c r="C208" s="26"/>
      <c r="D208" s="26"/>
      <c r="E208" s="27"/>
      <c r="F208" s="27"/>
      <c r="G208" s="27"/>
      <c r="H208" s="28"/>
      <c r="I208" s="27"/>
      <c r="J208" s="26"/>
      <c r="K208" s="26"/>
    </row>
    <row r="209" customFormat="false" ht="15" hidden="false" customHeight="true" outlineLevel="0" collapsed="false">
      <c r="A209" s="25"/>
      <c r="B209" s="26"/>
      <c r="C209" s="26"/>
      <c r="D209" s="26"/>
      <c r="E209" s="27"/>
      <c r="F209" s="27"/>
      <c r="G209" s="27"/>
      <c r="H209" s="28"/>
      <c r="I209" s="27"/>
      <c r="J209" s="26"/>
      <c r="K209" s="26"/>
    </row>
    <row r="210" customFormat="false" ht="15" hidden="false" customHeight="true" outlineLevel="0" collapsed="false">
      <c r="A210" s="25"/>
      <c r="B210" s="26"/>
      <c r="C210" s="26"/>
      <c r="D210" s="26"/>
      <c r="E210" s="27"/>
      <c r="F210" s="27"/>
      <c r="G210" s="27"/>
      <c r="H210" s="28"/>
      <c r="I210" s="27"/>
      <c r="J210" s="26"/>
      <c r="K210" s="26"/>
    </row>
    <row r="211" customFormat="false" ht="15" hidden="false" customHeight="true" outlineLevel="0" collapsed="false">
      <c r="A211" s="25"/>
      <c r="B211" s="26"/>
      <c r="C211" s="26"/>
      <c r="D211" s="26"/>
      <c r="E211" s="27"/>
      <c r="F211" s="27"/>
      <c r="G211" s="27"/>
      <c r="H211" s="28"/>
      <c r="I211" s="27"/>
      <c r="J211" s="26"/>
      <c r="K211" s="26"/>
    </row>
    <row r="212" customFormat="false" ht="15" hidden="false" customHeight="true" outlineLevel="0" collapsed="false">
      <c r="A212" s="25"/>
      <c r="B212" s="26"/>
      <c r="C212" s="26"/>
      <c r="D212" s="26"/>
      <c r="E212" s="27"/>
      <c r="F212" s="27"/>
      <c r="G212" s="27"/>
      <c r="H212" s="28"/>
      <c r="I212" s="27"/>
      <c r="J212" s="26"/>
      <c r="K212" s="26"/>
    </row>
    <row r="213" customFormat="false" ht="15" hidden="false" customHeight="true" outlineLevel="0" collapsed="false">
      <c r="A213" s="25"/>
      <c r="B213" s="26"/>
      <c r="C213" s="26"/>
      <c r="D213" s="26"/>
      <c r="E213" s="27"/>
      <c r="F213" s="27"/>
      <c r="G213" s="27"/>
      <c r="H213" s="28"/>
      <c r="I213" s="27"/>
      <c r="J213" s="26"/>
      <c r="K213" s="26"/>
    </row>
    <row r="214" customFormat="false" ht="15" hidden="false" customHeight="true" outlineLevel="0" collapsed="false">
      <c r="A214" s="25"/>
      <c r="B214" s="26"/>
      <c r="C214" s="26"/>
      <c r="D214" s="26"/>
      <c r="E214" s="27"/>
      <c r="F214" s="27"/>
      <c r="G214" s="27"/>
      <c r="H214" s="28"/>
      <c r="I214" s="27"/>
      <c r="J214" s="26"/>
      <c r="K214" s="26"/>
    </row>
    <row r="215" customFormat="false" ht="15" hidden="false" customHeight="true" outlineLevel="0" collapsed="false">
      <c r="A215" s="25"/>
      <c r="B215" s="26"/>
      <c r="C215" s="26"/>
      <c r="D215" s="26"/>
      <c r="E215" s="27"/>
      <c r="F215" s="27"/>
      <c r="G215" s="27"/>
      <c r="H215" s="28"/>
      <c r="I215" s="27"/>
      <c r="J215" s="26"/>
      <c r="K215" s="26"/>
    </row>
    <row r="216" customFormat="false" ht="15" hidden="false" customHeight="true" outlineLevel="0" collapsed="false">
      <c r="A216" s="25"/>
      <c r="B216" s="26"/>
      <c r="C216" s="26"/>
      <c r="D216" s="26"/>
      <c r="E216" s="27"/>
      <c r="F216" s="27"/>
      <c r="G216" s="27"/>
      <c r="H216" s="28"/>
      <c r="I216" s="27"/>
      <c r="J216" s="26"/>
      <c r="K216" s="26"/>
    </row>
    <row r="217" customFormat="false" ht="15" hidden="false" customHeight="true" outlineLevel="0" collapsed="false">
      <c r="A217" s="25"/>
      <c r="B217" s="26"/>
      <c r="C217" s="26"/>
      <c r="D217" s="26"/>
      <c r="E217" s="27"/>
      <c r="F217" s="27"/>
      <c r="G217" s="27"/>
      <c r="H217" s="28"/>
      <c r="I217" s="27"/>
      <c r="J217" s="26"/>
      <c r="K217" s="26"/>
    </row>
    <row r="218" customFormat="false" ht="15" hidden="false" customHeight="true" outlineLevel="0" collapsed="false">
      <c r="A218" s="25"/>
      <c r="B218" s="26"/>
      <c r="C218" s="26"/>
      <c r="D218" s="26"/>
      <c r="E218" s="27"/>
      <c r="F218" s="27"/>
      <c r="G218" s="27"/>
      <c r="H218" s="28"/>
      <c r="I218" s="27"/>
      <c r="J218" s="26"/>
      <c r="K218" s="26"/>
    </row>
    <row r="219" customFormat="false" ht="15" hidden="false" customHeight="true" outlineLevel="0" collapsed="false">
      <c r="A219" s="25"/>
      <c r="B219" s="26"/>
      <c r="C219" s="26"/>
      <c r="D219" s="26"/>
      <c r="E219" s="27"/>
      <c r="F219" s="27"/>
      <c r="G219" s="27"/>
      <c r="H219" s="28"/>
      <c r="I219" s="27"/>
      <c r="J219" s="26"/>
      <c r="K219" s="26"/>
    </row>
    <row r="220" customFormat="false" ht="15" hidden="false" customHeight="true" outlineLevel="0" collapsed="false">
      <c r="A220" s="25"/>
      <c r="B220" s="26"/>
      <c r="C220" s="26"/>
      <c r="D220" s="26"/>
      <c r="E220" s="27"/>
      <c r="F220" s="27"/>
      <c r="G220" s="27"/>
      <c r="H220" s="28"/>
      <c r="I220" s="27"/>
      <c r="J220" s="26"/>
      <c r="K220" s="26"/>
    </row>
    <row r="221" customFormat="false" ht="15" hidden="false" customHeight="true" outlineLevel="0" collapsed="false">
      <c r="A221" s="25"/>
      <c r="B221" s="26"/>
      <c r="C221" s="26"/>
      <c r="D221" s="26"/>
      <c r="E221" s="27"/>
      <c r="F221" s="27"/>
      <c r="G221" s="27"/>
      <c r="H221" s="28"/>
      <c r="I221" s="27"/>
      <c r="J221" s="26"/>
      <c r="K221" s="26"/>
    </row>
    <row r="222" customFormat="false" ht="15" hidden="false" customHeight="true" outlineLevel="0" collapsed="false">
      <c r="A222" s="25"/>
      <c r="B222" s="26"/>
      <c r="C222" s="26"/>
      <c r="D222" s="26"/>
      <c r="E222" s="27"/>
      <c r="F222" s="27"/>
      <c r="G222" s="27"/>
      <c r="H222" s="28"/>
      <c r="I222" s="27"/>
      <c r="J222" s="26"/>
      <c r="K222" s="26"/>
    </row>
    <row r="223" customFormat="false" ht="15" hidden="false" customHeight="true" outlineLevel="0" collapsed="false">
      <c r="A223" s="25"/>
      <c r="B223" s="26"/>
      <c r="C223" s="26"/>
      <c r="D223" s="26"/>
      <c r="E223" s="27"/>
      <c r="F223" s="27"/>
      <c r="G223" s="27"/>
      <c r="H223" s="28"/>
      <c r="I223" s="27"/>
      <c r="J223" s="26"/>
      <c r="K223" s="26"/>
    </row>
    <row r="224" customFormat="false" ht="15" hidden="false" customHeight="true" outlineLevel="0" collapsed="false">
      <c r="A224" s="25"/>
      <c r="B224" s="26"/>
      <c r="C224" s="26"/>
      <c r="D224" s="26"/>
      <c r="E224" s="27"/>
      <c r="F224" s="27"/>
      <c r="G224" s="27"/>
      <c r="H224" s="28"/>
      <c r="I224" s="27"/>
      <c r="J224" s="26"/>
      <c r="K224" s="26"/>
    </row>
    <row r="225" customFormat="false" ht="15" hidden="false" customHeight="true" outlineLevel="0" collapsed="false">
      <c r="A225" s="25"/>
      <c r="B225" s="26"/>
      <c r="C225" s="26"/>
      <c r="D225" s="26"/>
      <c r="E225" s="27"/>
      <c r="F225" s="27"/>
      <c r="G225" s="27"/>
      <c r="H225" s="28"/>
      <c r="I225" s="27"/>
      <c r="J225" s="26"/>
      <c r="K225" s="26"/>
    </row>
    <row r="226" customFormat="false" ht="15" hidden="false" customHeight="true" outlineLevel="0" collapsed="false">
      <c r="A226" s="25"/>
      <c r="B226" s="26"/>
      <c r="C226" s="26"/>
      <c r="D226" s="26"/>
      <c r="E226" s="27"/>
      <c r="F226" s="27"/>
      <c r="G226" s="27"/>
      <c r="H226" s="28"/>
      <c r="I226" s="27"/>
      <c r="J226" s="26"/>
      <c r="K226" s="26"/>
    </row>
    <row r="227" customFormat="false" ht="15" hidden="false" customHeight="true" outlineLevel="0" collapsed="false">
      <c r="A227" s="25"/>
      <c r="B227" s="26"/>
      <c r="C227" s="26"/>
      <c r="D227" s="26"/>
      <c r="E227" s="27"/>
      <c r="F227" s="27"/>
      <c r="G227" s="27"/>
      <c r="H227" s="28"/>
      <c r="I227" s="27"/>
      <c r="J227" s="26"/>
      <c r="K227" s="26"/>
    </row>
    <row r="228" customFormat="false" ht="15" hidden="false" customHeight="true" outlineLevel="0" collapsed="false">
      <c r="A228" s="25"/>
      <c r="B228" s="26"/>
      <c r="C228" s="26"/>
      <c r="D228" s="26"/>
      <c r="E228" s="27"/>
      <c r="F228" s="27"/>
      <c r="G228" s="27"/>
      <c r="H228" s="28"/>
      <c r="I228" s="27"/>
      <c r="J228" s="26"/>
      <c r="K228" s="26"/>
    </row>
    <row r="229" customFormat="false" ht="15" hidden="false" customHeight="true" outlineLevel="0" collapsed="false">
      <c r="A229" s="25"/>
      <c r="B229" s="26"/>
      <c r="C229" s="26"/>
      <c r="D229" s="26"/>
      <c r="E229" s="27"/>
      <c r="F229" s="27"/>
      <c r="G229" s="27"/>
      <c r="H229" s="28"/>
      <c r="I229" s="27"/>
      <c r="J229" s="26"/>
      <c r="K229" s="26"/>
    </row>
    <row r="230" customFormat="false" ht="15" hidden="false" customHeight="true" outlineLevel="0" collapsed="false">
      <c r="A230" s="25"/>
      <c r="B230" s="26"/>
      <c r="C230" s="26"/>
      <c r="D230" s="26"/>
      <c r="E230" s="27"/>
      <c r="F230" s="27"/>
      <c r="G230" s="27"/>
      <c r="H230" s="28"/>
      <c r="I230" s="27"/>
      <c r="J230" s="26"/>
      <c r="K230" s="26"/>
    </row>
    <row r="231" customFormat="false" ht="15" hidden="false" customHeight="true" outlineLevel="0" collapsed="false">
      <c r="A231" s="25"/>
      <c r="B231" s="26"/>
      <c r="C231" s="26"/>
      <c r="D231" s="26"/>
      <c r="E231" s="27"/>
      <c r="F231" s="27"/>
      <c r="G231" s="27"/>
      <c r="H231" s="28"/>
      <c r="I231" s="27"/>
      <c r="J231" s="26"/>
      <c r="K231" s="26"/>
    </row>
    <row r="232" customFormat="false" ht="15" hidden="false" customHeight="true" outlineLevel="0" collapsed="false">
      <c r="A232" s="25"/>
      <c r="B232" s="26"/>
      <c r="C232" s="26"/>
      <c r="D232" s="26"/>
      <c r="E232" s="27"/>
      <c r="F232" s="27"/>
      <c r="G232" s="27"/>
      <c r="H232" s="28"/>
      <c r="I232" s="27"/>
      <c r="J232" s="26"/>
      <c r="K232" s="26"/>
    </row>
    <row r="233" customFormat="false" ht="15" hidden="false" customHeight="true" outlineLevel="0" collapsed="false">
      <c r="A233" s="25"/>
      <c r="B233" s="26"/>
      <c r="C233" s="26"/>
      <c r="D233" s="26"/>
      <c r="E233" s="27"/>
      <c r="F233" s="27"/>
      <c r="G233" s="27"/>
      <c r="H233" s="28"/>
      <c r="I233" s="27"/>
      <c r="J233" s="26"/>
      <c r="K233" s="26"/>
    </row>
    <row r="234" customFormat="false" ht="15" hidden="false" customHeight="true" outlineLevel="0" collapsed="false">
      <c r="A234" s="25"/>
      <c r="B234" s="26"/>
      <c r="C234" s="26"/>
      <c r="D234" s="26"/>
      <c r="E234" s="27"/>
      <c r="F234" s="27"/>
      <c r="G234" s="27"/>
      <c r="H234" s="28"/>
      <c r="I234" s="27"/>
      <c r="J234" s="26"/>
      <c r="K234" s="26"/>
    </row>
    <row r="235" customFormat="false" ht="15" hidden="false" customHeight="true" outlineLevel="0" collapsed="false">
      <c r="A235" s="25"/>
      <c r="B235" s="26"/>
      <c r="C235" s="26"/>
      <c r="D235" s="26"/>
      <c r="E235" s="27"/>
      <c r="F235" s="27"/>
      <c r="G235" s="27"/>
      <c r="H235" s="28"/>
      <c r="I235" s="27"/>
      <c r="J235" s="26"/>
      <c r="K235" s="26"/>
    </row>
    <row r="236" customFormat="false" ht="15" hidden="false" customHeight="true" outlineLevel="0" collapsed="false">
      <c r="A236" s="25"/>
      <c r="B236" s="26"/>
      <c r="C236" s="26"/>
      <c r="D236" s="26"/>
      <c r="E236" s="27"/>
      <c r="F236" s="27"/>
      <c r="G236" s="27"/>
      <c r="H236" s="28"/>
      <c r="I236" s="27"/>
      <c r="J236" s="26"/>
      <c r="K236" s="26"/>
    </row>
    <row r="237" customFormat="false" ht="15" hidden="false" customHeight="true" outlineLevel="0" collapsed="false">
      <c r="A237" s="25"/>
      <c r="B237" s="26"/>
      <c r="C237" s="26"/>
      <c r="D237" s="26"/>
      <c r="E237" s="27"/>
      <c r="F237" s="27"/>
      <c r="G237" s="27"/>
      <c r="H237" s="28"/>
      <c r="I237" s="27"/>
      <c r="J237" s="26"/>
      <c r="K237" s="26"/>
    </row>
    <row r="238" customFormat="false" ht="15" hidden="false" customHeight="true" outlineLevel="0" collapsed="false">
      <c r="A238" s="25"/>
      <c r="B238" s="26"/>
      <c r="C238" s="26"/>
      <c r="D238" s="26"/>
      <c r="E238" s="27"/>
      <c r="F238" s="27"/>
      <c r="G238" s="27"/>
      <c r="H238" s="28"/>
      <c r="I238" s="27"/>
      <c r="J238" s="26"/>
      <c r="K238" s="26"/>
    </row>
    <row r="239" customFormat="false" ht="15" hidden="false" customHeight="true" outlineLevel="0" collapsed="false">
      <c r="A239" s="25"/>
      <c r="B239" s="26"/>
      <c r="C239" s="26"/>
      <c r="D239" s="26"/>
      <c r="E239" s="27"/>
      <c r="F239" s="27"/>
      <c r="G239" s="27"/>
      <c r="H239" s="28"/>
      <c r="I239" s="27"/>
      <c r="J239" s="26"/>
      <c r="K239" s="26"/>
    </row>
    <row r="240" customFormat="false" ht="15" hidden="false" customHeight="true" outlineLevel="0" collapsed="false">
      <c r="A240" s="25"/>
      <c r="B240" s="26"/>
      <c r="C240" s="26"/>
      <c r="D240" s="26"/>
      <c r="E240" s="27"/>
      <c r="F240" s="27"/>
      <c r="G240" s="27"/>
      <c r="H240" s="28"/>
      <c r="I240" s="27"/>
      <c r="J240" s="26"/>
      <c r="K240" s="26"/>
    </row>
    <row r="241" customFormat="false" ht="15" hidden="false" customHeight="true" outlineLevel="0" collapsed="false">
      <c r="A241" s="25"/>
      <c r="B241" s="26"/>
      <c r="C241" s="26"/>
      <c r="D241" s="26"/>
      <c r="E241" s="27"/>
      <c r="F241" s="27"/>
      <c r="G241" s="27"/>
      <c r="H241" s="28"/>
      <c r="I241" s="27"/>
      <c r="J241" s="26"/>
      <c r="K241" s="26"/>
    </row>
    <row r="242" customFormat="false" ht="15" hidden="false" customHeight="true" outlineLevel="0" collapsed="false">
      <c r="A242" s="25"/>
      <c r="B242" s="26"/>
      <c r="C242" s="26"/>
      <c r="D242" s="26"/>
      <c r="E242" s="27"/>
      <c r="F242" s="27"/>
      <c r="G242" s="27"/>
      <c r="H242" s="28"/>
      <c r="I242" s="27"/>
      <c r="J242" s="26"/>
      <c r="K242" s="26"/>
    </row>
    <row r="243" customFormat="false" ht="15" hidden="false" customHeight="true" outlineLevel="0" collapsed="false">
      <c r="A243" s="25"/>
      <c r="B243" s="26"/>
      <c r="C243" s="26"/>
      <c r="D243" s="26"/>
      <c r="E243" s="27"/>
      <c r="F243" s="27"/>
      <c r="G243" s="27"/>
      <c r="H243" s="28"/>
      <c r="I243" s="27"/>
      <c r="J243" s="26"/>
      <c r="K243" s="26"/>
    </row>
    <row r="244" customFormat="false" ht="15" hidden="false" customHeight="true" outlineLevel="0" collapsed="false">
      <c r="A244" s="25"/>
      <c r="B244" s="26"/>
      <c r="C244" s="26"/>
      <c r="D244" s="26"/>
      <c r="E244" s="27"/>
      <c r="F244" s="27"/>
      <c r="G244" s="27"/>
      <c r="H244" s="28"/>
      <c r="I244" s="27"/>
      <c r="J244" s="26"/>
      <c r="K244" s="26"/>
    </row>
    <row r="245" customFormat="false" ht="15" hidden="false" customHeight="true" outlineLevel="0" collapsed="false">
      <c r="A245" s="25"/>
      <c r="B245" s="26"/>
      <c r="C245" s="26"/>
      <c r="D245" s="26"/>
      <c r="E245" s="27"/>
      <c r="F245" s="27"/>
      <c r="G245" s="27"/>
      <c r="H245" s="28"/>
      <c r="I245" s="27"/>
      <c r="J245" s="26"/>
      <c r="K245" s="26"/>
    </row>
    <row r="246" customFormat="false" ht="15" hidden="false" customHeight="true" outlineLevel="0" collapsed="false">
      <c r="A246" s="25"/>
      <c r="B246" s="26"/>
      <c r="C246" s="26"/>
      <c r="D246" s="26"/>
      <c r="E246" s="27"/>
      <c r="F246" s="27"/>
      <c r="G246" s="27"/>
      <c r="H246" s="28"/>
      <c r="I246" s="27"/>
      <c r="J246" s="26"/>
      <c r="K246" s="26"/>
    </row>
    <row r="247" customFormat="false" ht="15" hidden="false" customHeight="true" outlineLevel="0" collapsed="false">
      <c r="A247" s="25"/>
      <c r="B247" s="26"/>
      <c r="C247" s="26"/>
      <c r="D247" s="26"/>
      <c r="E247" s="27"/>
      <c r="F247" s="27"/>
      <c r="G247" s="27"/>
      <c r="H247" s="28"/>
      <c r="I247" s="27"/>
      <c r="J247" s="26"/>
      <c r="K247" s="26"/>
    </row>
    <row r="248" customFormat="false" ht="15" hidden="false" customHeight="true" outlineLevel="0" collapsed="false">
      <c r="A248" s="25"/>
      <c r="B248" s="26"/>
      <c r="C248" s="26"/>
      <c r="D248" s="26"/>
      <c r="E248" s="27"/>
      <c r="F248" s="27"/>
      <c r="G248" s="27"/>
      <c r="H248" s="28"/>
      <c r="I248" s="27"/>
      <c r="J248" s="26"/>
      <c r="K248" s="26"/>
    </row>
    <row r="249" customFormat="false" ht="15" hidden="false" customHeight="true" outlineLevel="0" collapsed="false">
      <c r="A249" s="25"/>
      <c r="B249" s="26"/>
      <c r="C249" s="26"/>
      <c r="D249" s="26"/>
      <c r="E249" s="27"/>
      <c r="F249" s="27"/>
      <c r="G249" s="27"/>
      <c r="H249" s="28"/>
      <c r="I249" s="27"/>
      <c r="J249" s="26"/>
      <c r="K249" s="26"/>
    </row>
    <row r="250" customFormat="false" ht="15" hidden="false" customHeight="true" outlineLevel="0" collapsed="false">
      <c r="A250" s="25"/>
      <c r="B250" s="26"/>
      <c r="C250" s="26"/>
      <c r="D250" s="26"/>
      <c r="E250" s="27"/>
      <c r="F250" s="27"/>
      <c r="G250" s="27"/>
      <c r="H250" s="28"/>
      <c r="I250" s="27"/>
      <c r="J250" s="26"/>
      <c r="K250" s="26"/>
    </row>
    <row r="251" customFormat="false" ht="15" hidden="false" customHeight="true" outlineLevel="0" collapsed="false">
      <c r="A251" s="25"/>
      <c r="B251" s="26"/>
      <c r="C251" s="26"/>
      <c r="D251" s="26"/>
      <c r="E251" s="27"/>
      <c r="F251" s="27"/>
      <c r="G251" s="27"/>
      <c r="H251" s="28"/>
      <c r="I251" s="27"/>
      <c r="J251" s="26"/>
      <c r="K251" s="26"/>
    </row>
    <row r="252" customFormat="false" ht="15" hidden="false" customHeight="true" outlineLevel="0" collapsed="false">
      <c r="A252" s="25"/>
      <c r="B252" s="26"/>
      <c r="C252" s="26"/>
      <c r="D252" s="26"/>
      <c r="E252" s="27"/>
      <c r="F252" s="27"/>
      <c r="G252" s="27"/>
      <c r="H252" s="28"/>
      <c r="I252" s="27"/>
      <c r="J252" s="26"/>
      <c r="K252" s="26"/>
    </row>
    <row r="253" customFormat="false" ht="15" hidden="false" customHeight="true" outlineLevel="0" collapsed="false">
      <c r="A253" s="25"/>
      <c r="B253" s="26"/>
      <c r="C253" s="26"/>
      <c r="D253" s="26"/>
      <c r="E253" s="27"/>
      <c r="F253" s="27"/>
      <c r="G253" s="27"/>
      <c r="H253" s="28"/>
      <c r="I253" s="27"/>
      <c r="J253" s="26"/>
      <c r="K253" s="26"/>
    </row>
    <row r="254" customFormat="false" ht="15" hidden="false" customHeight="true" outlineLevel="0" collapsed="false">
      <c r="A254" s="25"/>
      <c r="B254" s="26"/>
      <c r="C254" s="26"/>
      <c r="D254" s="26"/>
      <c r="E254" s="27"/>
      <c r="F254" s="27"/>
      <c r="G254" s="27"/>
      <c r="H254" s="28"/>
      <c r="I254" s="27"/>
      <c r="J254" s="26"/>
      <c r="K254" s="26"/>
    </row>
    <row r="255" customFormat="false" ht="15" hidden="false" customHeight="true" outlineLevel="0" collapsed="false">
      <c r="A255" s="25"/>
      <c r="B255" s="26"/>
      <c r="C255" s="26"/>
      <c r="D255" s="26"/>
      <c r="E255" s="27"/>
      <c r="F255" s="27"/>
      <c r="G255" s="27"/>
      <c r="H255" s="28"/>
      <c r="I255" s="27"/>
      <c r="J255" s="26"/>
      <c r="K255" s="26"/>
    </row>
    <row r="256" customFormat="false" ht="15" hidden="false" customHeight="true" outlineLevel="0" collapsed="false">
      <c r="A256" s="25"/>
      <c r="B256" s="26"/>
      <c r="C256" s="26"/>
      <c r="D256" s="26"/>
      <c r="E256" s="27"/>
      <c r="F256" s="27"/>
      <c r="G256" s="27"/>
      <c r="H256" s="28"/>
      <c r="I256" s="27"/>
      <c r="J256" s="26"/>
      <c r="K256" s="26"/>
    </row>
    <row r="257" customFormat="false" ht="15" hidden="false" customHeight="true" outlineLevel="0" collapsed="false">
      <c r="A257" s="25"/>
      <c r="B257" s="26"/>
      <c r="C257" s="26"/>
      <c r="D257" s="26"/>
      <c r="E257" s="27"/>
      <c r="F257" s="27"/>
      <c r="G257" s="27"/>
      <c r="H257" s="28"/>
      <c r="I257" s="27"/>
      <c r="J257" s="26"/>
      <c r="K257" s="26"/>
    </row>
    <row r="258" customFormat="false" ht="15" hidden="false" customHeight="true" outlineLevel="0" collapsed="false">
      <c r="A258" s="25"/>
      <c r="B258" s="26"/>
      <c r="C258" s="26"/>
      <c r="D258" s="26"/>
      <c r="E258" s="27"/>
      <c r="F258" s="27"/>
      <c r="G258" s="27"/>
      <c r="H258" s="28"/>
      <c r="I258" s="27"/>
      <c r="J258" s="26"/>
      <c r="K258" s="26"/>
    </row>
    <row r="259" customFormat="false" ht="15" hidden="false" customHeight="true" outlineLevel="0" collapsed="false">
      <c r="A259" s="25"/>
      <c r="B259" s="26"/>
      <c r="C259" s="26"/>
      <c r="D259" s="26"/>
      <c r="E259" s="27"/>
      <c r="F259" s="27"/>
      <c r="G259" s="27"/>
      <c r="H259" s="28"/>
      <c r="I259" s="27"/>
      <c r="J259" s="26"/>
      <c r="K259" s="26"/>
    </row>
    <row r="260" customFormat="false" ht="15" hidden="false" customHeight="true" outlineLevel="0" collapsed="false">
      <c r="A260" s="25"/>
      <c r="B260" s="26"/>
      <c r="C260" s="26"/>
      <c r="D260" s="26"/>
      <c r="E260" s="27"/>
      <c r="F260" s="27"/>
      <c r="G260" s="27"/>
      <c r="H260" s="28"/>
      <c r="I260" s="27"/>
      <c r="J260" s="26"/>
      <c r="K260" s="26"/>
    </row>
    <row r="261" customFormat="false" ht="15" hidden="false" customHeight="true" outlineLevel="0" collapsed="false">
      <c r="A261" s="25"/>
      <c r="B261" s="26"/>
      <c r="C261" s="26"/>
      <c r="D261" s="26"/>
      <c r="E261" s="27"/>
      <c r="F261" s="27"/>
      <c r="G261" s="27"/>
      <c r="H261" s="28"/>
      <c r="I261" s="27"/>
      <c r="J261" s="26"/>
      <c r="K261" s="26"/>
    </row>
    <row r="262" customFormat="false" ht="15" hidden="false" customHeight="true" outlineLevel="0" collapsed="false">
      <c r="A262" s="25"/>
      <c r="B262" s="26"/>
      <c r="C262" s="26"/>
      <c r="D262" s="26"/>
      <c r="E262" s="27"/>
      <c r="F262" s="27"/>
      <c r="G262" s="27"/>
      <c r="H262" s="28"/>
      <c r="I262" s="27"/>
      <c r="J262" s="26"/>
      <c r="K262" s="26"/>
    </row>
    <row r="263" customFormat="false" ht="15" hidden="false" customHeight="true" outlineLevel="0" collapsed="false">
      <c r="A263" s="25"/>
      <c r="B263" s="26"/>
      <c r="C263" s="26"/>
      <c r="D263" s="26"/>
      <c r="E263" s="27"/>
      <c r="F263" s="27"/>
      <c r="G263" s="27"/>
      <c r="H263" s="28"/>
      <c r="I263" s="27"/>
      <c r="J263" s="26"/>
      <c r="K263" s="26"/>
    </row>
    <row r="264" customFormat="false" ht="15" hidden="false" customHeight="true" outlineLevel="0" collapsed="false">
      <c r="A264" s="25"/>
      <c r="B264" s="26"/>
      <c r="C264" s="26"/>
      <c r="D264" s="26"/>
      <c r="E264" s="27"/>
      <c r="F264" s="27"/>
      <c r="G264" s="27"/>
      <c r="H264" s="28"/>
      <c r="I264" s="27"/>
      <c r="J264" s="26"/>
      <c r="K264" s="26"/>
    </row>
    <row r="265" customFormat="false" ht="15" hidden="false" customHeight="true" outlineLevel="0" collapsed="false">
      <c r="A265" s="25"/>
      <c r="B265" s="26"/>
      <c r="C265" s="26"/>
      <c r="D265" s="26"/>
      <c r="E265" s="27"/>
      <c r="F265" s="27"/>
      <c r="G265" s="27"/>
      <c r="H265" s="28"/>
      <c r="I265" s="27"/>
      <c r="J265" s="26"/>
      <c r="K265" s="26"/>
    </row>
    <row r="266" customFormat="false" ht="15" hidden="false" customHeight="true" outlineLevel="0" collapsed="false">
      <c r="A266" s="25"/>
      <c r="B266" s="26"/>
      <c r="C266" s="26"/>
      <c r="D266" s="26"/>
      <c r="E266" s="27"/>
      <c r="F266" s="27"/>
      <c r="G266" s="27"/>
      <c r="H266" s="28"/>
      <c r="I266" s="27"/>
      <c r="J266" s="26"/>
      <c r="K266" s="26"/>
    </row>
    <row r="267" customFormat="false" ht="15" hidden="false" customHeight="true" outlineLevel="0" collapsed="false">
      <c r="A267" s="25"/>
      <c r="B267" s="26"/>
      <c r="C267" s="26"/>
      <c r="D267" s="26"/>
      <c r="E267" s="27"/>
      <c r="F267" s="27"/>
      <c r="G267" s="27"/>
      <c r="H267" s="28"/>
      <c r="I267" s="27"/>
      <c r="J267" s="26"/>
      <c r="K267" s="26"/>
    </row>
    <row r="268" customFormat="false" ht="15" hidden="false" customHeight="true" outlineLevel="0" collapsed="false">
      <c r="A268" s="25"/>
      <c r="B268" s="26"/>
      <c r="C268" s="26"/>
      <c r="D268" s="26"/>
      <c r="E268" s="27"/>
      <c r="F268" s="27"/>
      <c r="G268" s="27"/>
      <c r="H268" s="28"/>
      <c r="I268" s="27"/>
      <c r="J268" s="26"/>
      <c r="K268" s="26"/>
    </row>
    <row r="269" customFormat="false" ht="15" hidden="false" customHeight="true" outlineLevel="0" collapsed="false">
      <c r="A269" s="25"/>
      <c r="B269" s="26"/>
      <c r="C269" s="26"/>
      <c r="D269" s="26"/>
      <c r="E269" s="27"/>
      <c r="F269" s="27"/>
      <c r="G269" s="27"/>
      <c r="H269" s="28"/>
      <c r="I269" s="27"/>
      <c r="J269" s="26"/>
      <c r="K269" s="26"/>
    </row>
    <row r="270" customFormat="false" ht="15" hidden="false" customHeight="true" outlineLevel="0" collapsed="false">
      <c r="A270" s="25"/>
      <c r="B270" s="26"/>
      <c r="C270" s="26"/>
      <c r="D270" s="26"/>
      <c r="E270" s="27"/>
      <c r="F270" s="27"/>
      <c r="G270" s="27"/>
      <c r="H270" s="28"/>
      <c r="I270" s="27"/>
      <c r="J270" s="26"/>
      <c r="K270" s="26"/>
    </row>
    <row r="271" customFormat="false" ht="15" hidden="false" customHeight="true" outlineLevel="0" collapsed="false">
      <c r="A271" s="25"/>
      <c r="B271" s="26"/>
      <c r="C271" s="26"/>
      <c r="D271" s="26"/>
      <c r="E271" s="27"/>
      <c r="F271" s="27"/>
      <c r="G271" s="27"/>
      <c r="H271" s="28"/>
      <c r="I271" s="27"/>
      <c r="J271" s="26"/>
      <c r="K271" s="26"/>
    </row>
    <row r="272" customFormat="false" ht="15" hidden="false" customHeight="true" outlineLevel="0" collapsed="false">
      <c r="A272" s="25"/>
      <c r="B272" s="26"/>
      <c r="C272" s="26"/>
      <c r="D272" s="26"/>
      <c r="E272" s="27"/>
      <c r="F272" s="27"/>
      <c r="G272" s="27"/>
      <c r="H272" s="28"/>
      <c r="I272" s="27"/>
      <c r="J272" s="26"/>
      <c r="K272" s="26"/>
    </row>
    <row r="273" customFormat="false" ht="15" hidden="false" customHeight="true" outlineLevel="0" collapsed="false">
      <c r="A273" s="25"/>
      <c r="B273" s="26"/>
      <c r="C273" s="26"/>
      <c r="D273" s="26"/>
      <c r="E273" s="27"/>
      <c r="F273" s="27"/>
      <c r="G273" s="27"/>
      <c r="H273" s="28"/>
      <c r="I273" s="27"/>
      <c r="J273" s="26"/>
      <c r="K273" s="26"/>
    </row>
    <row r="274" customFormat="false" ht="15" hidden="false" customHeight="true" outlineLevel="0" collapsed="false">
      <c r="A274" s="25"/>
      <c r="B274" s="26"/>
      <c r="C274" s="26"/>
      <c r="D274" s="26"/>
      <c r="E274" s="27"/>
      <c r="F274" s="27"/>
      <c r="G274" s="27"/>
      <c r="H274" s="28"/>
      <c r="I274" s="27"/>
      <c r="J274" s="26"/>
      <c r="K274" s="26"/>
    </row>
    <row r="275" customFormat="false" ht="15" hidden="false" customHeight="true" outlineLevel="0" collapsed="false">
      <c r="A275" s="25"/>
      <c r="B275" s="26"/>
      <c r="C275" s="26"/>
      <c r="D275" s="26"/>
      <c r="E275" s="27"/>
      <c r="F275" s="27"/>
      <c r="G275" s="27"/>
      <c r="H275" s="28"/>
      <c r="I275" s="27"/>
      <c r="J275" s="26"/>
      <c r="K275" s="26"/>
    </row>
    <row r="276" customFormat="false" ht="15" hidden="false" customHeight="true" outlineLevel="0" collapsed="false">
      <c r="A276" s="25"/>
      <c r="B276" s="26"/>
      <c r="C276" s="26"/>
      <c r="D276" s="26"/>
      <c r="E276" s="27"/>
      <c r="F276" s="27"/>
      <c r="G276" s="27"/>
      <c r="H276" s="28"/>
      <c r="I276" s="27"/>
      <c r="J276" s="26"/>
      <c r="K276" s="26"/>
    </row>
    <row r="277" customFormat="false" ht="15" hidden="false" customHeight="true" outlineLevel="0" collapsed="false">
      <c r="A277" s="25"/>
      <c r="B277" s="26"/>
      <c r="C277" s="26"/>
      <c r="D277" s="26"/>
      <c r="E277" s="27"/>
      <c r="F277" s="27"/>
      <c r="G277" s="27"/>
      <c r="H277" s="28"/>
      <c r="I277" s="27"/>
      <c r="J277" s="26"/>
      <c r="K277" s="26"/>
    </row>
    <row r="278" customFormat="false" ht="15" hidden="false" customHeight="true" outlineLevel="0" collapsed="false">
      <c r="A278" s="25"/>
      <c r="B278" s="26"/>
      <c r="C278" s="26"/>
      <c r="D278" s="26"/>
      <c r="E278" s="27"/>
      <c r="F278" s="27"/>
      <c r="G278" s="27"/>
      <c r="H278" s="28"/>
      <c r="I278" s="27"/>
      <c r="J278" s="26"/>
      <c r="K278" s="26"/>
    </row>
    <row r="279" customFormat="false" ht="15" hidden="false" customHeight="true" outlineLevel="0" collapsed="false">
      <c r="A279" s="25"/>
      <c r="B279" s="26"/>
      <c r="C279" s="26"/>
      <c r="D279" s="26"/>
      <c r="E279" s="27"/>
      <c r="F279" s="27"/>
      <c r="G279" s="27"/>
      <c r="H279" s="28"/>
      <c r="I279" s="27"/>
      <c r="J279" s="26"/>
      <c r="K279" s="26"/>
    </row>
    <row r="280" customFormat="false" ht="15" hidden="false" customHeight="true" outlineLevel="0" collapsed="false">
      <c r="A280" s="25"/>
      <c r="B280" s="26"/>
      <c r="C280" s="26"/>
      <c r="D280" s="26"/>
      <c r="E280" s="27"/>
      <c r="F280" s="27"/>
      <c r="G280" s="27"/>
      <c r="H280" s="28"/>
      <c r="I280" s="27"/>
      <c r="J280" s="26"/>
      <c r="K280" s="26"/>
    </row>
    <row r="281" customFormat="false" ht="15" hidden="false" customHeight="true" outlineLevel="0" collapsed="false">
      <c r="A281" s="25"/>
      <c r="B281" s="26"/>
      <c r="C281" s="26"/>
      <c r="D281" s="26"/>
      <c r="E281" s="27"/>
      <c r="F281" s="27"/>
      <c r="G281" s="27"/>
      <c r="H281" s="28"/>
      <c r="I281" s="27"/>
      <c r="J281" s="26"/>
      <c r="K281" s="26"/>
    </row>
    <row r="282" customFormat="false" ht="15" hidden="false" customHeight="true" outlineLevel="0" collapsed="false">
      <c r="A282" s="25"/>
      <c r="B282" s="26"/>
      <c r="C282" s="26"/>
      <c r="D282" s="26"/>
      <c r="E282" s="27"/>
      <c r="F282" s="27"/>
      <c r="G282" s="27"/>
      <c r="H282" s="28"/>
      <c r="I282" s="27"/>
      <c r="J282" s="26"/>
      <c r="K282" s="26"/>
    </row>
    <row r="283" customFormat="false" ht="15" hidden="false" customHeight="true" outlineLevel="0" collapsed="false">
      <c r="A283" s="25"/>
      <c r="B283" s="26"/>
      <c r="C283" s="26"/>
      <c r="D283" s="26"/>
      <c r="E283" s="27"/>
      <c r="F283" s="27"/>
      <c r="G283" s="27"/>
      <c r="H283" s="28"/>
      <c r="I283" s="27"/>
      <c r="J283" s="26"/>
      <c r="K283" s="26"/>
    </row>
    <row r="284" customFormat="false" ht="15" hidden="false" customHeight="true" outlineLevel="0" collapsed="false">
      <c r="A284" s="25"/>
      <c r="B284" s="26"/>
      <c r="C284" s="26"/>
      <c r="D284" s="26"/>
      <c r="E284" s="27"/>
      <c r="F284" s="27"/>
      <c r="G284" s="27"/>
      <c r="H284" s="28"/>
      <c r="I284" s="27"/>
      <c r="J284" s="26"/>
      <c r="K284" s="26"/>
    </row>
    <row r="285" customFormat="false" ht="15" hidden="false" customHeight="true" outlineLevel="0" collapsed="false">
      <c r="A285" s="25"/>
      <c r="B285" s="26"/>
      <c r="C285" s="26"/>
      <c r="D285" s="26"/>
      <c r="E285" s="27"/>
      <c r="F285" s="27"/>
      <c r="G285" s="27"/>
      <c r="H285" s="28"/>
      <c r="I285" s="27"/>
      <c r="J285" s="26"/>
      <c r="K285" s="26"/>
    </row>
    <row r="286" customFormat="false" ht="15" hidden="false" customHeight="true" outlineLevel="0" collapsed="false">
      <c r="A286" s="25"/>
      <c r="B286" s="26"/>
      <c r="C286" s="26"/>
      <c r="D286" s="26"/>
      <c r="E286" s="27"/>
      <c r="F286" s="27"/>
      <c r="G286" s="27"/>
      <c r="H286" s="28"/>
      <c r="I286" s="27"/>
      <c r="J286" s="26"/>
      <c r="K286" s="26"/>
    </row>
    <row r="287" customFormat="false" ht="15" hidden="false" customHeight="true" outlineLevel="0" collapsed="false">
      <c r="A287" s="25"/>
      <c r="B287" s="26"/>
      <c r="C287" s="26"/>
      <c r="D287" s="26"/>
      <c r="E287" s="27"/>
      <c r="F287" s="27"/>
      <c r="G287" s="27"/>
      <c r="H287" s="28"/>
      <c r="I287" s="27"/>
      <c r="J287" s="26"/>
      <c r="K287" s="26"/>
    </row>
    <row r="288" customFormat="false" ht="15" hidden="false" customHeight="true" outlineLevel="0" collapsed="false">
      <c r="A288" s="25"/>
      <c r="B288" s="26"/>
      <c r="C288" s="26"/>
      <c r="D288" s="26"/>
      <c r="E288" s="27"/>
      <c r="F288" s="27"/>
      <c r="G288" s="27"/>
      <c r="H288" s="28"/>
      <c r="I288" s="27"/>
      <c r="J288" s="26"/>
      <c r="K288" s="26"/>
    </row>
    <row r="289" customFormat="false" ht="15" hidden="false" customHeight="true" outlineLevel="0" collapsed="false">
      <c r="A289" s="25"/>
      <c r="B289" s="26"/>
      <c r="C289" s="26"/>
      <c r="D289" s="26"/>
      <c r="E289" s="27"/>
      <c r="F289" s="27"/>
      <c r="G289" s="27"/>
      <c r="H289" s="28"/>
      <c r="I289" s="27"/>
      <c r="J289" s="26"/>
      <c r="K289" s="26"/>
    </row>
    <row r="290" customFormat="false" ht="15" hidden="false" customHeight="true" outlineLevel="0" collapsed="false">
      <c r="A290" s="25"/>
      <c r="B290" s="26"/>
      <c r="C290" s="26"/>
      <c r="D290" s="26"/>
      <c r="E290" s="27"/>
      <c r="F290" s="27"/>
      <c r="G290" s="27"/>
      <c r="H290" s="28"/>
      <c r="I290" s="27"/>
      <c r="J290" s="26"/>
      <c r="K290" s="26"/>
    </row>
    <row r="291" customFormat="false" ht="15" hidden="false" customHeight="true" outlineLevel="0" collapsed="false">
      <c r="A291" s="25"/>
      <c r="B291" s="26"/>
      <c r="C291" s="26"/>
      <c r="D291" s="26"/>
      <c r="E291" s="27"/>
      <c r="F291" s="27"/>
      <c r="G291" s="27"/>
      <c r="H291" s="28"/>
      <c r="I291" s="27"/>
      <c r="J291" s="26"/>
      <c r="K291" s="26"/>
    </row>
    <row r="292" customFormat="false" ht="15" hidden="false" customHeight="true" outlineLevel="0" collapsed="false">
      <c r="A292" s="25"/>
      <c r="B292" s="26"/>
      <c r="C292" s="26"/>
      <c r="D292" s="26"/>
      <c r="E292" s="27"/>
      <c r="F292" s="27"/>
      <c r="G292" s="27"/>
      <c r="H292" s="28"/>
      <c r="I292" s="27"/>
      <c r="J292" s="26"/>
      <c r="K292" s="26"/>
    </row>
    <row r="293" customFormat="false" ht="15" hidden="false" customHeight="true" outlineLevel="0" collapsed="false">
      <c r="A293" s="25"/>
      <c r="B293" s="26"/>
      <c r="C293" s="26"/>
      <c r="D293" s="26"/>
      <c r="E293" s="27"/>
      <c r="F293" s="27"/>
      <c r="G293" s="27"/>
      <c r="H293" s="28"/>
      <c r="I293" s="27"/>
      <c r="J293" s="26"/>
      <c r="K293" s="26"/>
    </row>
    <row r="294" customFormat="false" ht="15" hidden="false" customHeight="true" outlineLevel="0" collapsed="false">
      <c r="A294" s="25"/>
      <c r="B294" s="26"/>
      <c r="C294" s="26"/>
      <c r="D294" s="26"/>
      <c r="E294" s="27"/>
      <c r="F294" s="27"/>
      <c r="G294" s="27"/>
      <c r="H294" s="28"/>
      <c r="I294" s="27"/>
      <c r="J294" s="26"/>
      <c r="K294" s="26"/>
    </row>
    <row r="295" customFormat="false" ht="15" hidden="false" customHeight="true" outlineLevel="0" collapsed="false">
      <c r="A295" s="25"/>
      <c r="B295" s="26"/>
      <c r="C295" s="26"/>
      <c r="D295" s="26"/>
      <c r="E295" s="27"/>
      <c r="F295" s="27"/>
      <c r="G295" s="27"/>
      <c r="H295" s="28"/>
      <c r="I295" s="27"/>
      <c r="J295" s="26"/>
      <c r="K295" s="26"/>
    </row>
    <row r="296" customFormat="false" ht="15" hidden="false" customHeight="true" outlineLevel="0" collapsed="false">
      <c r="A296" s="25"/>
      <c r="B296" s="26"/>
      <c r="C296" s="26"/>
      <c r="D296" s="26"/>
      <c r="E296" s="27"/>
      <c r="F296" s="27"/>
      <c r="G296" s="27"/>
      <c r="H296" s="28"/>
      <c r="I296" s="27"/>
      <c r="J296" s="26"/>
      <c r="K296" s="26"/>
    </row>
    <row r="297" customFormat="false" ht="15" hidden="false" customHeight="true" outlineLevel="0" collapsed="false">
      <c r="A297" s="25"/>
      <c r="B297" s="26"/>
      <c r="C297" s="26"/>
      <c r="D297" s="26"/>
      <c r="E297" s="27"/>
      <c r="F297" s="27"/>
      <c r="G297" s="27"/>
      <c r="H297" s="28"/>
      <c r="I297" s="27"/>
      <c r="J297" s="26"/>
      <c r="K297" s="26"/>
    </row>
    <row r="298" customFormat="false" ht="15" hidden="false" customHeight="true" outlineLevel="0" collapsed="false">
      <c r="A298" s="25"/>
      <c r="B298" s="26"/>
      <c r="C298" s="26"/>
      <c r="D298" s="26"/>
      <c r="E298" s="27"/>
      <c r="F298" s="27"/>
      <c r="G298" s="27"/>
      <c r="H298" s="28"/>
      <c r="I298" s="27"/>
      <c r="J298" s="26"/>
      <c r="K298" s="26"/>
    </row>
    <row r="299" customFormat="false" ht="15" hidden="false" customHeight="true" outlineLevel="0" collapsed="false">
      <c r="A299" s="25"/>
      <c r="B299" s="26"/>
      <c r="C299" s="26"/>
      <c r="D299" s="26"/>
      <c r="E299" s="27"/>
      <c r="F299" s="27"/>
      <c r="G299" s="27"/>
      <c r="H299" s="28"/>
      <c r="I299" s="27"/>
      <c r="J299" s="26"/>
      <c r="K299" s="26"/>
    </row>
    <row r="300" customFormat="false" ht="15" hidden="false" customHeight="true" outlineLevel="0" collapsed="false">
      <c r="A300" s="25"/>
      <c r="B300" s="26"/>
      <c r="C300" s="26"/>
      <c r="D300" s="26"/>
      <c r="E300" s="27"/>
      <c r="F300" s="27"/>
      <c r="G300" s="27"/>
      <c r="H300" s="28"/>
      <c r="I300" s="27"/>
      <c r="J300" s="26"/>
      <c r="K300" s="26"/>
    </row>
    <row r="301" customFormat="false" ht="15" hidden="false" customHeight="true" outlineLevel="0" collapsed="false">
      <c r="A301" s="25"/>
      <c r="B301" s="26"/>
      <c r="C301" s="26"/>
      <c r="D301" s="26"/>
      <c r="E301" s="27"/>
      <c r="F301" s="27"/>
      <c r="G301" s="27"/>
      <c r="H301" s="28"/>
      <c r="I301" s="27"/>
      <c r="J301" s="26"/>
      <c r="K301" s="26"/>
    </row>
    <row r="302" customFormat="false" ht="15" hidden="false" customHeight="true" outlineLevel="0" collapsed="false">
      <c r="A302" s="25"/>
      <c r="B302" s="26"/>
      <c r="C302" s="26"/>
      <c r="D302" s="26"/>
      <c r="E302" s="27"/>
      <c r="F302" s="27"/>
      <c r="G302" s="27"/>
      <c r="H302" s="28"/>
      <c r="I302" s="27"/>
      <c r="J302" s="26"/>
      <c r="K302" s="26"/>
    </row>
    <row r="303" customFormat="false" ht="15" hidden="false" customHeight="true" outlineLevel="0" collapsed="false">
      <c r="A303" s="25"/>
      <c r="B303" s="26"/>
      <c r="C303" s="26"/>
      <c r="D303" s="26"/>
      <c r="E303" s="27"/>
      <c r="F303" s="27"/>
      <c r="G303" s="27"/>
      <c r="H303" s="28"/>
      <c r="I303" s="27"/>
      <c r="J303" s="26"/>
      <c r="K303" s="26"/>
    </row>
    <row r="304" customFormat="false" ht="15" hidden="false" customHeight="true" outlineLevel="0" collapsed="false">
      <c r="A304" s="25"/>
      <c r="B304" s="26"/>
      <c r="C304" s="26"/>
      <c r="D304" s="26"/>
      <c r="E304" s="27"/>
      <c r="F304" s="27"/>
      <c r="G304" s="27"/>
      <c r="H304" s="28"/>
      <c r="I304" s="27"/>
      <c r="J304" s="26"/>
      <c r="K304" s="26"/>
    </row>
    <row r="305" customFormat="false" ht="15" hidden="false" customHeight="true" outlineLevel="0" collapsed="false">
      <c r="A305" s="25"/>
      <c r="B305" s="26"/>
      <c r="C305" s="26"/>
      <c r="D305" s="26"/>
      <c r="E305" s="27"/>
      <c r="F305" s="27"/>
      <c r="G305" s="27"/>
      <c r="H305" s="28"/>
      <c r="I305" s="27"/>
      <c r="J305" s="26"/>
      <c r="K305" s="26"/>
    </row>
    <row r="306" customFormat="false" ht="15" hidden="false" customHeight="true" outlineLevel="0" collapsed="false">
      <c r="A306" s="25"/>
      <c r="B306" s="26"/>
      <c r="C306" s="26"/>
      <c r="D306" s="26"/>
      <c r="E306" s="27"/>
      <c r="F306" s="27"/>
      <c r="G306" s="27"/>
      <c r="H306" s="28"/>
      <c r="I306" s="27"/>
      <c r="J306" s="26"/>
      <c r="K306" s="26"/>
    </row>
    <row r="307" customFormat="false" ht="15" hidden="false" customHeight="true" outlineLevel="0" collapsed="false">
      <c r="A307" s="25"/>
      <c r="B307" s="26"/>
      <c r="C307" s="26"/>
      <c r="D307" s="26"/>
      <c r="E307" s="27"/>
      <c r="F307" s="27"/>
      <c r="G307" s="27"/>
      <c r="H307" s="28"/>
      <c r="I307" s="27"/>
      <c r="J307" s="26"/>
      <c r="K307" s="26"/>
    </row>
    <row r="308" customFormat="false" ht="15" hidden="false" customHeight="true" outlineLevel="0" collapsed="false">
      <c r="A308" s="25"/>
      <c r="B308" s="26"/>
      <c r="C308" s="26"/>
      <c r="D308" s="26"/>
      <c r="E308" s="27"/>
      <c r="F308" s="27"/>
      <c r="G308" s="27"/>
      <c r="H308" s="28"/>
      <c r="I308" s="27"/>
      <c r="J308" s="26"/>
      <c r="K308" s="26"/>
    </row>
    <row r="309" customFormat="false" ht="15" hidden="false" customHeight="true" outlineLevel="0" collapsed="false">
      <c r="A309" s="25"/>
      <c r="B309" s="26"/>
      <c r="C309" s="26"/>
      <c r="D309" s="26"/>
      <c r="E309" s="27"/>
      <c r="F309" s="27"/>
      <c r="G309" s="27"/>
      <c r="H309" s="28"/>
      <c r="I309" s="27"/>
      <c r="J309" s="26"/>
      <c r="K309" s="26"/>
    </row>
    <row r="310" customFormat="false" ht="15" hidden="false" customHeight="true" outlineLevel="0" collapsed="false">
      <c r="A310" s="25"/>
      <c r="B310" s="26"/>
      <c r="C310" s="26"/>
      <c r="D310" s="26"/>
      <c r="E310" s="27"/>
      <c r="F310" s="27"/>
      <c r="G310" s="27"/>
      <c r="H310" s="28"/>
      <c r="I310" s="27"/>
      <c r="J310" s="26"/>
      <c r="K310" s="26"/>
    </row>
    <row r="311" customFormat="false" ht="15" hidden="false" customHeight="true" outlineLevel="0" collapsed="false">
      <c r="A311" s="25"/>
      <c r="B311" s="26"/>
      <c r="C311" s="26"/>
      <c r="D311" s="26"/>
      <c r="E311" s="27"/>
      <c r="F311" s="27"/>
      <c r="G311" s="27"/>
      <c r="H311" s="28"/>
      <c r="I311" s="27"/>
      <c r="J311" s="26"/>
      <c r="K311" s="26"/>
    </row>
    <row r="312" customFormat="false" ht="15" hidden="false" customHeight="true" outlineLevel="0" collapsed="false">
      <c r="A312" s="25"/>
      <c r="B312" s="26"/>
      <c r="C312" s="26"/>
      <c r="D312" s="26"/>
      <c r="E312" s="27"/>
      <c r="F312" s="27"/>
      <c r="G312" s="27"/>
      <c r="H312" s="28"/>
      <c r="I312" s="27"/>
      <c r="J312" s="26"/>
      <c r="K312" s="26"/>
    </row>
    <row r="313" customFormat="false" ht="15" hidden="false" customHeight="true" outlineLevel="0" collapsed="false">
      <c r="A313" s="25"/>
      <c r="B313" s="26"/>
      <c r="C313" s="26"/>
      <c r="D313" s="26"/>
      <c r="E313" s="27"/>
      <c r="F313" s="27"/>
      <c r="G313" s="27"/>
      <c r="H313" s="28"/>
      <c r="I313" s="27"/>
      <c r="J313" s="26"/>
      <c r="K313" s="26"/>
    </row>
    <row r="314" customFormat="false" ht="15" hidden="false" customHeight="true" outlineLevel="0" collapsed="false">
      <c r="A314" s="25"/>
      <c r="B314" s="26"/>
      <c r="C314" s="26"/>
      <c r="D314" s="26"/>
      <c r="E314" s="27"/>
      <c r="F314" s="27"/>
      <c r="G314" s="27"/>
      <c r="H314" s="28"/>
      <c r="I314" s="27"/>
      <c r="J314" s="26"/>
      <c r="K314" s="26"/>
    </row>
    <row r="315" customFormat="false" ht="15" hidden="false" customHeight="true" outlineLevel="0" collapsed="false">
      <c r="A315" s="25"/>
      <c r="B315" s="26"/>
      <c r="C315" s="26"/>
      <c r="D315" s="26"/>
      <c r="E315" s="27"/>
      <c r="F315" s="27"/>
      <c r="G315" s="27"/>
      <c r="H315" s="28"/>
      <c r="I315" s="27"/>
      <c r="J315" s="26"/>
      <c r="K315" s="26"/>
    </row>
    <row r="316" customFormat="false" ht="15" hidden="false" customHeight="true" outlineLevel="0" collapsed="false">
      <c r="A316" s="25"/>
      <c r="B316" s="26"/>
      <c r="C316" s="26"/>
      <c r="D316" s="26"/>
      <c r="E316" s="27"/>
      <c r="F316" s="27"/>
      <c r="G316" s="27"/>
      <c r="H316" s="28"/>
      <c r="I316" s="27"/>
      <c r="J316" s="26"/>
      <c r="K316" s="26"/>
    </row>
    <row r="317" customFormat="false" ht="15" hidden="false" customHeight="true" outlineLevel="0" collapsed="false">
      <c r="A317" s="25"/>
      <c r="B317" s="26"/>
      <c r="C317" s="26"/>
      <c r="D317" s="26"/>
      <c r="E317" s="27"/>
      <c r="F317" s="27"/>
      <c r="G317" s="27"/>
      <c r="H317" s="28"/>
      <c r="I317" s="27"/>
      <c r="J317" s="26"/>
      <c r="K317" s="26"/>
    </row>
    <row r="318" customFormat="false" ht="15" hidden="false" customHeight="true" outlineLevel="0" collapsed="false">
      <c r="A318" s="25"/>
      <c r="B318" s="26"/>
      <c r="C318" s="26"/>
      <c r="D318" s="26"/>
      <c r="E318" s="27"/>
      <c r="F318" s="27"/>
      <c r="G318" s="27"/>
      <c r="H318" s="28"/>
      <c r="I318" s="27"/>
      <c r="J318" s="26"/>
      <c r="K318" s="26"/>
    </row>
    <row r="319" customFormat="false" ht="15" hidden="false" customHeight="true" outlineLevel="0" collapsed="false">
      <c r="A319" s="25"/>
      <c r="B319" s="26"/>
      <c r="C319" s="26"/>
      <c r="D319" s="26"/>
      <c r="E319" s="27"/>
      <c r="F319" s="27"/>
      <c r="G319" s="27"/>
      <c r="H319" s="28"/>
      <c r="I319" s="27"/>
      <c r="J319" s="26"/>
      <c r="K319" s="26"/>
    </row>
    <row r="320" customFormat="false" ht="15" hidden="false" customHeight="true" outlineLevel="0" collapsed="false">
      <c r="A320" s="25"/>
      <c r="B320" s="26"/>
      <c r="C320" s="26"/>
      <c r="D320" s="26"/>
      <c r="E320" s="27"/>
      <c r="F320" s="27"/>
      <c r="G320" s="27"/>
      <c r="H320" s="28"/>
      <c r="I320" s="27"/>
      <c r="J320" s="26"/>
      <c r="K320" s="26"/>
    </row>
    <row r="321" customFormat="false" ht="15" hidden="false" customHeight="true" outlineLevel="0" collapsed="false">
      <c r="A321" s="25"/>
      <c r="B321" s="26"/>
      <c r="C321" s="26"/>
      <c r="D321" s="26"/>
      <c r="E321" s="27"/>
      <c r="F321" s="27"/>
      <c r="G321" s="27"/>
      <c r="H321" s="28"/>
      <c r="I321" s="27"/>
      <c r="J321" s="26"/>
      <c r="K321" s="26"/>
    </row>
    <row r="322" customFormat="false" ht="15" hidden="false" customHeight="true" outlineLevel="0" collapsed="false">
      <c r="A322" s="25"/>
      <c r="B322" s="26"/>
      <c r="C322" s="26"/>
      <c r="D322" s="26"/>
      <c r="E322" s="27"/>
      <c r="F322" s="27"/>
      <c r="G322" s="27"/>
      <c r="H322" s="28"/>
      <c r="I322" s="27"/>
      <c r="J322" s="26"/>
      <c r="K322" s="26"/>
    </row>
    <row r="323" customFormat="false" ht="15" hidden="false" customHeight="true" outlineLevel="0" collapsed="false">
      <c r="A323" s="25"/>
      <c r="B323" s="26"/>
      <c r="C323" s="26"/>
      <c r="D323" s="26"/>
      <c r="E323" s="27"/>
      <c r="F323" s="27"/>
      <c r="G323" s="27"/>
      <c r="H323" s="28"/>
      <c r="I323" s="27"/>
      <c r="J323" s="26"/>
      <c r="K323" s="26"/>
    </row>
    <row r="324" customFormat="false" ht="15" hidden="false" customHeight="true" outlineLevel="0" collapsed="false">
      <c r="A324" s="25"/>
      <c r="B324" s="26"/>
      <c r="C324" s="26"/>
      <c r="D324" s="26"/>
      <c r="E324" s="27"/>
      <c r="F324" s="27"/>
      <c r="G324" s="27"/>
      <c r="H324" s="28"/>
      <c r="I324" s="27"/>
      <c r="J324" s="26"/>
      <c r="K324" s="26"/>
    </row>
    <row r="325" customFormat="false" ht="15" hidden="false" customHeight="true" outlineLevel="0" collapsed="false">
      <c r="A325" s="25"/>
      <c r="B325" s="26"/>
      <c r="C325" s="26"/>
      <c r="D325" s="26"/>
      <c r="E325" s="27"/>
      <c r="F325" s="27"/>
      <c r="G325" s="27"/>
      <c r="H325" s="28"/>
      <c r="I325" s="27"/>
      <c r="J325" s="26"/>
      <c r="K325" s="26"/>
    </row>
    <row r="326" customFormat="false" ht="15" hidden="false" customHeight="true" outlineLevel="0" collapsed="false">
      <c r="A326" s="25"/>
      <c r="B326" s="26"/>
      <c r="C326" s="26"/>
      <c r="D326" s="26"/>
      <c r="E326" s="27"/>
      <c r="F326" s="27"/>
      <c r="G326" s="27"/>
      <c r="H326" s="28"/>
      <c r="I326" s="27"/>
      <c r="J326" s="26"/>
      <c r="K326" s="26"/>
    </row>
    <row r="327" customFormat="false" ht="15" hidden="false" customHeight="true" outlineLevel="0" collapsed="false">
      <c r="A327" s="25"/>
      <c r="B327" s="26"/>
      <c r="C327" s="26"/>
      <c r="D327" s="26"/>
      <c r="E327" s="27"/>
      <c r="F327" s="27"/>
      <c r="G327" s="27"/>
      <c r="H327" s="28"/>
      <c r="I327" s="27"/>
      <c r="J327" s="26"/>
      <c r="K327" s="26"/>
    </row>
    <row r="328" customFormat="false" ht="15" hidden="false" customHeight="true" outlineLevel="0" collapsed="false">
      <c r="A328" s="25"/>
      <c r="B328" s="26"/>
      <c r="C328" s="26"/>
      <c r="D328" s="26"/>
      <c r="E328" s="27"/>
      <c r="F328" s="27"/>
      <c r="G328" s="27"/>
      <c r="H328" s="28"/>
      <c r="I328" s="27"/>
      <c r="J328" s="26"/>
      <c r="K328" s="26"/>
    </row>
    <row r="329" customFormat="false" ht="15" hidden="false" customHeight="true" outlineLevel="0" collapsed="false">
      <c r="A329" s="25"/>
      <c r="B329" s="26"/>
      <c r="C329" s="26"/>
      <c r="D329" s="26"/>
      <c r="E329" s="27"/>
      <c r="F329" s="27"/>
      <c r="G329" s="27"/>
      <c r="H329" s="28"/>
      <c r="I329" s="27"/>
      <c r="J329" s="26"/>
      <c r="K329" s="26"/>
    </row>
    <row r="330" customFormat="false" ht="15" hidden="false" customHeight="true" outlineLevel="0" collapsed="false">
      <c r="A330" s="25"/>
      <c r="B330" s="26"/>
      <c r="C330" s="26"/>
      <c r="D330" s="26"/>
      <c r="E330" s="27"/>
      <c r="F330" s="27"/>
      <c r="G330" s="27"/>
      <c r="H330" s="28"/>
      <c r="I330" s="27"/>
      <c r="J330" s="26"/>
      <c r="K330" s="26"/>
    </row>
    <row r="331" customFormat="false" ht="15" hidden="false" customHeight="true" outlineLevel="0" collapsed="false">
      <c r="A331" s="25"/>
      <c r="B331" s="26"/>
      <c r="C331" s="26"/>
      <c r="D331" s="26"/>
      <c r="E331" s="27"/>
      <c r="F331" s="27"/>
      <c r="G331" s="27"/>
      <c r="H331" s="28"/>
      <c r="I331" s="27"/>
      <c r="J331" s="26"/>
      <c r="K331" s="26"/>
    </row>
    <row r="332" customFormat="false" ht="15" hidden="false" customHeight="true" outlineLevel="0" collapsed="false">
      <c r="A332" s="25"/>
      <c r="B332" s="26"/>
      <c r="C332" s="26"/>
      <c r="D332" s="26"/>
      <c r="E332" s="27"/>
      <c r="F332" s="27"/>
      <c r="G332" s="27"/>
      <c r="H332" s="28"/>
      <c r="I332" s="27"/>
      <c r="J332" s="26"/>
      <c r="K332" s="26"/>
    </row>
    <row r="333" customFormat="false" ht="15" hidden="false" customHeight="true" outlineLevel="0" collapsed="false">
      <c r="A333" s="25"/>
      <c r="B333" s="26"/>
      <c r="C333" s="26"/>
      <c r="D333" s="26"/>
      <c r="E333" s="27"/>
      <c r="F333" s="27"/>
      <c r="G333" s="27"/>
      <c r="H333" s="28"/>
      <c r="I333" s="27"/>
      <c r="J333" s="26"/>
      <c r="K333" s="26"/>
    </row>
    <row r="334" customFormat="false" ht="15" hidden="false" customHeight="true" outlineLevel="0" collapsed="false">
      <c r="A334" s="25"/>
      <c r="B334" s="26"/>
      <c r="C334" s="26"/>
      <c r="D334" s="26"/>
      <c r="E334" s="27"/>
      <c r="F334" s="27"/>
      <c r="G334" s="27"/>
      <c r="H334" s="28"/>
      <c r="I334" s="27"/>
      <c r="J334" s="26"/>
      <c r="K334" s="26"/>
    </row>
    <row r="335" customFormat="false" ht="15" hidden="false" customHeight="true" outlineLevel="0" collapsed="false">
      <c r="A335" s="25"/>
      <c r="B335" s="26"/>
      <c r="C335" s="26"/>
      <c r="D335" s="26"/>
      <c r="E335" s="27"/>
      <c r="F335" s="27"/>
      <c r="G335" s="27"/>
      <c r="H335" s="28"/>
      <c r="I335" s="27"/>
      <c r="J335" s="26"/>
      <c r="K335" s="26"/>
    </row>
    <row r="336" customFormat="false" ht="15" hidden="false" customHeight="true" outlineLevel="0" collapsed="false">
      <c r="A336" s="25"/>
      <c r="B336" s="26"/>
      <c r="C336" s="26"/>
      <c r="D336" s="26"/>
      <c r="E336" s="27"/>
      <c r="F336" s="27"/>
      <c r="G336" s="27"/>
      <c r="H336" s="28"/>
      <c r="I336" s="27"/>
      <c r="J336" s="26"/>
      <c r="K336" s="26"/>
    </row>
    <row r="337" customFormat="false" ht="15" hidden="false" customHeight="true" outlineLevel="0" collapsed="false">
      <c r="A337" s="25"/>
      <c r="B337" s="26"/>
      <c r="C337" s="26"/>
      <c r="D337" s="26"/>
      <c r="E337" s="27"/>
      <c r="F337" s="27"/>
      <c r="G337" s="27"/>
      <c r="H337" s="28"/>
      <c r="I337" s="27"/>
      <c r="J337" s="26"/>
      <c r="K337" s="26"/>
    </row>
    <row r="338" customFormat="false" ht="15" hidden="false" customHeight="true" outlineLevel="0" collapsed="false">
      <c r="A338" s="25"/>
      <c r="B338" s="26"/>
      <c r="C338" s="26"/>
      <c r="D338" s="26"/>
      <c r="E338" s="27"/>
      <c r="F338" s="27"/>
      <c r="G338" s="27"/>
      <c r="H338" s="28"/>
      <c r="I338" s="27"/>
      <c r="J338" s="26"/>
      <c r="K338" s="26"/>
    </row>
    <row r="339" customFormat="false" ht="15" hidden="false" customHeight="true" outlineLevel="0" collapsed="false">
      <c r="A339" s="25"/>
      <c r="B339" s="26"/>
      <c r="C339" s="26"/>
      <c r="D339" s="26"/>
      <c r="E339" s="27"/>
      <c r="F339" s="27"/>
      <c r="G339" s="27"/>
      <c r="H339" s="28"/>
      <c r="I339" s="27"/>
      <c r="J339" s="26"/>
      <c r="K339" s="26"/>
    </row>
    <row r="340" customFormat="false" ht="15" hidden="false" customHeight="true" outlineLevel="0" collapsed="false">
      <c r="A340" s="25"/>
      <c r="B340" s="26"/>
      <c r="C340" s="26"/>
      <c r="D340" s="26"/>
      <c r="E340" s="27"/>
      <c r="F340" s="27"/>
      <c r="G340" s="27"/>
      <c r="H340" s="28"/>
      <c r="I340" s="27"/>
      <c r="J340" s="26"/>
      <c r="K340" s="26"/>
    </row>
    <row r="341" customFormat="false" ht="15" hidden="false" customHeight="true" outlineLevel="0" collapsed="false">
      <c r="A341" s="25"/>
      <c r="B341" s="26"/>
      <c r="C341" s="26"/>
      <c r="D341" s="26"/>
      <c r="E341" s="27"/>
      <c r="F341" s="27"/>
      <c r="G341" s="27"/>
      <c r="H341" s="28"/>
      <c r="I341" s="27"/>
      <c r="J341" s="26"/>
      <c r="K341" s="26"/>
    </row>
    <row r="342" customFormat="false" ht="15" hidden="false" customHeight="true" outlineLevel="0" collapsed="false">
      <c r="A342" s="25"/>
      <c r="B342" s="26"/>
      <c r="C342" s="26"/>
      <c r="D342" s="26"/>
      <c r="E342" s="27"/>
      <c r="F342" s="27"/>
      <c r="G342" s="27"/>
      <c r="H342" s="28"/>
      <c r="I342" s="27"/>
      <c r="J342" s="26"/>
      <c r="K342" s="26"/>
    </row>
    <row r="343" customFormat="false" ht="15" hidden="false" customHeight="true" outlineLevel="0" collapsed="false">
      <c r="A343" s="25"/>
      <c r="B343" s="26"/>
      <c r="C343" s="26"/>
      <c r="D343" s="26"/>
      <c r="E343" s="27"/>
      <c r="F343" s="27"/>
      <c r="G343" s="27"/>
      <c r="H343" s="28"/>
      <c r="I343" s="27"/>
      <c r="J343" s="26"/>
      <c r="K343" s="26"/>
    </row>
    <row r="344" customFormat="false" ht="15" hidden="false" customHeight="true" outlineLevel="0" collapsed="false">
      <c r="A344" s="25"/>
      <c r="B344" s="26"/>
      <c r="C344" s="26"/>
      <c r="D344" s="26"/>
      <c r="E344" s="27"/>
      <c r="F344" s="27"/>
      <c r="G344" s="27"/>
      <c r="H344" s="28"/>
      <c r="I344" s="27"/>
      <c r="J344" s="26"/>
      <c r="K344" s="26"/>
    </row>
    <row r="345" customFormat="false" ht="15" hidden="false" customHeight="true" outlineLevel="0" collapsed="false">
      <c r="A345" s="25"/>
      <c r="B345" s="26"/>
      <c r="C345" s="26"/>
      <c r="D345" s="26"/>
      <c r="E345" s="27"/>
      <c r="F345" s="27"/>
      <c r="G345" s="27"/>
      <c r="H345" s="28"/>
      <c r="I345" s="27"/>
      <c r="J345" s="26"/>
      <c r="K345" s="26"/>
    </row>
    <row r="346" customFormat="false" ht="15" hidden="false" customHeight="true" outlineLevel="0" collapsed="false">
      <c r="A346" s="25"/>
      <c r="B346" s="26"/>
      <c r="C346" s="26"/>
      <c r="D346" s="26"/>
      <c r="E346" s="27"/>
      <c r="F346" s="27"/>
      <c r="G346" s="27"/>
      <c r="H346" s="28"/>
      <c r="I346" s="27"/>
      <c r="J346" s="26"/>
      <c r="K346" s="26"/>
    </row>
    <row r="347" customFormat="false" ht="15" hidden="false" customHeight="true" outlineLevel="0" collapsed="false">
      <c r="A347" s="25"/>
      <c r="B347" s="26"/>
      <c r="C347" s="26"/>
      <c r="D347" s="26"/>
      <c r="E347" s="27"/>
      <c r="F347" s="27"/>
      <c r="G347" s="27"/>
      <c r="H347" s="28"/>
      <c r="I347" s="27"/>
      <c r="J347" s="26"/>
      <c r="K347" s="26"/>
    </row>
    <row r="348" customFormat="false" ht="15" hidden="false" customHeight="true" outlineLevel="0" collapsed="false">
      <c r="A348" s="25"/>
      <c r="B348" s="26"/>
      <c r="C348" s="26"/>
      <c r="D348" s="26"/>
      <c r="E348" s="27"/>
      <c r="F348" s="27"/>
      <c r="G348" s="27"/>
      <c r="H348" s="28"/>
      <c r="I348" s="27"/>
      <c r="J348" s="26"/>
      <c r="K348" s="26"/>
    </row>
    <row r="349" customFormat="false" ht="15" hidden="false" customHeight="true" outlineLevel="0" collapsed="false">
      <c r="A349" s="25"/>
      <c r="B349" s="26"/>
      <c r="C349" s="26"/>
      <c r="D349" s="26"/>
      <c r="E349" s="27"/>
      <c r="F349" s="27"/>
      <c r="G349" s="27"/>
      <c r="H349" s="28"/>
      <c r="I349" s="27"/>
      <c r="J349" s="26"/>
      <c r="K349" s="26"/>
    </row>
    <row r="350" customFormat="false" ht="15" hidden="false" customHeight="true" outlineLevel="0" collapsed="false">
      <c r="A350" s="25"/>
      <c r="B350" s="26"/>
      <c r="C350" s="26"/>
      <c r="D350" s="26"/>
      <c r="E350" s="27"/>
      <c r="F350" s="27"/>
      <c r="G350" s="27"/>
      <c r="H350" s="28"/>
      <c r="I350" s="27"/>
      <c r="J350" s="26"/>
      <c r="K350" s="26"/>
    </row>
    <row r="351" customFormat="false" ht="15" hidden="false" customHeight="true" outlineLevel="0" collapsed="false">
      <c r="A351" s="25"/>
      <c r="B351" s="26"/>
      <c r="C351" s="26"/>
      <c r="D351" s="26"/>
      <c r="E351" s="27"/>
      <c r="F351" s="27"/>
      <c r="G351" s="27"/>
      <c r="H351" s="28"/>
      <c r="I351" s="27"/>
      <c r="J351" s="26"/>
      <c r="K351" s="26"/>
    </row>
    <row r="352" customFormat="false" ht="15" hidden="false" customHeight="true" outlineLevel="0" collapsed="false">
      <c r="A352" s="25"/>
      <c r="B352" s="26"/>
      <c r="C352" s="26"/>
      <c r="D352" s="26"/>
      <c r="E352" s="27"/>
      <c r="F352" s="27"/>
      <c r="G352" s="27"/>
      <c r="H352" s="28"/>
      <c r="I352" s="27"/>
      <c r="J352" s="26"/>
      <c r="K352" s="26"/>
    </row>
    <row r="353" customFormat="false" ht="15" hidden="false" customHeight="true" outlineLevel="0" collapsed="false">
      <c r="A353" s="25"/>
      <c r="B353" s="26"/>
      <c r="C353" s="26"/>
      <c r="D353" s="26"/>
      <c r="E353" s="27"/>
      <c r="F353" s="27"/>
      <c r="G353" s="27"/>
      <c r="H353" s="28"/>
      <c r="I353" s="27"/>
      <c r="J353" s="26"/>
      <c r="K353" s="26"/>
    </row>
    <row r="354" customFormat="false" ht="15" hidden="false" customHeight="true" outlineLevel="0" collapsed="false">
      <c r="A354" s="25"/>
      <c r="B354" s="26"/>
      <c r="C354" s="26"/>
      <c r="D354" s="26"/>
      <c r="E354" s="27"/>
      <c r="F354" s="27"/>
      <c r="G354" s="27"/>
      <c r="H354" s="28"/>
      <c r="I354" s="27"/>
      <c r="J354" s="26"/>
      <c r="K354" s="26"/>
    </row>
    <row r="355" customFormat="false" ht="15" hidden="false" customHeight="true" outlineLevel="0" collapsed="false">
      <c r="A355" s="25"/>
      <c r="B355" s="26"/>
      <c r="C355" s="26"/>
      <c r="D355" s="26"/>
      <c r="E355" s="27"/>
      <c r="F355" s="27"/>
      <c r="G355" s="27"/>
      <c r="H355" s="28"/>
      <c r="I355" s="27"/>
      <c r="J355" s="26"/>
      <c r="K355" s="26"/>
    </row>
    <row r="356" customFormat="false" ht="15" hidden="false" customHeight="true" outlineLevel="0" collapsed="false">
      <c r="A356" s="25"/>
      <c r="B356" s="26"/>
      <c r="C356" s="26"/>
      <c r="D356" s="26"/>
      <c r="E356" s="27"/>
      <c r="F356" s="27"/>
      <c r="G356" s="27"/>
      <c r="H356" s="28"/>
      <c r="I356" s="27"/>
      <c r="J356" s="26"/>
      <c r="K356" s="26"/>
    </row>
    <row r="357" customFormat="false" ht="15" hidden="false" customHeight="true" outlineLevel="0" collapsed="false">
      <c r="A357" s="25"/>
      <c r="B357" s="26"/>
      <c r="C357" s="26"/>
      <c r="D357" s="26"/>
      <c r="E357" s="27"/>
      <c r="F357" s="27"/>
      <c r="G357" s="27"/>
      <c r="H357" s="28"/>
      <c r="I357" s="27"/>
      <c r="J357" s="26"/>
      <c r="K357" s="26"/>
    </row>
    <row r="358" customFormat="false" ht="15" hidden="false" customHeight="true" outlineLevel="0" collapsed="false">
      <c r="A358" s="25"/>
      <c r="B358" s="26"/>
      <c r="C358" s="26"/>
      <c r="D358" s="26"/>
      <c r="E358" s="27"/>
      <c r="F358" s="27"/>
      <c r="G358" s="27"/>
      <c r="H358" s="28"/>
      <c r="I358" s="27"/>
      <c r="J358" s="26"/>
      <c r="K358" s="26"/>
    </row>
    <row r="359" customFormat="false" ht="15" hidden="false" customHeight="true" outlineLevel="0" collapsed="false">
      <c r="A359" s="25"/>
      <c r="B359" s="26"/>
      <c r="C359" s="26"/>
      <c r="D359" s="26"/>
      <c r="E359" s="27"/>
      <c r="F359" s="27"/>
      <c r="G359" s="27"/>
      <c r="H359" s="28"/>
      <c r="I359" s="27"/>
      <c r="J359" s="26"/>
      <c r="K359" s="26"/>
    </row>
    <row r="360" customFormat="false" ht="15" hidden="false" customHeight="true" outlineLevel="0" collapsed="false">
      <c r="A360" s="25"/>
      <c r="B360" s="26"/>
      <c r="C360" s="26"/>
      <c r="D360" s="26"/>
      <c r="E360" s="27"/>
      <c r="F360" s="27"/>
      <c r="G360" s="27"/>
      <c r="H360" s="28"/>
      <c r="I360" s="27"/>
      <c r="J360" s="26"/>
      <c r="K360" s="26"/>
    </row>
    <row r="361" customFormat="false" ht="15" hidden="false" customHeight="true" outlineLevel="0" collapsed="false">
      <c r="A361" s="25"/>
      <c r="B361" s="26"/>
      <c r="C361" s="26"/>
      <c r="D361" s="26"/>
      <c r="E361" s="27"/>
      <c r="F361" s="27"/>
      <c r="G361" s="27"/>
      <c r="H361" s="28"/>
      <c r="I361" s="27"/>
      <c r="J361" s="26"/>
      <c r="K361" s="26"/>
    </row>
    <row r="362" customFormat="false" ht="15" hidden="false" customHeight="true" outlineLevel="0" collapsed="false">
      <c r="A362" s="25"/>
      <c r="B362" s="26"/>
      <c r="C362" s="26"/>
      <c r="D362" s="26"/>
      <c r="E362" s="27"/>
      <c r="F362" s="27"/>
      <c r="G362" s="27"/>
      <c r="H362" s="28"/>
      <c r="I362" s="27"/>
      <c r="J362" s="26"/>
      <c r="K362" s="26"/>
    </row>
    <row r="363" customFormat="false" ht="15" hidden="false" customHeight="true" outlineLevel="0" collapsed="false">
      <c r="A363" s="25"/>
      <c r="B363" s="26"/>
      <c r="C363" s="26"/>
      <c r="D363" s="26"/>
      <c r="E363" s="27"/>
      <c r="F363" s="27"/>
      <c r="G363" s="27"/>
      <c r="H363" s="28"/>
      <c r="I363" s="27"/>
      <c r="J363" s="26"/>
      <c r="K363" s="26"/>
    </row>
    <row r="364" customFormat="false" ht="15" hidden="false" customHeight="true" outlineLevel="0" collapsed="false">
      <c r="A364" s="25"/>
      <c r="B364" s="26"/>
      <c r="C364" s="26"/>
      <c r="D364" s="26"/>
      <c r="E364" s="27"/>
      <c r="F364" s="27"/>
      <c r="G364" s="27"/>
      <c r="H364" s="28"/>
      <c r="I364" s="27"/>
      <c r="J364" s="26"/>
      <c r="K364" s="26"/>
    </row>
    <row r="365" customFormat="false" ht="15" hidden="false" customHeight="true" outlineLevel="0" collapsed="false">
      <c r="A365" s="25"/>
      <c r="B365" s="26"/>
      <c r="C365" s="26"/>
      <c r="D365" s="26"/>
      <c r="E365" s="27"/>
      <c r="F365" s="27"/>
      <c r="G365" s="27"/>
      <c r="H365" s="28"/>
      <c r="I365" s="27"/>
      <c r="J365" s="26"/>
      <c r="K365" s="26"/>
    </row>
    <row r="366" customFormat="false" ht="15" hidden="false" customHeight="true" outlineLevel="0" collapsed="false">
      <c r="A366" s="25"/>
      <c r="B366" s="26"/>
      <c r="C366" s="26"/>
      <c r="D366" s="26"/>
      <c r="E366" s="27"/>
      <c r="F366" s="27"/>
      <c r="G366" s="27"/>
      <c r="H366" s="28"/>
      <c r="I366" s="27"/>
      <c r="J366" s="26"/>
      <c r="K366" s="26"/>
    </row>
    <row r="367" customFormat="false" ht="15" hidden="false" customHeight="true" outlineLevel="0" collapsed="false">
      <c r="A367" s="25"/>
      <c r="B367" s="26"/>
      <c r="C367" s="26"/>
      <c r="D367" s="26"/>
      <c r="E367" s="27"/>
      <c r="F367" s="27"/>
      <c r="G367" s="27"/>
      <c r="H367" s="28"/>
      <c r="I367" s="27"/>
      <c r="J367" s="26"/>
      <c r="K367" s="26"/>
    </row>
    <row r="368" customFormat="false" ht="15" hidden="false" customHeight="true" outlineLevel="0" collapsed="false">
      <c r="A368" s="25"/>
      <c r="B368" s="26"/>
      <c r="C368" s="26"/>
      <c r="D368" s="26"/>
      <c r="E368" s="27"/>
      <c r="F368" s="27"/>
      <c r="G368" s="27"/>
      <c r="H368" s="28"/>
      <c r="I368" s="27"/>
      <c r="J368" s="26"/>
      <c r="K368" s="26"/>
    </row>
    <row r="369" customFormat="false" ht="15" hidden="false" customHeight="true" outlineLevel="0" collapsed="false">
      <c r="A369" s="25"/>
      <c r="B369" s="26"/>
      <c r="C369" s="26"/>
      <c r="D369" s="26"/>
      <c r="E369" s="27"/>
      <c r="F369" s="27"/>
      <c r="G369" s="27"/>
      <c r="H369" s="28"/>
      <c r="I369" s="27"/>
      <c r="J369" s="26"/>
      <c r="K369" s="26"/>
    </row>
    <row r="370" customFormat="false" ht="15" hidden="false" customHeight="true" outlineLevel="0" collapsed="false">
      <c r="A370" s="25"/>
      <c r="B370" s="26"/>
      <c r="C370" s="26"/>
      <c r="D370" s="26"/>
      <c r="E370" s="27"/>
      <c r="F370" s="27"/>
      <c r="G370" s="27"/>
      <c r="H370" s="28"/>
      <c r="I370" s="27"/>
      <c r="J370" s="26"/>
      <c r="K370" s="26"/>
    </row>
    <row r="371" customFormat="false" ht="15" hidden="false" customHeight="true" outlineLevel="0" collapsed="false">
      <c r="A371" s="25"/>
      <c r="B371" s="26"/>
      <c r="C371" s="26"/>
      <c r="D371" s="26"/>
      <c r="E371" s="27"/>
      <c r="F371" s="27"/>
      <c r="G371" s="27"/>
      <c r="H371" s="28"/>
      <c r="I371" s="27"/>
      <c r="J371" s="26"/>
      <c r="K371" s="26"/>
    </row>
    <row r="372" customFormat="false" ht="15" hidden="false" customHeight="true" outlineLevel="0" collapsed="false">
      <c r="A372" s="25"/>
      <c r="B372" s="26"/>
      <c r="C372" s="26"/>
      <c r="D372" s="26"/>
      <c r="E372" s="27"/>
      <c r="F372" s="27"/>
      <c r="G372" s="27"/>
      <c r="H372" s="28"/>
      <c r="I372" s="27"/>
      <c r="J372" s="26"/>
      <c r="K372" s="26"/>
    </row>
    <row r="373" customFormat="false" ht="15" hidden="false" customHeight="true" outlineLevel="0" collapsed="false">
      <c r="A373" s="25"/>
      <c r="B373" s="26"/>
      <c r="C373" s="26"/>
      <c r="D373" s="26"/>
      <c r="E373" s="27"/>
      <c r="F373" s="27"/>
      <c r="G373" s="27"/>
      <c r="H373" s="28"/>
      <c r="I373" s="27"/>
      <c r="J373" s="26"/>
      <c r="K373" s="26"/>
    </row>
    <row r="374" customFormat="false" ht="15" hidden="false" customHeight="true" outlineLevel="0" collapsed="false">
      <c r="A374" s="25"/>
      <c r="B374" s="26"/>
      <c r="C374" s="26"/>
      <c r="D374" s="26"/>
      <c r="E374" s="27"/>
      <c r="F374" s="27"/>
      <c r="G374" s="27"/>
      <c r="H374" s="28"/>
      <c r="I374" s="27"/>
      <c r="J374" s="26"/>
      <c r="K374" s="26"/>
    </row>
    <row r="375" customFormat="false" ht="15" hidden="false" customHeight="true" outlineLevel="0" collapsed="false">
      <c r="A375" s="25"/>
      <c r="B375" s="26"/>
      <c r="C375" s="26"/>
      <c r="D375" s="26"/>
      <c r="E375" s="27"/>
      <c r="F375" s="27"/>
      <c r="G375" s="27"/>
      <c r="H375" s="28"/>
      <c r="I375" s="27"/>
      <c r="J375" s="26"/>
      <c r="K375" s="26"/>
    </row>
    <row r="376" customFormat="false" ht="15" hidden="false" customHeight="true" outlineLevel="0" collapsed="false">
      <c r="A376" s="25"/>
      <c r="B376" s="26"/>
      <c r="C376" s="26"/>
      <c r="D376" s="26"/>
      <c r="E376" s="27"/>
      <c r="F376" s="27"/>
      <c r="G376" s="27"/>
      <c r="H376" s="28"/>
      <c r="I376" s="27"/>
      <c r="J376" s="26"/>
      <c r="K376" s="26"/>
    </row>
    <row r="377" customFormat="false" ht="15" hidden="false" customHeight="true" outlineLevel="0" collapsed="false">
      <c r="A377" s="25"/>
      <c r="B377" s="26"/>
      <c r="C377" s="26"/>
      <c r="D377" s="26"/>
      <c r="E377" s="27"/>
      <c r="F377" s="27"/>
      <c r="G377" s="27"/>
      <c r="H377" s="28"/>
      <c r="I377" s="27"/>
      <c r="J377" s="26"/>
      <c r="K377" s="26"/>
    </row>
    <row r="378" customFormat="false" ht="15" hidden="false" customHeight="true" outlineLevel="0" collapsed="false">
      <c r="A378" s="25"/>
      <c r="B378" s="26"/>
      <c r="C378" s="26"/>
      <c r="D378" s="26"/>
      <c r="E378" s="27"/>
      <c r="F378" s="27"/>
      <c r="G378" s="27"/>
      <c r="H378" s="28"/>
      <c r="I378" s="27"/>
      <c r="J378" s="26"/>
      <c r="K378" s="26"/>
    </row>
    <row r="379" customFormat="false" ht="15" hidden="false" customHeight="true" outlineLevel="0" collapsed="false">
      <c r="A379" s="25"/>
      <c r="B379" s="26"/>
      <c r="C379" s="26"/>
      <c r="D379" s="26"/>
      <c r="E379" s="27"/>
      <c r="F379" s="27"/>
      <c r="G379" s="27"/>
      <c r="H379" s="28"/>
      <c r="I379" s="27"/>
      <c r="J379" s="26"/>
      <c r="K379" s="26"/>
    </row>
    <row r="380" customFormat="false" ht="15" hidden="false" customHeight="true" outlineLevel="0" collapsed="false">
      <c r="A380" s="25"/>
      <c r="B380" s="26"/>
      <c r="C380" s="26"/>
      <c r="D380" s="26"/>
      <c r="E380" s="27"/>
      <c r="F380" s="27"/>
      <c r="G380" s="27"/>
      <c r="H380" s="28"/>
      <c r="I380" s="27"/>
      <c r="J380" s="26"/>
      <c r="K380" s="26"/>
    </row>
    <row r="381" customFormat="false" ht="15" hidden="false" customHeight="true" outlineLevel="0" collapsed="false">
      <c r="A381" s="25"/>
      <c r="B381" s="26"/>
      <c r="C381" s="26"/>
      <c r="D381" s="26"/>
      <c r="E381" s="27"/>
      <c r="F381" s="27"/>
      <c r="G381" s="27"/>
      <c r="H381" s="28"/>
      <c r="I381" s="27"/>
      <c r="J381" s="26"/>
      <c r="K381" s="26"/>
    </row>
    <row r="382" customFormat="false" ht="15" hidden="false" customHeight="true" outlineLevel="0" collapsed="false">
      <c r="A382" s="25"/>
      <c r="B382" s="26"/>
      <c r="C382" s="26"/>
      <c r="D382" s="26"/>
      <c r="E382" s="27"/>
      <c r="F382" s="27"/>
      <c r="G382" s="27"/>
      <c r="H382" s="28"/>
      <c r="I382" s="27"/>
      <c r="J382" s="26"/>
      <c r="K382" s="26"/>
    </row>
    <row r="383" customFormat="false" ht="15" hidden="false" customHeight="true" outlineLevel="0" collapsed="false">
      <c r="A383" s="25"/>
      <c r="B383" s="26"/>
      <c r="C383" s="26"/>
      <c r="D383" s="26"/>
      <c r="E383" s="27"/>
      <c r="F383" s="27"/>
      <c r="G383" s="27"/>
      <c r="H383" s="28"/>
      <c r="I383" s="27"/>
      <c r="J383" s="26"/>
      <c r="K383" s="26"/>
    </row>
    <row r="384" customFormat="false" ht="15" hidden="false" customHeight="true" outlineLevel="0" collapsed="false">
      <c r="A384" s="25"/>
      <c r="B384" s="26"/>
      <c r="C384" s="26"/>
      <c r="D384" s="26"/>
      <c r="E384" s="27"/>
      <c r="F384" s="27"/>
      <c r="G384" s="27"/>
      <c r="H384" s="28"/>
      <c r="I384" s="27"/>
      <c r="J384" s="26"/>
      <c r="K384" s="26"/>
    </row>
    <row r="385" customFormat="false" ht="15" hidden="false" customHeight="true" outlineLevel="0" collapsed="false">
      <c r="A385" s="25"/>
      <c r="B385" s="26"/>
      <c r="C385" s="26"/>
      <c r="D385" s="26"/>
      <c r="E385" s="27"/>
      <c r="F385" s="27"/>
      <c r="G385" s="27"/>
      <c r="H385" s="28"/>
      <c r="I385" s="27"/>
      <c r="J385" s="26"/>
      <c r="K385" s="26"/>
    </row>
    <row r="386" customFormat="false" ht="15" hidden="false" customHeight="true" outlineLevel="0" collapsed="false">
      <c r="A386" s="25"/>
      <c r="B386" s="26"/>
      <c r="C386" s="26"/>
      <c r="D386" s="26"/>
      <c r="E386" s="27"/>
      <c r="F386" s="27"/>
      <c r="G386" s="27"/>
      <c r="H386" s="28"/>
      <c r="I386" s="27"/>
      <c r="J386" s="26"/>
      <c r="K386" s="26"/>
    </row>
    <row r="387" customFormat="false" ht="15" hidden="false" customHeight="true" outlineLevel="0" collapsed="false">
      <c r="A387" s="25"/>
      <c r="B387" s="26"/>
      <c r="C387" s="26"/>
      <c r="D387" s="26"/>
      <c r="E387" s="27"/>
      <c r="F387" s="27"/>
      <c r="G387" s="27"/>
      <c r="H387" s="28"/>
      <c r="I387" s="27"/>
      <c r="J387" s="26"/>
      <c r="K387" s="26"/>
    </row>
    <row r="388" customFormat="false" ht="15" hidden="false" customHeight="true" outlineLevel="0" collapsed="false">
      <c r="A388" s="25"/>
      <c r="B388" s="26"/>
      <c r="C388" s="26"/>
      <c r="D388" s="26"/>
      <c r="E388" s="27"/>
      <c r="F388" s="27"/>
      <c r="G388" s="27"/>
      <c r="H388" s="28"/>
      <c r="I388" s="27"/>
      <c r="J388" s="26"/>
      <c r="K388" s="26"/>
    </row>
    <row r="389" customFormat="false" ht="15" hidden="false" customHeight="true" outlineLevel="0" collapsed="false">
      <c r="A389" s="25"/>
      <c r="B389" s="26"/>
      <c r="C389" s="26"/>
      <c r="D389" s="26"/>
      <c r="E389" s="27"/>
      <c r="F389" s="27"/>
      <c r="G389" s="27"/>
      <c r="H389" s="28"/>
      <c r="I389" s="27"/>
      <c r="J389" s="26"/>
      <c r="K389" s="26"/>
    </row>
    <row r="390" customFormat="false" ht="15" hidden="false" customHeight="true" outlineLevel="0" collapsed="false">
      <c r="A390" s="25"/>
      <c r="B390" s="26"/>
      <c r="C390" s="26"/>
      <c r="D390" s="26"/>
      <c r="E390" s="27"/>
      <c r="F390" s="27"/>
      <c r="G390" s="27"/>
      <c r="H390" s="28"/>
      <c r="I390" s="27"/>
      <c r="J390" s="26"/>
      <c r="K390" s="26"/>
    </row>
    <row r="391" customFormat="false" ht="15" hidden="false" customHeight="true" outlineLevel="0" collapsed="false">
      <c r="A391" s="25"/>
      <c r="B391" s="26"/>
      <c r="C391" s="26"/>
      <c r="D391" s="26"/>
      <c r="E391" s="27"/>
      <c r="F391" s="27"/>
      <c r="G391" s="27"/>
      <c r="H391" s="28"/>
      <c r="I391" s="27"/>
      <c r="J391" s="26"/>
      <c r="K391" s="26"/>
    </row>
    <row r="392" customFormat="false" ht="15" hidden="false" customHeight="true" outlineLevel="0" collapsed="false">
      <c r="A392" s="25"/>
      <c r="B392" s="26"/>
      <c r="C392" s="26"/>
      <c r="D392" s="26"/>
      <c r="E392" s="27"/>
      <c r="F392" s="27"/>
      <c r="G392" s="27"/>
      <c r="H392" s="28"/>
      <c r="I392" s="27"/>
      <c r="J392" s="26"/>
      <c r="K392" s="26"/>
    </row>
    <row r="393" customFormat="false" ht="15" hidden="false" customHeight="true" outlineLevel="0" collapsed="false">
      <c r="A393" s="25"/>
      <c r="B393" s="26"/>
      <c r="C393" s="26"/>
      <c r="D393" s="26"/>
      <c r="E393" s="27"/>
      <c r="F393" s="27"/>
      <c r="G393" s="27"/>
      <c r="H393" s="28"/>
      <c r="I393" s="27"/>
      <c r="J393" s="26"/>
      <c r="K393" s="26"/>
    </row>
    <row r="394" customFormat="false" ht="15" hidden="false" customHeight="true" outlineLevel="0" collapsed="false">
      <c r="A394" s="25"/>
      <c r="B394" s="26"/>
      <c r="C394" s="26"/>
      <c r="D394" s="26"/>
      <c r="E394" s="27"/>
      <c r="F394" s="27"/>
      <c r="G394" s="27"/>
      <c r="H394" s="28"/>
      <c r="I394" s="27"/>
      <c r="J394" s="26"/>
      <c r="K394" s="26"/>
    </row>
    <row r="395" customFormat="false" ht="15" hidden="false" customHeight="true" outlineLevel="0" collapsed="false">
      <c r="A395" s="25"/>
      <c r="B395" s="26"/>
      <c r="C395" s="26"/>
      <c r="D395" s="26"/>
      <c r="E395" s="27"/>
      <c r="F395" s="27"/>
      <c r="G395" s="27"/>
      <c r="H395" s="28"/>
      <c r="I395" s="27"/>
      <c r="J395" s="26"/>
      <c r="K395" s="26"/>
    </row>
    <row r="396" customFormat="false" ht="15" hidden="false" customHeight="true" outlineLevel="0" collapsed="false">
      <c r="A396" s="25"/>
      <c r="B396" s="26"/>
      <c r="C396" s="26"/>
      <c r="D396" s="26"/>
      <c r="E396" s="27"/>
      <c r="F396" s="27"/>
      <c r="G396" s="27"/>
      <c r="H396" s="28"/>
      <c r="I396" s="27"/>
      <c r="J396" s="26"/>
      <c r="K396" s="26"/>
    </row>
    <row r="397" customFormat="false" ht="15" hidden="false" customHeight="true" outlineLevel="0" collapsed="false">
      <c r="A397" s="25"/>
      <c r="B397" s="26"/>
      <c r="C397" s="26"/>
      <c r="D397" s="26"/>
      <c r="E397" s="27"/>
      <c r="F397" s="27"/>
      <c r="G397" s="27"/>
      <c r="H397" s="28"/>
      <c r="I397" s="27"/>
      <c r="J397" s="26"/>
      <c r="K397" s="26"/>
    </row>
    <row r="398" customFormat="false" ht="15" hidden="false" customHeight="true" outlineLevel="0" collapsed="false">
      <c r="A398" s="25"/>
      <c r="B398" s="26"/>
      <c r="C398" s="26"/>
      <c r="D398" s="26"/>
      <c r="E398" s="27"/>
      <c r="F398" s="27"/>
      <c r="G398" s="27"/>
      <c r="H398" s="28"/>
      <c r="I398" s="27"/>
      <c r="J398" s="26"/>
      <c r="K398" s="26"/>
    </row>
    <row r="399" customFormat="false" ht="15" hidden="false" customHeight="true" outlineLevel="0" collapsed="false">
      <c r="A399" s="25"/>
      <c r="B399" s="26"/>
      <c r="C399" s="26"/>
      <c r="D399" s="26"/>
      <c r="E399" s="27"/>
      <c r="F399" s="27"/>
      <c r="G399" s="27"/>
      <c r="H399" s="28"/>
      <c r="I399" s="27"/>
      <c r="J399" s="26"/>
      <c r="K399" s="26"/>
    </row>
    <row r="400" customFormat="false" ht="15" hidden="false" customHeight="true" outlineLevel="0" collapsed="false">
      <c r="A400" s="25"/>
      <c r="B400" s="26"/>
      <c r="C400" s="26"/>
      <c r="D400" s="26"/>
      <c r="E400" s="27"/>
      <c r="F400" s="27"/>
      <c r="G400" s="27"/>
      <c r="H400" s="28"/>
      <c r="I400" s="27"/>
      <c r="J400" s="26"/>
      <c r="K400" s="26"/>
    </row>
    <row r="401" customFormat="false" ht="15" hidden="false" customHeight="true" outlineLevel="0" collapsed="false">
      <c r="A401" s="25"/>
      <c r="B401" s="26"/>
      <c r="C401" s="26"/>
      <c r="D401" s="26"/>
      <c r="E401" s="27"/>
      <c r="F401" s="27"/>
      <c r="G401" s="27"/>
      <c r="H401" s="28"/>
      <c r="I401" s="27"/>
      <c r="J401" s="26"/>
      <c r="K401" s="26"/>
    </row>
  </sheetData>
  <dataValidations count="2">
    <dataValidation allowBlank="true" errorStyle="stop" operator="between" showDropDown="false" showErrorMessage="false" showInputMessage="false" sqref="B2:B401" type="list">
      <formula1>"Treatment,Control,Challenger,H2"</formula1>
      <formula2>0</formula2>
    </dataValidation>
    <dataValidation allowBlank="true" errorStyle="stop" operator="between" showDropDown="false" showErrorMessage="false" showInputMessage="false" sqref="C2:C401" type="list">
      <formula1>"15,5,60"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7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60"/>
  </cols>
  <sheetData>
    <row r="1" customFormat="false" ht="31.5" hidden="false" customHeight="true" outlineLevel="0" collapsed="false">
      <c r="A1" s="14" t="s">
        <v>53</v>
      </c>
      <c r="B1" s="14" t="s">
        <v>67</v>
      </c>
      <c r="C1" s="14" t="s">
        <v>68</v>
      </c>
      <c r="D1" s="14" t="s">
        <v>69</v>
      </c>
      <c r="E1" s="14" t="s">
        <v>39</v>
      </c>
      <c r="F1" s="14" t="s">
        <v>70</v>
      </c>
      <c r="G1" s="14" t="s">
        <v>71</v>
      </c>
      <c r="H1" s="29" t="s">
        <v>72</v>
      </c>
    </row>
    <row r="2" customFormat="false" ht="15" hidden="false" customHeight="true" outlineLevel="0" collapsed="false">
      <c r="A2" s="16" t="s">
        <v>63</v>
      </c>
      <c r="B2" s="16" t="n">
        <v>1</v>
      </c>
      <c r="C2" s="15" t="n">
        <v>46289.375</v>
      </c>
      <c r="D2" s="19" t="n">
        <v>-12.35</v>
      </c>
      <c r="E2" s="20" t="b">
        <f aca="false">AND(A2&lt;&gt;"",C2&lt;&gt;"",D2&lt;&gt;"",C2&gt;='Read Me'!$B$5)</f>
        <v>0</v>
      </c>
      <c r="F2" s="23" t="str">
        <f aca="false">IF(E2,D2,"")</f>
        <v/>
      </c>
      <c r="G2" s="21" t="n">
        <f aca="false">IF(E2,D2^2,0)</f>
        <v>0</v>
      </c>
      <c r="H2" s="3" t="s">
        <v>73</v>
      </c>
    </row>
    <row r="3" customFormat="false" ht="15" hidden="false" customHeight="true" outlineLevel="0" collapsed="false">
      <c r="A3" s="16"/>
      <c r="B3" s="16"/>
      <c r="C3" s="15"/>
      <c r="D3" s="19"/>
      <c r="E3" s="20" t="b">
        <f aca="false">AND(A3&lt;&gt;"",C3&lt;&gt;"",D3&lt;&gt;"",C3&gt;='Read Me'!$B$5)</f>
        <v>0</v>
      </c>
      <c r="F3" s="23" t="str">
        <f aca="false">IF(E3,D3,"")</f>
        <v/>
      </c>
      <c r="G3" s="21" t="n">
        <f aca="false">IF(E3,D3^2,0)</f>
        <v>0</v>
      </c>
      <c r="H3" s="3"/>
    </row>
    <row r="4" customFormat="false" ht="15" hidden="false" customHeight="true" outlineLevel="0" collapsed="false">
      <c r="A4" s="16"/>
      <c r="B4" s="16"/>
      <c r="C4" s="15"/>
      <c r="D4" s="19"/>
      <c r="E4" s="20" t="b">
        <f aca="false">AND(A4&lt;&gt;"",C4&lt;&gt;"",D4&lt;&gt;"",C4&gt;='Read Me'!$B$5)</f>
        <v>0</v>
      </c>
      <c r="F4" s="23" t="str">
        <f aca="false">IF(E4,D4,"")</f>
        <v/>
      </c>
      <c r="G4" s="21" t="n">
        <f aca="false">IF(E4,D4^2,0)</f>
        <v>0</v>
      </c>
      <c r="H4" s="3"/>
    </row>
    <row r="5" customFormat="false" ht="15" hidden="false" customHeight="true" outlineLevel="0" collapsed="false">
      <c r="A5" s="16"/>
      <c r="B5" s="16"/>
      <c r="C5" s="15"/>
      <c r="D5" s="19"/>
      <c r="E5" s="20" t="b">
        <f aca="false">AND(A5&lt;&gt;"",C5&lt;&gt;"",D5&lt;&gt;"",C5&gt;='Read Me'!$B$5)</f>
        <v>0</v>
      </c>
      <c r="F5" s="23" t="str">
        <f aca="false">IF(E5,D5,"")</f>
        <v/>
      </c>
      <c r="G5" s="21" t="n">
        <f aca="false">IF(E5,D5^2,0)</f>
        <v>0</v>
      </c>
      <c r="H5" s="3"/>
    </row>
    <row r="6" customFormat="false" ht="15" hidden="false" customHeight="true" outlineLevel="0" collapsed="false">
      <c r="A6" s="16"/>
      <c r="B6" s="16"/>
      <c r="C6" s="15"/>
      <c r="D6" s="19"/>
      <c r="E6" s="20" t="b">
        <f aca="false">AND(A6&lt;&gt;"",C6&lt;&gt;"",D6&lt;&gt;"",C6&gt;='Read Me'!$B$5)</f>
        <v>0</v>
      </c>
      <c r="F6" s="23" t="str">
        <f aca="false">IF(E6,D6,"")</f>
        <v/>
      </c>
      <c r="G6" s="21" t="n">
        <f aca="false">IF(E6,D6^2,0)</f>
        <v>0</v>
      </c>
      <c r="H6" s="3"/>
    </row>
    <row r="7" customFormat="false" ht="15" hidden="false" customHeight="true" outlineLevel="0" collapsed="false">
      <c r="A7" s="16"/>
      <c r="B7" s="16"/>
      <c r="C7" s="15"/>
      <c r="D7" s="19"/>
      <c r="E7" s="20" t="b">
        <f aca="false">AND(A7&lt;&gt;"",C7&lt;&gt;"",D7&lt;&gt;"",C7&gt;='Read Me'!$B$5)</f>
        <v>0</v>
      </c>
      <c r="F7" s="23" t="str">
        <f aca="false">IF(E7,D7,"")</f>
        <v/>
      </c>
      <c r="G7" s="21" t="n">
        <f aca="false">IF(E7,D7^2,0)</f>
        <v>0</v>
      </c>
      <c r="H7" s="3"/>
    </row>
    <row r="8" customFormat="false" ht="15" hidden="false" customHeight="true" outlineLevel="0" collapsed="false">
      <c r="A8" s="16"/>
      <c r="B8" s="16"/>
      <c r="C8" s="15"/>
      <c r="D8" s="19"/>
      <c r="E8" s="20" t="b">
        <f aca="false">AND(A8&lt;&gt;"",C8&lt;&gt;"",D8&lt;&gt;"",C8&gt;='Read Me'!$B$5)</f>
        <v>0</v>
      </c>
      <c r="F8" s="23" t="str">
        <f aca="false">IF(E8,D8,"")</f>
        <v/>
      </c>
      <c r="G8" s="21" t="n">
        <f aca="false">IF(E8,D8^2,0)</f>
        <v>0</v>
      </c>
      <c r="H8" s="3"/>
    </row>
    <row r="9" customFormat="false" ht="15" hidden="false" customHeight="true" outlineLevel="0" collapsed="false">
      <c r="A9" s="16"/>
      <c r="B9" s="16"/>
      <c r="C9" s="15"/>
      <c r="D9" s="19"/>
      <c r="E9" s="20" t="b">
        <f aca="false">AND(A9&lt;&gt;"",C9&lt;&gt;"",D9&lt;&gt;"",C9&gt;='Read Me'!$B$5)</f>
        <v>0</v>
      </c>
      <c r="F9" s="23" t="str">
        <f aca="false">IF(E9,D9,"")</f>
        <v/>
      </c>
      <c r="G9" s="21" t="n">
        <f aca="false">IF(E9,D9^2,0)</f>
        <v>0</v>
      </c>
      <c r="H9" s="3"/>
    </row>
    <row r="10" customFormat="false" ht="15" hidden="false" customHeight="true" outlineLevel="0" collapsed="false">
      <c r="A10" s="16"/>
      <c r="B10" s="16"/>
      <c r="C10" s="15"/>
      <c r="D10" s="19"/>
      <c r="E10" s="20" t="b">
        <f aca="false">AND(A10&lt;&gt;"",C10&lt;&gt;"",D10&lt;&gt;"",C10&gt;='Read Me'!$B$5)</f>
        <v>0</v>
      </c>
      <c r="F10" s="23" t="str">
        <f aca="false">IF(E10,D10,"")</f>
        <v/>
      </c>
      <c r="G10" s="21" t="n">
        <f aca="false">IF(E10,D10^2,0)</f>
        <v>0</v>
      </c>
      <c r="H10" s="3"/>
    </row>
    <row r="11" customFormat="false" ht="15" hidden="false" customHeight="true" outlineLevel="0" collapsed="false">
      <c r="A11" s="16"/>
      <c r="B11" s="16"/>
      <c r="C11" s="15"/>
      <c r="D11" s="19"/>
      <c r="E11" s="20" t="b">
        <f aca="false">AND(A11&lt;&gt;"",C11&lt;&gt;"",D11&lt;&gt;"",C11&gt;='Read Me'!$B$5)</f>
        <v>0</v>
      </c>
      <c r="F11" s="23" t="str">
        <f aca="false">IF(E11,D11,"")</f>
        <v/>
      </c>
      <c r="G11" s="21" t="n">
        <f aca="false">IF(E11,D11^2,0)</f>
        <v>0</v>
      </c>
      <c r="H11" s="3"/>
    </row>
    <row r="12" customFormat="false" ht="15" hidden="false" customHeight="true" outlineLevel="0" collapsed="false">
      <c r="A12" s="16"/>
      <c r="B12" s="16"/>
      <c r="C12" s="15"/>
      <c r="D12" s="19"/>
      <c r="E12" s="20" t="b">
        <f aca="false">AND(A12&lt;&gt;"",C12&lt;&gt;"",D12&lt;&gt;"",C12&gt;='Read Me'!$B$5)</f>
        <v>0</v>
      </c>
      <c r="F12" s="23" t="str">
        <f aca="false">IF(E12,D12,"")</f>
        <v/>
      </c>
      <c r="G12" s="21" t="n">
        <f aca="false">IF(E12,D12^2,0)</f>
        <v>0</v>
      </c>
      <c r="H12" s="3"/>
    </row>
    <row r="13" customFormat="false" ht="15" hidden="false" customHeight="true" outlineLevel="0" collapsed="false">
      <c r="A13" s="16"/>
      <c r="B13" s="16"/>
      <c r="C13" s="15"/>
      <c r="D13" s="19"/>
      <c r="E13" s="20" t="b">
        <f aca="false">AND(A13&lt;&gt;"",C13&lt;&gt;"",D13&lt;&gt;"",C13&gt;='Read Me'!$B$5)</f>
        <v>0</v>
      </c>
      <c r="F13" s="23" t="str">
        <f aca="false">IF(E13,D13,"")</f>
        <v/>
      </c>
      <c r="G13" s="21" t="n">
        <f aca="false">IF(E13,D13^2,0)</f>
        <v>0</v>
      </c>
      <c r="H13" s="3"/>
    </row>
    <row r="14" customFormat="false" ht="15" hidden="false" customHeight="true" outlineLevel="0" collapsed="false">
      <c r="A14" s="16"/>
      <c r="B14" s="16"/>
      <c r="C14" s="15"/>
      <c r="D14" s="19"/>
      <c r="E14" s="20" t="b">
        <f aca="false">AND(A14&lt;&gt;"",C14&lt;&gt;"",D14&lt;&gt;"",C14&gt;='Read Me'!$B$5)</f>
        <v>0</v>
      </c>
      <c r="F14" s="23" t="str">
        <f aca="false">IF(E14,D14,"")</f>
        <v/>
      </c>
      <c r="G14" s="21" t="n">
        <f aca="false">IF(E14,D14^2,0)</f>
        <v>0</v>
      </c>
      <c r="H14" s="3"/>
    </row>
    <row r="15" customFormat="false" ht="15" hidden="false" customHeight="true" outlineLevel="0" collapsed="false">
      <c r="A15" s="16"/>
      <c r="B15" s="16"/>
      <c r="C15" s="15"/>
      <c r="D15" s="19"/>
      <c r="E15" s="20" t="b">
        <f aca="false">AND(A15&lt;&gt;"",C15&lt;&gt;"",D15&lt;&gt;"",C15&gt;='Read Me'!$B$5)</f>
        <v>0</v>
      </c>
      <c r="F15" s="23" t="str">
        <f aca="false">IF(E15,D15,"")</f>
        <v/>
      </c>
      <c r="G15" s="21" t="n">
        <f aca="false">IF(E15,D15^2,0)</f>
        <v>0</v>
      </c>
      <c r="H15" s="3"/>
    </row>
    <row r="16" customFormat="false" ht="15" hidden="false" customHeight="true" outlineLevel="0" collapsed="false">
      <c r="A16" s="16"/>
      <c r="B16" s="16"/>
      <c r="C16" s="15"/>
      <c r="D16" s="19"/>
      <c r="E16" s="20" t="b">
        <f aca="false">AND(A16&lt;&gt;"",C16&lt;&gt;"",D16&lt;&gt;"",C16&gt;='Read Me'!$B$5)</f>
        <v>0</v>
      </c>
      <c r="F16" s="23" t="str">
        <f aca="false">IF(E16,D16,"")</f>
        <v/>
      </c>
      <c r="G16" s="21" t="n">
        <f aca="false">IF(E16,D16^2,0)</f>
        <v>0</v>
      </c>
      <c r="H16" s="3"/>
    </row>
    <row r="17" customFormat="false" ht="15" hidden="false" customHeight="true" outlineLevel="0" collapsed="false">
      <c r="A17" s="16"/>
      <c r="B17" s="16"/>
      <c r="C17" s="15"/>
      <c r="D17" s="19"/>
      <c r="E17" s="20" t="b">
        <f aca="false">AND(A17&lt;&gt;"",C17&lt;&gt;"",D17&lt;&gt;"",C17&gt;='Read Me'!$B$5)</f>
        <v>0</v>
      </c>
      <c r="F17" s="23" t="str">
        <f aca="false">IF(E17,D17,"")</f>
        <v/>
      </c>
      <c r="G17" s="21" t="n">
        <f aca="false">IF(E17,D17^2,0)</f>
        <v>0</v>
      </c>
      <c r="H17" s="3"/>
    </row>
    <row r="18" customFormat="false" ht="15" hidden="false" customHeight="true" outlineLevel="0" collapsed="false">
      <c r="A18" s="16"/>
      <c r="B18" s="16"/>
      <c r="C18" s="15"/>
      <c r="D18" s="19"/>
      <c r="E18" s="20" t="b">
        <f aca="false">AND(A18&lt;&gt;"",C18&lt;&gt;"",D18&lt;&gt;"",C18&gt;='Read Me'!$B$5)</f>
        <v>0</v>
      </c>
      <c r="F18" s="23" t="str">
        <f aca="false">IF(E18,D18,"")</f>
        <v/>
      </c>
      <c r="G18" s="21" t="n">
        <f aca="false">IF(E18,D18^2,0)</f>
        <v>0</v>
      </c>
      <c r="H18" s="3"/>
    </row>
    <row r="19" customFormat="false" ht="15" hidden="false" customHeight="true" outlineLevel="0" collapsed="false">
      <c r="A19" s="16"/>
      <c r="B19" s="16"/>
      <c r="C19" s="15"/>
      <c r="D19" s="19"/>
      <c r="E19" s="20" t="b">
        <f aca="false">AND(A19&lt;&gt;"",C19&lt;&gt;"",D19&lt;&gt;"",C19&gt;='Read Me'!$B$5)</f>
        <v>0</v>
      </c>
      <c r="F19" s="23" t="str">
        <f aca="false">IF(E19,D19,"")</f>
        <v/>
      </c>
      <c r="G19" s="21" t="n">
        <f aca="false">IF(E19,D19^2,0)</f>
        <v>0</v>
      </c>
      <c r="H19" s="3"/>
    </row>
    <row r="20" customFormat="false" ht="15" hidden="false" customHeight="true" outlineLevel="0" collapsed="false">
      <c r="A20" s="16"/>
      <c r="B20" s="16"/>
      <c r="C20" s="15"/>
      <c r="D20" s="19"/>
      <c r="E20" s="20" t="b">
        <f aca="false">AND(A20&lt;&gt;"",C20&lt;&gt;"",D20&lt;&gt;"",C20&gt;='Read Me'!$B$5)</f>
        <v>0</v>
      </c>
      <c r="F20" s="23" t="str">
        <f aca="false">IF(E20,D20,"")</f>
        <v/>
      </c>
      <c r="G20" s="21" t="n">
        <f aca="false">IF(E20,D20^2,0)</f>
        <v>0</v>
      </c>
      <c r="H20" s="3"/>
    </row>
    <row r="21" customFormat="false" ht="15" hidden="false" customHeight="true" outlineLevel="0" collapsed="false">
      <c r="A21" s="16"/>
      <c r="B21" s="16"/>
      <c r="C21" s="15"/>
      <c r="D21" s="19"/>
      <c r="E21" s="20" t="b">
        <f aca="false">AND(A21&lt;&gt;"",C21&lt;&gt;"",D21&lt;&gt;"",C21&gt;='Read Me'!$B$5)</f>
        <v>0</v>
      </c>
      <c r="F21" s="23" t="str">
        <f aca="false">IF(E21,D21,"")</f>
        <v/>
      </c>
      <c r="G21" s="21" t="n">
        <f aca="false">IF(E21,D21^2,0)</f>
        <v>0</v>
      </c>
      <c r="H21" s="3"/>
    </row>
    <row r="22" customFormat="false" ht="15" hidden="false" customHeight="true" outlineLevel="0" collapsed="false">
      <c r="A22" s="16"/>
      <c r="B22" s="16"/>
      <c r="C22" s="15"/>
      <c r="D22" s="19"/>
      <c r="E22" s="20" t="b">
        <f aca="false">AND(A22&lt;&gt;"",C22&lt;&gt;"",D22&lt;&gt;"",C22&gt;='Read Me'!$B$5)</f>
        <v>0</v>
      </c>
      <c r="F22" s="23" t="str">
        <f aca="false">IF(E22,D22,"")</f>
        <v/>
      </c>
      <c r="G22" s="21" t="n">
        <f aca="false">IF(E22,D22^2,0)</f>
        <v>0</v>
      </c>
      <c r="H22" s="3"/>
    </row>
    <row r="23" customFormat="false" ht="15" hidden="false" customHeight="true" outlineLevel="0" collapsed="false">
      <c r="A23" s="16"/>
      <c r="B23" s="16"/>
      <c r="C23" s="15"/>
      <c r="D23" s="19"/>
      <c r="E23" s="20" t="b">
        <f aca="false">AND(A23&lt;&gt;"",C23&lt;&gt;"",D23&lt;&gt;"",C23&gt;='Read Me'!$B$5)</f>
        <v>0</v>
      </c>
      <c r="F23" s="23" t="str">
        <f aca="false">IF(E23,D23,"")</f>
        <v/>
      </c>
      <c r="G23" s="21" t="n">
        <f aca="false">IF(E23,D23^2,0)</f>
        <v>0</v>
      </c>
      <c r="H23" s="3"/>
    </row>
    <row r="24" customFormat="false" ht="15" hidden="false" customHeight="true" outlineLevel="0" collapsed="false">
      <c r="A24" s="16"/>
      <c r="B24" s="16"/>
      <c r="C24" s="15"/>
      <c r="D24" s="19"/>
      <c r="E24" s="20" t="b">
        <f aca="false">AND(A24&lt;&gt;"",C24&lt;&gt;"",D24&lt;&gt;"",C24&gt;='Read Me'!$B$5)</f>
        <v>0</v>
      </c>
      <c r="F24" s="23" t="str">
        <f aca="false">IF(E24,D24,"")</f>
        <v/>
      </c>
      <c r="G24" s="21" t="n">
        <f aca="false">IF(E24,D24^2,0)</f>
        <v>0</v>
      </c>
      <c r="H24" s="3"/>
    </row>
    <row r="25" customFormat="false" ht="15" hidden="false" customHeight="true" outlineLevel="0" collapsed="false">
      <c r="A25" s="16"/>
      <c r="B25" s="16"/>
      <c r="C25" s="15"/>
      <c r="D25" s="19"/>
      <c r="E25" s="20" t="b">
        <f aca="false">AND(A25&lt;&gt;"",C25&lt;&gt;"",D25&lt;&gt;"",C25&gt;='Read Me'!$B$5)</f>
        <v>0</v>
      </c>
      <c r="F25" s="23" t="str">
        <f aca="false">IF(E25,D25,"")</f>
        <v/>
      </c>
      <c r="G25" s="21" t="n">
        <f aca="false">IF(E25,D25^2,0)</f>
        <v>0</v>
      </c>
      <c r="H25" s="3"/>
    </row>
    <row r="26" customFormat="false" ht="15" hidden="false" customHeight="true" outlineLevel="0" collapsed="false">
      <c r="A26" s="16"/>
      <c r="B26" s="16"/>
      <c r="C26" s="15"/>
      <c r="D26" s="19"/>
      <c r="E26" s="20" t="b">
        <f aca="false">AND(A26&lt;&gt;"",C26&lt;&gt;"",D26&lt;&gt;"",C26&gt;='Read Me'!$B$5)</f>
        <v>0</v>
      </c>
      <c r="F26" s="23" t="str">
        <f aca="false">IF(E26,D26,"")</f>
        <v/>
      </c>
      <c r="G26" s="21" t="n">
        <f aca="false">IF(E26,D26^2,0)</f>
        <v>0</v>
      </c>
      <c r="H26" s="3"/>
    </row>
    <row r="27" customFormat="false" ht="15" hidden="false" customHeight="true" outlineLevel="0" collapsed="false">
      <c r="A27" s="16"/>
      <c r="B27" s="16"/>
      <c r="C27" s="15"/>
      <c r="D27" s="19"/>
      <c r="E27" s="20" t="b">
        <f aca="false">AND(A27&lt;&gt;"",C27&lt;&gt;"",D27&lt;&gt;"",C27&gt;='Read Me'!$B$5)</f>
        <v>0</v>
      </c>
      <c r="F27" s="23" t="str">
        <f aca="false">IF(E27,D27,"")</f>
        <v/>
      </c>
      <c r="G27" s="21" t="n">
        <f aca="false">IF(E27,D27^2,0)</f>
        <v>0</v>
      </c>
      <c r="H27" s="3"/>
    </row>
    <row r="28" customFormat="false" ht="15" hidden="false" customHeight="true" outlineLevel="0" collapsed="false">
      <c r="A28" s="16"/>
      <c r="B28" s="16"/>
      <c r="C28" s="15"/>
      <c r="D28" s="19"/>
      <c r="E28" s="20" t="b">
        <f aca="false">AND(A28&lt;&gt;"",C28&lt;&gt;"",D28&lt;&gt;"",C28&gt;='Read Me'!$B$5)</f>
        <v>0</v>
      </c>
      <c r="F28" s="23" t="str">
        <f aca="false">IF(E28,D28,"")</f>
        <v/>
      </c>
      <c r="G28" s="21" t="n">
        <f aca="false">IF(E28,D28^2,0)</f>
        <v>0</v>
      </c>
      <c r="H28" s="3"/>
    </row>
    <row r="29" customFormat="false" ht="15" hidden="false" customHeight="true" outlineLevel="0" collapsed="false">
      <c r="A29" s="16"/>
      <c r="B29" s="16"/>
      <c r="C29" s="15"/>
      <c r="D29" s="19"/>
      <c r="E29" s="20" t="b">
        <f aca="false">AND(A29&lt;&gt;"",C29&lt;&gt;"",D29&lt;&gt;"",C29&gt;='Read Me'!$B$5)</f>
        <v>0</v>
      </c>
      <c r="F29" s="23" t="str">
        <f aca="false">IF(E29,D29,"")</f>
        <v/>
      </c>
      <c r="G29" s="21" t="n">
        <f aca="false">IF(E29,D29^2,0)</f>
        <v>0</v>
      </c>
      <c r="H29" s="3"/>
    </row>
    <row r="30" customFormat="false" ht="15" hidden="false" customHeight="true" outlineLevel="0" collapsed="false">
      <c r="A30" s="16"/>
      <c r="B30" s="16"/>
      <c r="C30" s="15"/>
      <c r="D30" s="19"/>
      <c r="E30" s="20" t="b">
        <f aca="false">AND(A30&lt;&gt;"",C30&lt;&gt;"",D30&lt;&gt;"",C30&gt;='Read Me'!$B$5)</f>
        <v>0</v>
      </c>
      <c r="F30" s="23" t="str">
        <f aca="false">IF(E30,D30,"")</f>
        <v/>
      </c>
      <c r="G30" s="21" t="n">
        <f aca="false">IF(E30,D30^2,0)</f>
        <v>0</v>
      </c>
      <c r="H30" s="3"/>
    </row>
    <row r="31" customFormat="false" ht="15" hidden="false" customHeight="true" outlineLevel="0" collapsed="false">
      <c r="A31" s="16"/>
      <c r="B31" s="16"/>
      <c r="C31" s="15"/>
      <c r="D31" s="19"/>
      <c r="E31" s="20" t="b">
        <f aca="false">AND(A31&lt;&gt;"",C31&lt;&gt;"",D31&lt;&gt;"",C31&gt;='Read Me'!$B$5)</f>
        <v>0</v>
      </c>
      <c r="F31" s="23" t="str">
        <f aca="false">IF(E31,D31,"")</f>
        <v/>
      </c>
      <c r="G31" s="21" t="n">
        <f aca="false">IF(E31,D31^2,0)</f>
        <v>0</v>
      </c>
      <c r="H31" s="3"/>
    </row>
    <row r="32" customFormat="false" ht="15" hidden="false" customHeight="true" outlineLevel="0" collapsed="false">
      <c r="A32" s="16"/>
      <c r="B32" s="16"/>
      <c r="C32" s="15"/>
      <c r="D32" s="19"/>
      <c r="E32" s="20" t="b">
        <f aca="false">AND(A32&lt;&gt;"",C32&lt;&gt;"",D32&lt;&gt;"",C32&gt;='Read Me'!$B$5)</f>
        <v>0</v>
      </c>
      <c r="F32" s="23" t="str">
        <f aca="false">IF(E32,D32,"")</f>
        <v/>
      </c>
      <c r="G32" s="21" t="n">
        <f aca="false">IF(E32,D32^2,0)</f>
        <v>0</v>
      </c>
      <c r="H32" s="3"/>
    </row>
    <row r="33" customFormat="false" ht="15" hidden="false" customHeight="true" outlineLevel="0" collapsed="false">
      <c r="A33" s="16"/>
      <c r="B33" s="16"/>
      <c r="C33" s="15"/>
      <c r="D33" s="19"/>
      <c r="E33" s="20" t="b">
        <f aca="false">AND(A33&lt;&gt;"",C33&lt;&gt;"",D33&lt;&gt;"",C33&gt;='Read Me'!$B$5)</f>
        <v>0</v>
      </c>
      <c r="F33" s="23" t="str">
        <f aca="false">IF(E33,D33,"")</f>
        <v/>
      </c>
      <c r="G33" s="21" t="n">
        <f aca="false">IF(E33,D33^2,0)</f>
        <v>0</v>
      </c>
      <c r="H33" s="3"/>
    </row>
    <row r="34" customFormat="false" ht="15" hidden="false" customHeight="true" outlineLevel="0" collapsed="false">
      <c r="A34" s="16"/>
      <c r="B34" s="16"/>
      <c r="C34" s="15"/>
      <c r="D34" s="19"/>
      <c r="E34" s="20" t="b">
        <f aca="false">AND(A34&lt;&gt;"",C34&lt;&gt;"",D34&lt;&gt;"",C34&gt;='Read Me'!$B$5)</f>
        <v>0</v>
      </c>
      <c r="F34" s="23" t="str">
        <f aca="false">IF(E34,D34,"")</f>
        <v/>
      </c>
      <c r="G34" s="21" t="n">
        <f aca="false">IF(E34,D34^2,0)</f>
        <v>0</v>
      </c>
      <c r="H34" s="3"/>
    </row>
    <row r="35" customFormat="false" ht="15" hidden="false" customHeight="true" outlineLevel="0" collapsed="false">
      <c r="A35" s="16"/>
      <c r="B35" s="16"/>
      <c r="C35" s="15"/>
      <c r="D35" s="19"/>
      <c r="E35" s="20" t="b">
        <f aca="false">AND(A35&lt;&gt;"",C35&lt;&gt;"",D35&lt;&gt;"",C35&gt;='Read Me'!$B$5)</f>
        <v>0</v>
      </c>
      <c r="F35" s="23" t="str">
        <f aca="false">IF(E35,D35,"")</f>
        <v/>
      </c>
      <c r="G35" s="21" t="n">
        <f aca="false">IF(E35,D35^2,0)</f>
        <v>0</v>
      </c>
      <c r="H35" s="3"/>
    </row>
    <row r="36" customFormat="false" ht="15" hidden="false" customHeight="true" outlineLevel="0" collapsed="false">
      <c r="A36" s="16"/>
      <c r="B36" s="16"/>
      <c r="C36" s="15"/>
      <c r="D36" s="19"/>
      <c r="E36" s="20" t="b">
        <f aca="false">AND(A36&lt;&gt;"",C36&lt;&gt;"",D36&lt;&gt;"",C36&gt;='Read Me'!$B$5)</f>
        <v>0</v>
      </c>
      <c r="F36" s="23" t="str">
        <f aca="false">IF(E36,D36,"")</f>
        <v/>
      </c>
      <c r="G36" s="21" t="n">
        <f aca="false">IF(E36,D36^2,0)</f>
        <v>0</v>
      </c>
      <c r="H36" s="3"/>
    </row>
    <row r="37" customFormat="false" ht="15" hidden="false" customHeight="true" outlineLevel="0" collapsed="false">
      <c r="A37" s="16"/>
      <c r="B37" s="16"/>
      <c r="C37" s="15"/>
      <c r="D37" s="19"/>
      <c r="E37" s="20" t="b">
        <f aca="false">AND(A37&lt;&gt;"",C37&lt;&gt;"",D37&lt;&gt;"",C37&gt;='Read Me'!$B$5)</f>
        <v>0</v>
      </c>
      <c r="F37" s="23" t="str">
        <f aca="false">IF(E37,D37,"")</f>
        <v/>
      </c>
      <c r="G37" s="21" t="n">
        <f aca="false">IF(E37,D37^2,0)</f>
        <v>0</v>
      </c>
      <c r="H37" s="3"/>
    </row>
    <row r="38" customFormat="false" ht="15" hidden="false" customHeight="true" outlineLevel="0" collapsed="false">
      <c r="A38" s="16"/>
      <c r="B38" s="16"/>
      <c r="C38" s="15"/>
      <c r="D38" s="19"/>
      <c r="E38" s="20" t="b">
        <f aca="false">AND(A38&lt;&gt;"",C38&lt;&gt;"",D38&lt;&gt;"",C38&gt;='Read Me'!$B$5)</f>
        <v>0</v>
      </c>
      <c r="F38" s="23" t="str">
        <f aca="false">IF(E38,D38,"")</f>
        <v/>
      </c>
      <c r="G38" s="21" t="n">
        <f aca="false">IF(E38,D38^2,0)</f>
        <v>0</v>
      </c>
      <c r="H38" s="3"/>
    </row>
    <row r="39" customFormat="false" ht="15" hidden="false" customHeight="true" outlineLevel="0" collapsed="false">
      <c r="A39" s="16"/>
      <c r="B39" s="16"/>
      <c r="C39" s="15"/>
      <c r="D39" s="19"/>
      <c r="E39" s="20" t="b">
        <f aca="false">AND(A39&lt;&gt;"",C39&lt;&gt;"",D39&lt;&gt;"",C39&gt;='Read Me'!$B$5)</f>
        <v>0</v>
      </c>
      <c r="F39" s="23" t="str">
        <f aca="false">IF(E39,D39,"")</f>
        <v/>
      </c>
      <c r="G39" s="21" t="n">
        <f aca="false">IF(E39,D39^2,0)</f>
        <v>0</v>
      </c>
      <c r="H39" s="3"/>
    </row>
    <row r="40" customFormat="false" ht="15" hidden="false" customHeight="true" outlineLevel="0" collapsed="false">
      <c r="A40" s="16"/>
      <c r="B40" s="16"/>
      <c r="C40" s="15"/>
      <c r="D40" s="19"/>
      <c r="E40" s="20" t="b">
        <f aca="false">AND(A40&lt;&gt;"",C40&lt;&gt;"",D40&lt;&gt;"",C40&gt;='Read Me'!$B$5)</f>
        <v>0</v>
      </c>
      <c r="F40" s="23" t="str">
        <f aca="false">IF(E40,D40,"")</f>
        <v/>
      </c>
      <c r="G40" s="21" t="n">
        <f aca="false">IF(E40,D40^2,0)</f>
        <v>0</v>
      </c>
      <c r="H40" s="3"/>
    </row>
    <row r="41" customFormat="false" ht="15" hidden="false" customHeight="true" outlineLevel="0" collapsed="false">
      <c r="A41" s="16"/>
      <c r="B41" s="16"/>
      <c r="C41" s="15"/>
      <c r="D41" s="19"/>
      <c r="E41" s="20" t="b">
        <f aca="false">AND(A41&lt;&gt;"",C41&lt;&gt;"",D41&lt;&gt;"",C41&gt;='Read Me'!$B$5)</f>
        <v>0</v>
      </c>
      <c r="F41" s="23" t="str">
        <f aca="false">IF(E41,D41,"")</f>
        <v/>
      </c>
      <c r="G41" s="21" t="n">
        <f aca="false">IF(E41,D41^2,0)</f>
        <v>0</v>
      </c>
      <c r="H41" s="3"/>
    </row>
    <row r="42" customFormat="false" ht="15" hidden="false" customHeight="true" outlineLevel="0" collapsed="false">
      <c r="A42" s="16"/>
      <c r="B42" s="16"/>
      <c r="C42" s="15"/>
      <c r="D42" s="19"/>
      <c r="E42" s="20" t="b">
        <f aca="false">AND(A42&lt;&gt;"",C42&lt;&gt;"",D42&lt;&gt;"",C42&gt;='Read Me'!$B$5)</f>
        <v>0</v>
      </c>
      <c r="F42" s="23" t="str">
        <f aca="false">IF(E42,D42,"")</f>
        <v/>
      </c>
      <c r="G42" s="21" t="n">
        <f aca="false">IF(E42,D42^2,0)</f>
        <v>0</v>
      </c>
      <c r="H42" s="3"/>
    </row>
    <row r="43" customFormat="false" ht="15" hidden="false" customHeight="true" outlineLevel="0" collapsed="false">
      <c r="A43" s="16"/>
      <c r="B43" s="16"/>
      <c r="C43" s="15"/>
      <c r="D43" s="19"/>
      <c r="E43" s="20" t="b">
        <f aca="false">AND(A43&lt;&gt;"",C43&lt;&gt;"",D43&lt;&gt;"",C43&gt;='Read Me'!$B$5)</f>
        <v>0</v>
      </c>
      <c r="F43" s="23" t="str">
        <f aca="false">IF(E43,D43,"")</f>
        <v/>
      </c>
      <c r="G43" s="21" t="n">
        <f aca="false">IF(E43,D43^2,0)</f>
        <v>0</v>
      </c>
      <c r="H43" s="3"/>
    </row>
    <row r="44" customFormat="false" ht="15" hidden="false" customHeight="true" outlineLevel="0" collapsed="false">
      <c r="A44" s="16"/>
      <c r="B44" s="16"/>
      <c r="C44" s="15"/>
      <c r="D44" s="19"/>
      <c r="E44" s="20" t="b">
        <f aca="false">AND(A44&lt;&gt;"",C44&lt;&gt;"",D44&lt;&gt;"",C44&gt;='Read Me'!$B$5)</f>
        <v>0</v>
      </c>
      <c r="F44" s="23" t="str">
        <f aca="false">IF(E44,D44,"")</f>
        <v/>
      </c>
      <c r="G44" s="21" t="n">
        <f aca="false">IF(E44,D44^2,0)</f>
        <v>0</v>
      </c>
      <c r="H44" s="3"/>
    </row>
    <row r="45" customFormat="false" ht="15" hidden="false" customHeight="true" outlineLevel="0" collapsed="false">
      <c r="A45" s="16"/>
      <c r="B45" s="16"/>
      <c r="C45" s="15"/>
      <c r="D45" s="19"/>
      <c r="E45" s="20" t="b">
        <f aca="false">AND(A45&lt;&gt;"",C45&lt;&gt;"",D45&lt;&gt;"",C45&gt;='Read Me'!$B$5)</f>
        <v>0</v>
      </c>
      <c r="F45" s="23" t="str">
        <f aca="false">IF(E45,D45,"")</f>
        <v/>
      </c>
      <c r="G45" s="21" t="n">
        <f aca="false">IF(E45,D45^2,0)</f>
        <v>0</v>
      </c>
      <c r="H45" s="3"/>
    </row>
    <row r="46" customFormat="false" ht="15" hidden="false" customHeight="true" outlineLevel="0" collapsed="false">
      <c r="A46" s="16"/>
      <c r="B46" s="16"/>
      <c r="C46" s="15"/>
      <c r="D46" s="19"/>
      <c r="E46" s="20" t="b">
        <f aca="false">AND(A46&lt;&gt;"",C46&lt;&gt;"",D46&lt;&gt;"",C46&gt;='Read Me'!$B$5)</f>
        <v>0</v>
      </c>
      <c r="F46" s="23" t="str">
        <f aca="false">IF(E46,D46,"")</f>
        <v/>
      </c>
      <c r="G46" s="21" t="n">
        <f aca="false">IF(E46,D46^2,0)</f>
        <v>0</v>
      </c>
      <c r="H46" s="3"/>
    </row>
    <row r="47" customFormat="false" ht="15" hidden="false" customHeight="true" outlineLevel="0" collapsed="false">
      <c r="A47" s="16"/>
      <c r="B47" s="16"/>
      <c r="C47" s="15"/>
      <c r="D47" s="19"/>
      <c r="E47" s="20" t="b">
        <f aca="false">AND(A47&lt;&gt;"",C47&lt;&gt;"",D47&lt;&gt;"",C47&gt;='Read Me'!$B$5)</f>
        <v>0</v>
      </c>
      <c r="F47" s="23" t="str">
        <f aca="false">IF(E47,D47,"")</f>
        <v/>
      </c>
      <c r="G47" s="21" t="n">
        <f aca="false">IF(E47,D47^2,0)</f>
        <v>0</v>
      </c>
      <c r="H47" s="3"/>
    </row>
    <row r="48" customFormat="false" ht="15" hidden="false" customHeight="true" outlineLevel="0" collapsed="false">
      <c r="A48" s="16"/>
      <c r="B48" s="16"/>
      <c r="C48" s="15"/>
      <c r="D48" s="19"/>
      <c r="E48" s="20" t="b">
        <f aca="false">AND(A48&lt;&gt;"",C48&lt;&gt;"",D48&lt;&gt;"",C48&gt;='Read Me'!$B$5)</f>
        <v>0</v>
      </c>
      <c r="F48" s="23" t="str">
        <f aca="false">IF(E48,D48,"")</f>
        <v/>
      </c>
      <c r="G48" s="21" t="n">
        <f aca="false">IF(E48,D48^2,0)</f>
        <v>0</v>
      </c>
      <c r="H48" s="3"/>
    </row>
    <row r="49" customFormat="false" ht="15" hidden="false" customHeight="true" outlineLevel="0" collapsed="false">
      <c r="A49" s="16"/>
      <c r="B49" s="16"/>
      <c r="C49" s="15"/>
      <c r="D49" s="19"/>
      <c r="E49" s="20" t="b">
        <f aca="false">AND(A49&lt;&gt;"",C49&lt;&gt;"",D49&lt;&gt;"",C49&gt;='Read Me'!$B$5)</f>
        <v>0</v>
      </c>
      <c r="F49" s="23" t="str">
        <f aca="false">IF(E49,D49,"")</f>
        <v/>
      </c>
      <c r="G49" s="21" t="n">
        <f aca="false">IF(E49,D49^2,0)</f>
        <v>0</v>
      </c>
      <c r="H49" s="3"/>
    </row>
    <row r="50" customFormat="false" ht="15" hidden="false" customHeight="true" outlineLevel="0" collapsed="false">
      <c r="A50" s="16"/>
      <c r="B50" s="16"/>
      <c r="C50" s="15"/>
      <c r="D50" s="19"/>
      <c r="E50" s="20" t="b">
        <f aca="false">AND(A50&lt;&gt;"",C50&lt;&gt;"",D50&lt;&gt;"",C50&gt;='Read Me'!$B$5)</f>
        <v>0</v>
      </c>
      <c r="F50" s="23" t="str">
        <f aca="false">IF(E50,D50,"")</f>
        <v/>
      </c>
      <c r="G50" s="21" t="n">
        <f aca="false">IF(E50,D50^2,0)</f>
        <v>0</v>
      </c>
      <c r="H50" s="3"/>
    </row>
    <row r="51" customFormat="false" ht="15" hidden="false" customHeight="true" outlineLevel="0" collapsed="false">
      <c r="A51" s="16"/>
      <c r="B51" s="16"/>
      <c r="C51" s="15"/>
      <c r="D51" s="19"/>
      <c r="E51" s="20" t="b">
        <f aca="false">AND(A51&lt;&gt;"",C51&lt;&gt;"",D51&lt;&gt;"",C51&gt;='Read Me'!$B$5)</f>
        <v>0</v>
      </c>
      <c r="F51" s="23" t="str">
        <f aca="false">IF(E51,D51,"")</f>
        <v/>
      </c>
      <c r="G51" s="21" t="n">
        <f aca="false">IF(E51,D51^2,0)</f>
        <v>0</v>
      </c>
      <c r="H51" s="3"/>
    </row>
    <row r="52" customFormat="false" ht="15" hidden="false" customHeight="true" outlineLevel="0" collapsed="false">
      <c r="A52" s="16"/>
      <c r="B52" s="16"/>
      <c r="C52" s="15"/>
      <c r="D52" s="19"/>
      <c r="E52" s="20" t="b">
        <f aca="false">AND(A52&lt;&gt;"",C52&lt;&gt;"",D52&lt;&gt;"",C52&gt;='Read Me'!$B$5)</f>
        <v>0</v>
      </c>
      <c r="F52" s="23" t="str">
        <f aca="false">IF(E52,D52,"")</f>
        <v/>
      </c>
      <c r="G52" s="21" t="n">
        <f aca="false">IF(E52,D52^2,0)</f>
        <v>0</v>
      </c>
      <c r="H52" s="3"/>
    </row>
    <row r="53" customFormat="false" ht="15" hidden="false" customHeight="true" outlineLevel="0" collapsed="false">
      <c r="A53" s="16"/>
      <c r="B53" s="16"/>
      <c r="C53" s="15"/>
      <c r="D53" s="19"/>
      <c r="E53" s="20" t="b">
        <f aca="false">AND(A53&lt;&gt;"",C53&lt;&gt;"",D53&lt;&gt;"",C53&gt;='Read Me'!$B$5)</f>
        <v>0</v>
      </c>
      <c r="F53" s="23" t="str">
        <f aca="false">IF(E53,D53,"")</f>
        <v/>
      </c>
      <c r="G53" s="21" t="n">
        <f aca="false">IF(E53,D53^2,0)</f>
        <v>0</v>
      </c>
      <c r="H53" s="3"/>
    </row>
    <row r="54" customFormat="false" ht="15" hidden="false" customHeight="true" outlineLevel="0" collapsed="false">
      <c r="A54" s="16"/>
      <c r="B54" s="16"/>
      <c r="C54" s="15"/>
      <c r="D54" s="19"/>
      <c r="E54" s="20" t="b">
        <f aca="false">AND(A54&lt;&gt;"",C54&lt;&gt;"",D54&lt;&gt;"",C54&gt;='Read Me'!$B$5)</f>
        <v>0</v>
      </c>
      <c r="F54" s="23" t="str">
        <f aca="false">IF(E54,D54,"")</f>
        <v/>
      </c>
      <c r="G54" s="21" t="n">
        <f aca="false">IF(E54,D54^2,0)</f>
        <v>0</v>
      </c>
      <c r="H54" s="3"/>
    </row>
    <row r="55" customFormat="false" ht="15" hidden="false" customHeight="true" outlineLevel="0" collapsed="false">
      <c r="A55" s="16"/>
      <c r="B55" s="16"/>
      <c r="C55" s="15"/>
      <c r="D55" s="19"/>
      <c r="E55" s="20" t="b">
        <f aca="false">AND(A55&lt;&gt;"",C55&lt;&gt;"",D55&lt;&gt;"",C55&gt;='Read Me'!$B$5)</f>
        <v>0</v>
      </c>
      <c r="F55" s="23" t="str">
        <f aca="false">IF(E55,D55,"")</f>
        <v/>
      </c>
      <c r="G55" s="21" t="n">
        <f aca="false">IF(E55,D55^2,0)</f>
        <v>0</v>
      </c>
      <c r="H55" s="3"/>
    </row>
    <row r="56" customFormat="false" ht="15" hidden="false" customHeight="true" outlineLevel="0" collapsed="false">
      <c r="A56" s="16"/>
      <c r="B56" s="16"/>
      <c r="C56" s="15"/>
      <c r="D56" s="19"/>
      <c r="E56" s="20" t="b">
        <f aca="false">AND(A56&lt;&gt;"",C56&lt;&gt;"",D56&lt;&gt;"",C56&gt;='Read Me'!$B$5)</f>
        <v>0</v>
      </c>
      <c r="F56" s="23" t="str">
        <f aca="false">IF(E56,D56,"")</f>
        <v/>
      </c>
      <c r="G56" s="21" t="n">
        <f aca="false">IF(E56,D56^2,0)</f>
        <v>0</v>
      </c>
      <c r="H56" s="3"/>
    </row>
    <row r="57" customFormat="false" ht="15" hidden="false" customHeight="true" outlineLevel="0" collapsed="false">
      <c r="A57" s="16"/>
      <c r="B57" s="16"/>
      <c r="C57" s="15"/>
      <c r="D57" s="19"/>
      <c r="E57" s="20" t="b">
        <f aca="false">AND(A57&lt;&gt;"",C57&lt;&gt;"",D57&lt;&gt;"",C57&gt;='Read Me'!$B$5)</f>
        <v>0</v>
      </c>
      <c r="F57" s="23" t="str">
        <f aca="false">IF(E57,D57,"")</f>
        <v/>
      </c>
      <c r="G57" s="21" t="n">
        <f aca="false">IF(E57,D57^2,0)</f>
        <v>0</v>
      </c>
      <c r="H57" s="3"/>
    </row>
    <row r="58" customFormat="false" ht="15" hidden="false" customHeight="true" outlineLevel="0" collapsed="false">
      <c r="A58" s="16"/>
      <c r="B58" s="16"/>
      <c r="C58" s="15"/>
      <c r="D58" s="19"/>
      <c r="E58" s="20" t="b">
        <f aca="false">AND(A58&lt;&gt;"",C58&lt;&gt;"",D58&lt;&gt;"",C58&gt;='Read Me'!$B$5)</f>
        <v>0</v>
      </c>
      <c r="F58" s="23" t="str">
        <f aca="false">IF(E58,D58,"")</f>
        <v/>
      </c>
      <c r="G58" s="21" t="n">
        <f aca="false">IF(E58,D58^2,0)</f>
        <v>0</v>
      </c>
      <c r="H58" s="3"/>
    </row>
    <row r="59" customFormat="false" ht="15" hidden="false" customHeight="true" outlineLevel="0" collapsed="false">
      <c r="A59" s="16"/>
      <c r="B59" s="16"/>
      <c r="C59" s="15"/>
      <c r="D59" s="19"/>
      <c r="E59" s="20" t="b">
        <f aca="false">AND(A59&lt;&gt;"",C59&lt;&gt;"",D59&lt;&gt;"",C59&gt;='Read Me'!$B$5)</f>
        <v>0</v>
      </c>
      <c r="F59" s="23" t="str">
        <f aca="false">IF(E59,D59,"")</f>
        <v/>
      </c>
      <c r="G59" s="21" t="n">
        <f aca="false">IF(E59,D59^2,0)</f>
        <v>0</v>
      </c>
      <c r="H59" s="3"/>
    </row>
    <row r="60" customFormat="false" ht="15" hidden="false" customHeight="true" outlineLevel="0" collapsed="false">
      <c r="A60" s="16"/>
      <c r="B60" s="16"/>
      <c r="C60" s="15"/>
      <c r="D60" s="19"/>
      <c r="E60" s="20" t="b">
        <f aca="false">AND(A60&lt;&gt;"",C60&lt;&gt;"",D60&lt;&gt;"",C60&gt;='Read Me'!$B$5)</f>
        <v>0</v>
      </c>
      <c r="F60" s="23" t="str">
        <f aca="false">IF(E60,D60,"")</f>
        <v/>
      </c>
      <c r="G60" s="21" t="n">
        <f aca="false">IF(E60,D60^2,0)</f>
        <v>0</v>
      </c>
      <c r="H60" s="3"/>
    </row>
    <row r="61" customFormat="false" ht="15" hidden="false" customHeight="true" outlineLevel="0" collapsed="false">
      <c r="A61" s="16"/>
      <c r="B61" s="16"/>
      <c r="C61" s="15"/>
      <c r="D61" s="19"/>
      <c r="E61" s="20" t="b">
        <f aca="false">AND(A61&lt;&gt;"",C61&lt;&gt;"",D61&lt;&gt;"",C61&gt;='Read Me'!$B$5)</f>
        <v>0</v>
      </c>
      <c r="F61" s="23" t="str">
        <f aca="false">IF(E61,D61,"")</f>
        <v/>
      </c>
      <c r="G61" s="21" t="n">
        <f aca="false">IF(E61,D61^2,0)</f>
        <v>0</v>
      </c>
      <c r="H61" s="3"/>
    </row>
    <row r="62" customFormat="false" ht="15" hidden="false" customHeight="true" outlineLevel="0" collapsed="false">
      <c r="A62" s="16"/>
      <c r="B62" s="16"/>
      <c r="C62" s="15"/>
      <c r="D62" s="19"/>
      <c r="E62" s="20" t="b">
        <f aca="false">AND(A62&lt;&gt;"",C62&lt;&gt;"",D62&lt;&gt;"",C62&gt;='Read Me'!$B$5)</f>
        <v>0</v>
      </c>
      <c r="F62" s="23" t="str">
        <f aca="false">IF(E62,D62,"")</f>
        <v/>
      </c>
      <c r="G62" s="21" t="n">
        <f aca="false">IF(E62,D62^2,0)</f>
        <v>0</v>
      </c>
      <c r="H62" s="3"/>
    </row>
    <row r="63" customFormat="false" ht="15" hidden="false" customHeight="true" outlineLevel="0" collapsed="false">
      <c r="A63" s="16"/>
      <c r="B63" s="16"/>
      <c r="C63" s="15"/>
      <c r="D63" s="19"/>
      <c r="E63" s="20" t="b">
        <f aca="false">AND(A63&lt;&gt;"",C63&lt;&gt;"",D63&lt;&gt;"",C63&gt;='Read Me'!$B$5)</f>
        <v>0</v>
      </c>
      <c r="F63" s="23" t="str">
        <f aca="false">IF(E63,D63,"")</f>
        <v/>
      </c>
      <c r="G63" s="21" t="n">
        <f aca="false">IF(E63,D63^2,0)</f>
        <v>0</v>
      </c>
      <c r="H63" s="3"/>
    </row>
    <row r="64" customFormat="false" ht="15" hidden="false" customHeight="true" outlineLevel="0" collapsed="false">
      <c r="A64" s="16"/>
      <c r="B64" s="16"/>
      <c r="C64" s="15"/>
      <c r="D64" s="19"/>
      <c r="E64" s="20" t="b">
        <f aca="false">AND(A64&lt;&gt;"",C64&lt;&gt;"",D64&lt;&gt;"",C64&gt;='Read Me'!$B$5)</f>
        <v>0</v>
      </c>
      <c r="F64" s="23" t="str">
        <f aca="false">IF(E64,D64,"")</f>
        <v/>
      </c>
      <c r="G64" s="21" t="n">
        <f aca="false">IF(E64,D64^2,0)</f>
        <v>0</v>
      </c>
      <c r="H64" s="3"/>
    </row>
    <row r="65" customFormat="false" ht="15" hidden="false" customHeight="true" outlineLevel="0" collapsed="false">
      <c r="A65" s="16"/>
      <c r="B65" s="16"/>
      <c r="C65" s="15"/>
      <c r="D65" s="19"/>
      <c r="E65" s="20" t="b">
        <f aca="false">AND(A65&lt;&gt;"",C65&lt;&gt;"",D65&lt;&gt;"",C65&gt;='Read Me'!$B$5)</f>
        <v>0</v>
      </c>
      <c r="F65" s="23" t="str">
        <f aca="false">IF(E65,D65,"")</f>
        <v/>
      </c>
      <c r="G65" s="21" t="n">
        <f aca="false">IF(E65,D65^2,0)</f>
        <v>0</v>
      </c>
      <c r="H65" s="3"/>
    </row>
    <row r="66" customFormat="false" ht="15" hidden="false" customHeight="true" outlineLevel="0" collapsed="false">
      <c r="A66" s="16"/>
      <c r="B66" s="16"/>
      <c r="C66" s="15"/>
      <c r="D66" s="19"/>
      <c r="E66" s="20" t="b">
        <f aca="false">AND(A66&lt;&gt;"",C66&lt;&gt;"",D66&lt;&gt;"",C66&gt;='Read Me'!$B$5)</f>
        <v>0</v>
      </c>
      <c r="F66" s="23" t="str">
        <f aca="false">IF(E66,D66,"")</f>
        <v/>
      </c>
      <c r="G66" s="21" t="n">
        <f aca="false">IF(E66,D66^2,0)</f>
        <v>0</v>
      </c>
      <c r="H66" s="3"/>
    </row>
    <row r="67" customFormat="false" ht="15" hidden="false" customHeight="true" outlineLevel="0" collapsed="false">
      <c r="A67" s="16"/>
      <c r="B67" s="16"/>
      <c r="C67" s="15"/>
      <c r="D67" s="19"/>
      <c r="E67" s="20" t="b">
        <f aca="false">AND(A67&lt;&gt;"",C67&lt;&gt;"",D67&lt;&gt;"",C67&gt;='Read Me'!$B$5)</f>
        <v>0</v>
      </c>
      <c r="F67" s="23" t="str">
        <f aca="false">IF(E67,D67,"")</f>
        <v/>
      </c>
      <c r="G67" s="21" t="n">
        <f aca="false">IF(E67,D67^2,0)</f>
        <v>0</v>
      </c>
      <c r="H67" s="3"/>
    </row>
    <row r="68" customFormat="false" ht="15" hidden="false" customHeight="true" outlineLevel="0" collapsed="false">
      <c r="A68" s="16"/>
      <c r="B68" s="16"/>
      <c r="C68" s="15"/>
      <c r="D68" s="19"/>
      <c r="E68" s="20" t="b">
        <f aca="false">AND(A68&lt;&gt;"",C68&lt;&gt;"",D68&lt;&gt;"",C68&gt;='Read Me'!$B$5)</f>
        <v>0</v>
      </c>
      <c r="F68" s="23" t="str">
        <f aca="false">IF(E68,D68,"")</f>
        <v/>
      </c>
      <c r="G68" s="21" t="n">
        <f aca="false">IF(E68,D68^2,0)</f>
        <v>0</v>
      </c>
      <c r="H68" s="3"/>
    </row>
    <row r="69" customFormat="false" ht="15" hidden="false" customHeight="true" outlineLevel="0" collapsed="false">
      <c r="A69" s="16"/>
      <c r="B69" s="16"/>
      <c r="C69" s="15"/>
      <c r="D69" s="19"/>
      <c r="E69" s="20" t="b">
        <f aca="false">AND(A69&lt;&gt;"",C69&lt;&gt;"",D69&lt;&gt;"",C69&gt;='Read Me'!$B$5)</f>
        <v>0</v>
      </c>
      <c r="F69" s="23" t="str">
        <f aca="false">IF(E69,D69,"")</f>
        <v/>
      </c>
      <c r="G69" s="21" t="n">
        <f aca="false">IF(E69,D69^2,0)</f>
        <v>0</v>
      </c>
      <c r="H69" s="3"/>
    </row>
    <row r="70" customFormat="false" ht="15" hidden="false" customHeight="true" outlineLevel="0" collapsed="false">
      <c r="A70" s="16"/>
      <c r="B70" s="16"/>
      <c r="C70" s="15"/>
      <c r="D70" s="19"/>
      <c r="E70" s="20" t="b">
        <f aca="false">AND(A70&lt;&gt;"",C70&lt;&gt;"",D70&lt;&gt;"",C70&gt;='Read Me'!$B$5)</f>
        <v>0</v>
      </c>
      <c r="F70" s="23" t="str">
        <f aca="false">IF(E70,D70,"")</f>
        <v/>
      </c>
      <c r="G70" s="21" t="n">
        <f aca="false">IF(E70,D70^2,0)</f>
        <v>0</v>
      </c>
      <c r="H70" s="3"/>
    </row>
    <row r="71" customFormat="false" ht="15" hidden="false" customHeight="true" outlineLevel="0" collapsed="false">
      <c r="A71" s="16"/>
      <c r="B71" s="16"/>
      <c r="C71" s="15"/>
      <c r="D71" s="19"/>
      <c r="E71" s="20" t="b">
        <f aca="false">AND(A71&lt;&gt;"",C71&lt;&gt;"",D71&lt;&gt;"",C71&gt;='Read Me'!$B$5)</f>
        <v>0</v>
      </c>
      <c r="F71" s="23" t="str">
        <f aca="false">IF(E71,D71,"")</f>
        <v/>
      </c>
      <c r="G71" s="21" t="n">
        <f aca="false">IF(E71,D71^2,0)</f>
        <v>0</v>
      </c>
      <c r="H71" s="3"/>
    </row>
    <row r="72" customFormat="false" ht="15" hidden="false" customHeight="true" outlineLevel="0" collapsed="false">
      <c r="A72" s="16"/>
      <c r="B72" s="16"/>
      <c r="C72" s="15"/>
      <c r="D72" s="19"/>
      <c r="E72" s="20" t="b">
        <f aca="false">AND(A72&lt;&gt;"",C72&lt;&gt;"",D72&lt;&gt;"",C72&gt;='Read Me'!$B$5)</f>
        <v>0</v>
      </c>
      <c r="F72" s="23" t="str">
        <f aca="false">IF(E72,D72,"")</f>
        <v/>
      </c>
      <c r="G72" s="21" t="n">
        <f aca="false">IF(E72,D72^2,0)</f>
        <v>0</v>
      </c>
      <c r="H72" s="3"/>
    </row>
    <row r="73" customFormat="false" ht="15" hidden="false" customHeight="true" outlineLevel="0" collapsed="false">
      <c r="A73" s="16"/>
      <c r="B73" s="16"/>
      <c r="C73" s="15"/>
      <c r="D73" s="19"/>
      <c r="E73" s="20" t="b">
        <f aca="false">AND(A73&lt;&gt;"",C73&lt;&gt;"",D73&lt;&gt;"",C73&gt;='Read Me'!$B$5)</f>
        <v>0</v>
      </c>
      <c r="F73" s="23" t="str">
        <f aca="false">IF(E73,D73,"")</f>
        <v/>
      </c>
      <c r="G73" s="21" t="n">
        <f aca="false">IF(E73,D73^2,0)</f>
        <v>0</v>
      </c>
      <c r="H73" s="3"/>
    </row>
    <row r="74" customFormat="false" ht="15" hidden="false" customHeight="true" outlineLevel="0" collapsed="false">
      <c r="A74" s="16"/>
      <c r="B74" s="16"/>
      <c r="C74" s="15"/>
      <c r="D74" s="19"/>
      <c r="E74" s="20" t="b">
        <f aca="false">AND(A74&lt;&gt;"",C74&lt;&gt;"",D74&lt;&gt;"",C74&gt;='Read Me'!$B$5)</f>
        <v>0</v>
      </c>
      <c r="F74" s="23" t="str">
        <f aca="false">IF(E74,D74,"")</f>
        <v/>
      </c>
      <c r="G74" s="21" t="n">
        <f aca="false">IF(E74,D74^2,0)</f>
        <v>0</v>
      </c>
      <c r="H74" s="3"/>
    </row>
    <row r="75" customFormat="false" ht="15" hidden="false" customHeight="true" outlineLevel="0" collapsed="false">
      <c r="A75" s="16"/>
      <c r="B75" s="16"/>
      <c r="C75" s="15"/>
      <c r="D75" s="19"/>
      <c r="E75" s="20" t="b">
        <f aca="false">AND(A75&lt;&gt;"",C75&lt;&gt;"",D75&lt;&gt;"",C75&gt;='Read Me'!$B$5)</f>
        <v>0</v>
      </c>
      <c r="F75" s="23" t="str">
        <f aca="false">IF(E75,D75,"")</f>
        <v/>
      </c>
      <c r="G75" s="21" t="n">
        <f aca="false">IF(E75,D75^2,0)</f>
        <v>0</v>
      </c>
      <c r="H75" s="3"/>
    </row>
    <row r="76" customFormat="false" ht="15" hidden="false" customHeight="true" outlineLevel="0" collapsed="false">
      <c r="A76" s="16"/>
      <c r="B76" s="16"/>
      <c r="C76" s="15"/>
      <c r="D76" s="19"/>
      <c r="E76" s="20" t="b">
        <f aca="false">AND(A76&lt;&gt;"",C76&lt;&gt;"",D76&lt;&gt;"",C76&gt;='Read Me'!$B$5)</f>
        <v>0</v>
      </c>
      <c r="F76" s="23" t="str">
        <f aca="false">IF(E76,D76,"")</f>
        <v/>
      </c>
      <c r="G76" s="21" t="n">
        <f aca="false">IF(E76,D76^2,0)</f>
        <v>0</v>
      </c>
      <c r="H76" s="3"/>
    </row>
    <row r="77" customFormat="false" ht="15" hidden="false" customHeight="true" outlineLevel="0" collapsed="false">
      <c r="A77" s="16"/>
      <c r="B77" s="16"/>
      <c r="C77" s="15"/>
      <c r="D77" s="19"/>
      <c r="E77" s="20" t="b">
        <f aca="false">AND(A77&lt;&gt;"",C77&lt;&gt;"",D77&lt;&gt;"",C77&gt;='Read Me'!$B$5)</f>
        <v>0</v>
      </c>
      <c r="F77" s="23" t="str">
        <f aca="false">IF(E77,D77,"")</f>
        <v/>
      </c>
      <c r="G77" s="21" t="n">
        <f aca="false">IF(E77,D77^2,0)</f>
        <v>0</v>
      </c>
      <c r="H77" s="3"/>
    </row>
    <row r="78" customFormat="false" ht="15" hidden="false" customHeight="true" outlineLevel="0" collapsed="false">
      <c r="A78" s="16"/>
      <c r="B78" s="16"/>
      <c r="C78" s="15"/>
      <c r="D78" s="19"/>
      <c r="E78" s="20" t="b">
        <f aca="false">AND(A78&lt;&gt;"",C78&lt;&gt;"",D78&lt;&gt;"",C78&gt;='Read Me'!$B$5)</f>
        <v>0</v>
      </c>
      <c r="F78" s="23" t="str">
        <f aca="false">IF(E78,D78,"")</f>
        <v/>
      </c>
      <c r="G78" s="21" t="n">
        <f aca="false">IF(E78,D78^2,0)</f>
        <v>0</v>
      </c>
      <c r="H78" s="3"/>
    </row>
    <row r="79" customFormat="false" ht="15" hidden="false" customHeight="true" outlineLevel="0" collapsed="false">
      <c r="A79" s="16"/>
      <c r="B79" s="16"/>
      <c r="C79" s="15"/>
      <c r="D79" s="19"/>
      <c r="E79" s="20" t="b">
        <f aca="false">AND(A79&lt;&gt;"",C79&lt;&gt;"",D79&lt;&gt;"",C79&gt;='Read Me'!$B$5)</f>
        <v>0</v>
      </c>
      <c r="F79" s="23" t="str">
        <f aca="false">IF(E79,D79,"")</f>
        <v/>
      </c>
      <c r="G79" s="21" t="n">
        <f aca="false">IF(E79,D79^2,0)</f>
        <v>0</v>
      </c>
      <c r="H79" s="3"/>
    </row>
    <row r="80" customFormat="false" ht="15" hidden="false" customHeight="true" outlineLevel="0" collapsed="false">
      <c r="A80" s="16"/>
      <c r="B80" s="16"/>
      <c r="C80" s="15"/>
      <c r="D80" s="19"/>
      <c r="E80" s="20" t="b">
        <f aca="false">AND(A80&lt;&gt;"",C80&lt;&gt;"",D80&lt;&gt;"",C80&gt;='Read Me'!$B$5)</f>
        <v>0</v>
      </c>
      <c r="F80" s="23" t="str">
        <f aca="false">IF(E80,D80,"")</f>
        <v/>
      </c>
      <c r="G80" s="21" t="n">
        <f aca="false">IF(E80,D80^2,0)</f>
        <v>0</v>
      </c>
      <c r="H80" s="3"/>
    </row>
    <row r="81" customFormat="false" ht="15" hidden="false" customHeight="true" outlineLevel="0" collapsed="false">
      <c r="A81" s="16"/>
      <c r="B81" s="16"/>
      <c r="C81" s="15"/>
      <c r="D81" s="19"/>
      <c r="E81" s="20" t="b">
        <f aca="false">AND(A81&lt;&gt;"",C81&lt;&gt;"",D81&lt;&gt;"",C81&gt;='Read Me'!$B$5)</f>
        <v>0</v>
      </c>
      <c r="F81" s="23" t="str">
        <f aca="false">IF(E81,D81,"")</f>
        <v/>
      </c>
      <c r="G81" s="21" t="n">
        <f aca="false">IF(E81,D81^2,0)</f>
        <v>0</v>
      </c>
      <c r="H81" s="3"/>
    </row>
    <row r="82" customFormat="false" ht="15" hidden="false" customHeight="true" outlineLevel="0" collapsed="false">
      <c r="A82" s="16"/>
      <c r="B82" s="16"/>
      <c r="C82" s="15"/>
      <c r="D82" s="19"/>
      <c r="E82" s="20" t="b">
        <f aca="false">AND(A82&lt;&gt;"",C82&lt;&gt;"",D82&lt;&gt;"",C82&gt;='Read Me'!$B$5)</f>
        <v>0</v>
      </c>
      <c r="F82" s="23" t="str">
        <f aca="false">IF(E82,D82,"")</f>
        <v/>
      </c>
      <c r="G82" s="21" t="n">
        <f aca="false">IF(E82,D82^2,0)</f>
        <v>0</v>
      </c>
      <c r="H82" s="3"/>
    </row>
    <row r="83" customFormat="false" ht="15" hidden="false" customHeight="true" outlineLevel="0" collapsed="false">
      <c r="A83" s="16"/>
      <c r="B83" s="16"/>
      <c r="C83" s="15"/>
      <c r="D83" s="19"/>
      <c r="E83" s="20" t="b">
        <f aca="false">AND(A83&lt;&gt;"",C83&lt;&gt;"",D83&lt;&gt;"",C83&gt;='Read Me'!$B$5)</f>
        <v>0</v>
      </c>
      <c r="F83" s="23" t="str">
        <f aca="false">IF(E83,D83,"")</f>
        <v/>
      </c>
      <c r="G83" s="21" t="n">
        <f aca="false">IF(E83,D83^2,0)</f>
        <v>0</v>
      </c>
      <c r="H83" s="3"/>
    </row>
    <row r="84" customFormat="false" ht="15" hidden="false" customHeight="true" outlineLevel="0" collapsed="false">
      <c r="A84" s="16"/>
      <c r="B84" s="16"/>
      <c r="C84" s="15"/>
      <c r="D84" s="19"/>
      <c r="E84" s="20" t="b">
        <f aca="false">AND(A84&lt;&gt;"",C84&lt;&gt;"",D84&lt;&gt;"",C84&gt;='Read Me'!$B$5)</f>
        <v>0</v>
      </c>
      <c r="F84" s="23" t="str">
        <f aca="false">IF(E84,D84,"")</f>
        <v/>
      </c>
      <c r="G84" s="21" t="n">
        <f aca="false">IF(E84,D84^2,0)</f>
        <v>0</v>
      </c>
      <c r="H84" s="3"/>
    </row>
    <row r="85" customFormat="false" ht="15" hidden="false" customHeight="true" outlineLevel="0" collapsed="false">
      <c r="A85" s="16"/>
      <c r="B85" s="16"/>
      <c r="C85" s="15"/>
      <c r="D85" s="19"/>
      <c r="E85" s="20" t="b">
        <f aca="false">AND(A85&lt;&gt;"",C85&lt;&gt;"",D85&lt;&gt;"",C85&gt;='Read Me'!$B$5)</f>
        <v>0</v>
      </c>
      <c r="F85" s="23" t="str">
        <f aca="false">IF(E85,D85,"")</f>
        <v/>
      </c>
      <c r="G85" s="21" t="n">
        <f aca="false">IF(E85,D85^2,0)</f>
        <v>0</v>
      </c>
      <c r="H85" s="3"/>
    </row>
    <row r="86" customFormat="false" ht="15" hidden="false" customHeight="true" outlineLevel="0" collapsed="false">
      <c r="A86" s="16"/>
      <c r="B86" s="16"/>
      <c r="C86" s="15"/>
      <c r="D86" s="19"/>
      <c r="E86" s="20" t="b">
        <f aca="false">AND(A86&lt;&gt;"",C86&lt;&gt;"",D86&lt;&gt;"",C86&gt;='Read Me'!$B$5)</f>
        <v>0</v>
      </c>
      <c r="F86" s="23" t="str">
        <f aca="false">IF(E86,D86,"")</f>
        <v/>
      </c>
      <c r="G86" s="21" t="n">
        <f aca="false">IF(E86,D86^2,0)</f>
        <v>0</v>
      </c>
      <c r="H86" s="3"/>
    </row>
    <row r="87" customFormat="false" ht="15" hidden="false" customHeight="true" outlineLevel="0" collapsed="false">
      <c r="A87" s="16"/>
      <c r="B87" s="16"/>
      <c r="C87" s="15"/>
      <c r="D87" s="19"/>
      <c r="E87" s="20" t="b">
        <f aca="false">AND(A87&lt;&gt;"",C87&lt;&gt;"",D87&lt;&gt;"",C87&gt;='Read Me'!$B$5)</f>
        <v>0</v>
      </c>
      <c r="F87" s="23" t="str">
        <f aca="false">IF(E87,D87,"")</f>
        <v/>
      </c>
      <c r="G87" s="21" t="n">
        <f aca="false">IF(E87,D87^2,0)</f>
        <v>0</v>
      </c>
      <c r="H87" s="3"/>
    </row>
    <row r="88" customFormat="false" ht="15" hidden="false" customHeight="true" outlineLevel="0" collapsed="false">
      <c r="A88" s="16"/>
      <c r="B88" s="16"/>
      <c r="C88" s="15"/>
      <c r="D88" s="19"/>
      <c r="E88" s="20" t="b">
        <f aca="false">AND(A88&lt;&gt;"",C88&lt;&gt;"",D88&lt;&gt;"",C88&gt;='Read Me'!$B$5)</f>
        <v>0</v>
      </c>
      <c r="F88" s="23" t="str">
        <f aca="false">IF(E88,D88,"")</f>
        <v/>
      </c>
      <c r="G88" s="21" t="n">
        <f aca="false">IF(E88,D88^2,0)</f>
        <v>0</v>
      </c>
      <c r="H88" s="3"/>
    </row>
    <row r="89" customFormat="false" ht="15" hidden="false" customHeight="true" outlineLevel="0" collapsed="false">
      <c r="A89" s="16"/>
      <c r="B89" s="16"/>
      <c r="C89" s="15"/>
      <c r="D89" s="19"/>
      <c r="E89" s="20" t="b">
        <f aca="false">AND(A89&lt;&gt;"",C89&lt;&gt;"",D89&lt;&gt;"",C89&gt;='Read Me'!$B$5)</f>
        <v>0</v>
      </c>
      <c r="F89" s="23" t="str">
        <f aca="false">IF(E89,D89,"")</f>
        <v/>
      </c>
      <c r="G89" s="21" t="n">
        <f aca="false">IF(E89,D89^2,0)</f>
        <v>0</v>
      </c>
      <c r="H89" s="3"/>
    </row>
    <row r="90" customFormat="false" ht="15" hidden="false" customHeight="true" outlineLevel="0" collapsed="false">
      <c r="A90" s="16"/>
      <c r="B90" s="16"/>
      <c r="C90" s="15"/>
      <c r="D90" s="19"/>
      <c r="E90" s="20" t="b">
        <f aca="false">AND(A90&lt;&gt;"",C90&lt;&gt;"",D90&lt;&gt;"",C90&gt;='Read Me'!$B$5)</f>
        <v>0</v>
      </c>
      <c r="F90" s="23" t="str">
        <f aca="false">IF(E90,D90,"")</f>
        <v/>
      </c>
      <c r="G90" s="21" t="n">
        <f aca="false">IF(E90,D90^2,0)</f>
        <v>0</v>
      </c>
      <c r="H90" s="3"/>
    </row>
    <row r="91" customFormat="false" ht="15" hidden="false" customHeight="true" outlineLevel="0" collapsed="false">
      <c r="A91" s="16"/>
      <c r="B91" s="16"/>
      <c r="C91" s="15"/>
      <c r="D91" s="19"/>
      <c r="E91" s="20" t="b">
        <f aca="false">AND(A91&lt;&gt;"",C91&lt;&gt;"",D91&lt;&gt;"",C91&gt;='Read Me'!$B$5)</f>
        <v>0</v>
      </c>
      <c r="F91" s="23" t="str">
        <f aca="false">IF(E91,D91,"")</f>
        <v/>
      </c>
      <c r="G91" s="21" t="n">
        <f aca="false">IF(E91,D91^2,0)</f>
        <v>0</v>
      </c>
      <c r="H91" s="3"/>
    </row>
    <row r="92" customFormat="false" ht="15" hidden="false" customHeight="true" outlineLevel="0" collapsed="false">
      <c r="A92" s="16"/>
      <c r="B92" s="16"/>
      <c r="C92" s="15"/>
      <c r="D92" s="19"/>
      <c r="E92" s="20" t="b">
        <f aca="false">AND(A92&lt;&gt;"",C92&lt;&gt;"",D92&lt;&gt;"",C92&gt;='Read Me'!$B$5)</f>
        <v>0</v>
      </c>
      <c r="F92" s="23" t="str">
        <f aca="false">IF(E92,D92,"")</f>
        <v/>
      </c>
      <c r="G92" s="21" t="n">
        <f aca="false">IF(E92,D92^2,0)</f>
        <v>0</v>
      </c>
      <c r="H92" s="3"/>
    </row>
    <row r="93" customFormat="false" ht="15" hidden="false" customHeight="true" outlineLevel="0" collapsed="false">
      <c r="A93" s="16"/>
      <c r="B93" s="16"/>
      <c r="C93" s="15"/>
      <c r="D93" s="19"/>
      <c r="E93" s="20" t="b">
        <f aca="false">AND(A93&lt;&gt;"",C93&lt;&gt;"",D93&lt;&gt;"",C93&gt;='Read Me'!$B$5)</f>
        <v>0</v>
      </c>
      <c r="F93" s="23" t="str">
        <f aca="false">IF(E93,D93,"")</f>
        <v/>
      </c>
      <c r="G93" s="21" t="n">
        <f aca="false">IF(E93,D93^2,0)</f>
        <v>0</v>
      </c>
      <c r="H93" s="3"/>
    </row>
    <row r="94" customFormat="false" ht="15" hidden="false" customHeight="true" outlineLevel="0" collapsed="false">
      <c r="A94" s="16"/>
      <c r="B94" s="16"/>
      <c r="C94" s="15"/>
      <c r="D94" s="19"/>
      <c r="E94" s="20" t="b">
        <f aca="false">AND(A94&lt;&gt;"",C94&lt;&gt;"",D94&lt;&gt;"",C94&gt;='Read Me'!$B$5)</f>
        <v>0</v>
      </c>
      <c r="F94" s="23" t="str">
        <f aca="false">IF(E94,D94,"")</f>
        <v/>
      </c>
      <c r="G94" s="21" t="n">
        <f aca="false">IF(E94,D94^2,0)</f>
        <v>0</v>
      </c>
      <c r="H94" s="3"/>
    </row>
    <row r="95" customFormat="false" ht="15" hidden="false" customHeight="true" outlineLevel="0" collapsed="false">
      <c r="A95" s="16"/>
      <c r="B95" s="16"/>
      <c r="C95" s="15"/>
      <c r="D95" s="19"/>
      <c r="E95" s="20" t="b">
        <f aca="false">AND(A95&lt;&gt;"",C95&lt;&gt;"",D95&lt;&gt;"",C95&gt;='Read Me'!$B$5)</f>
        <v>0</v>
      </c>
      <c r="F95" s="23" t="str">
        <f aca="false">IF(E95,D95,"")</f>
        <v/>
      </c>
      <c r="G95" s="21" t="n">
        <f aca="false">IF(E95,D95^2,0)</f>
        <v>0</v>
      </c>
      <c r="H95" s="3"/>
    </row>
    <row r="96" customFormat="false" ht="15" hidden="false" customHeight="true" outlineLevel="0" collapsed="false">
      <c r="A96" s="16"/>
      <c r="B96" s="16"/>
      <c r="C96" s="15"/>
      <c r="D96" s="19"/>
      <c r="E96" s="20" t="b">
        <f aca="false">AND(A96&lt;&gt;"",C96&lt;&gt;"",D96&lt;&gt;"",C96&gt;='Read Me'!$B$5)</f>
        <v>0</v>
      </c>
      <c r="F96" s="23" t="str">
        <f aca="false">IF(E96,D96,"")</f>
        <v/>
      </c>
      <c r="G96" s="21" t="n">
        <f aca="false">IF(E96,D96^2,0)</f>
        <v>0</v>
      </c>
      <c r="H96" s="3"/>
    </row>
    <row r="97" customFormat="false" ht="15" hidden="false" customHeight="true" outlineLevel="0" collapsed="false">
      <c r="A97" s="16"/>
      <c r="B97" s="16"/>
      <c r="C97" s="15"/>
      <c r="D97" s="19"/>
      <c r="E97" s="20" t="b">
        <f aca="false">AND(A97&lt;&gt;"",C97&lt;&gt;"",D97&lt;&gt;"",C97&gt;='Read Me'!$B$5)</f>
        <v>0</v>
      </c>
      <c r="F97" s="23" t="str">
        <f aca="false">IF(E97,D97,"")</f>
        <v/>
      </c>
      <c r="G97" s="21" t="n">
        <f aca="false">IF(E97,D97^2,0)</f>
        <v>0</v>
      </c>
      <c r="H97" s="3"/>
    </row>
    <row r="98" customFormat="false" ht="15" hidden="false" customHeight="true" outlineLevel="0" collapsed="false">
      <c r="A98" s="16"/>
      <c r="B98" s="16"/>
      <c r="C98" s="15"/>
      <c r="D98" s="19"/>
      <c r="E98" s="20" t="b">
        <f aca="false">AND(A98&lt;&gt;"",C98&lt;&gt;"",D98&lt;&gt;"",C98&gt;='Read Me'!$B$5)</f>
        <v>0</v>
      </c>
      <c r="F98" s="23" t="str">
        <f aca="false">IF(E98,D98,"")</f>
        <v/>
      </c>
      <c r="G98" s="21" t="n">
        <f aca="false">IF(E98,D98^2,0)</f>
        <v>0</v>
      </c>
      <c r="H98" s="3"/>
    </row>
    <row r="99" customFormat="false" ht="15" hidden="false" customHeight="true" outlineLevel="0" collapsed="false">
      <c r="A99" s="16"/>
      <c r="B99" s="16"/>
      <c r="C99" s="15"/>
      <c r="D99" s="19"/>
      <c r="E99" s="20" t="b">
        <f aca="false">AND(A99&lt;&gt;"",C99&lt;&gt;"",D99&lt;&gt;"",C99&gt;='Read Me'!$B$5)</f>
        <v>0</v>
      </c>
      <c r="F99" s="23" t="str">
        <f aca="false">IF(E99,D99,"")</f>
        <v/>
      </c>
      <c r="G99" s="21" t="n">
        <f aca="false">IF(E99,D99^2,0)</f>
        <v>0</v>
      </c>
      <c r="H99" s="3"/>
    </row>
    <row r="100" customFormat="false" ht="15" hidden="false" customHeight="true" outlineLevel="0" collapsed="false">
      <c r="A100" s="16"/>
      <c r="B100" s="16"/>
      <c r="C100" s="15"/>
      <c r="D100" s="19"/>
      <c r="E100" s="20" t="b">
        <f aca="false">AND(A100&lt;&gt;"",C100&lt;&gt;"",D100&lt;&gt;"",C100&gt;='Read Me'!$B$5)</f>
        <v>0</v>
      </c>
      <c r="F100" s="23" t="str">
        <f aca="false">IF(E100,D100,"")</f>
        <v/>
      </c>
      <c r="G100" s="21" t="n">
        <f aca="false">IF(E100,D100^2,0)</f>
        <v>0</v>
      </c>
      <c r="H100" s="3"/>
    </row>
    <row r="101" customFormat="false" ht="15" hidden="false" customHeight="true" outlineLevel="0" collapsed="false">
      <c r="A101" s="16"/>
      <c r="B101" s="16"/>
      <c r="C101" s="15"/>
      <c r="D101" s="19"/>
      <c r="E101" s="20" t="b">
        <f aca="false">AND(A101&lt;&gt;"",C101&lt;&gt;"",D101&lt;&gt;"",C101&gt;='Read Me'!$B$5)</f>
        <v>0</v>
      </c>
      <c r="F101" s="23" t="str">
        <f aca="false">IF(E101,D101,"")</f>
        <v/>
      </c>
      <c r="G101" s="21" t="n">
        <f aca="false">IF(E101,D101^2,0)</f>
        <v>0</v>
      </c>
      <c r="H101" s="3"/>
    </row>
    <row r="102" customFormat="false" ht="15" hidden="false" customHeight="true" outlineLevel="0" collapsed="false">
      <c r="A102" s="16"/>
      <c r="B102" s="16"/>
      <c r="C102" s="15"/>
      <c r="D102" s="19"/>
      <c r="E102" s="20" t="b">
        <f aca="false">AND(A102&lt;&gt;"",C102&lt;&gt;"",D102&lt;&gt;"",C102&gt;='Read Me'!$B$5)</f>
        <v>0</v>
      </c>
      <c r="F102" s="23" t="str">
        <f aca="false">IF(E102,D102,"")</f>
        <v/>
      </c>
      <c r="G102" s="21" t="n">
        <f aca="false">IF(E102,D102^2,0)</f>
        <v>0</v>
      </c>
      <c r="H102" s="3"/>
    </row>
    <row r="103" customFormat="false" ht="15" hidden="false" customHeight="true" outlineLevel="0" collapsed="false">
      <c r="A103" s="16"/>
      <c r="B103" s="16"/>
      <c r="C103" s="15"/>
      <c r="D103" s="19"/>
      <c r="E103" s="20" t="b">
        <f aca="false">AND(A103&lt;&gt;"",C103&lt;&gt;"",D103&lt;&gt;"",C103&gt;='Read Me'!$B$5)</f>
        <v>0</v>
      </c>
      <c r="F103" s="23" t="str">
        <f aca="false">IF(E103,D103,"")</f>
        <v/>
      </c>
      <c r="G103" s="21" t="n">
        <f aca="false">IF(E103,D103^2,0)</f>
        <v>0</v>
      </c>
      <c r="H103" s="3"/>
    </row>
    <row r="104" customFormat="false" ht="15" hidden="false" customHeight="true" outlineLevel="0" collapsed="false">
      <c r="A104" s="16"/>
      <c r="B104" s="16"/>
      <c r="C104" s="15"/>
      <c r="D104" s="19"/>
      <c r="E104" s="20" t="b">
        <f aca="false">AND(A104&lt;&gt;"",C104&lt;&gt;"",D104&lt;&gt;"",C104&gt;='Read Me'!$B$5)</f>
        <v>0</v>
      </c>
      <c r="F104" s="23" t="str">
        <f aca="false">IF(E104,D104,"")</f>
        <v/>
      </c>
      <c r="G104" s="21" t="n">
        <f aca="false">IF(E104,D104^2,0)</f>
        <v>0</v>
      </c>
      <c r="H104" s="3"/>
    </row>
    <row r="105" customFormat="false" ht="15" hidden="false" customHeight="true" outlineLevel="0" collapsed="false">
      <c r="A105" s="16"/>
      <c r="B105" s="16"/>
      <c r="C105" s="15"/>
      <c r="D105" s="19"/>
      <c r="E105" s="20" t="b">
        <f aca="false">AND(A105&lt;&gt;"",C105&lt;&gt;"",D105&lt;&gt;"",C105&gt;='Read Me'!$B$5)</f>
        <v>0</v>
      </c>
      <c r="F105" s="23" t="str">
        <f aca="false">IF(E105,D105,"")</f>
        <v/>
      </c>
      <c r="G105" s="21" t="n">
        <f aca="false">IF(E105,D105^2,0)</f>
        <v>0</v>
      </c>
      <c r="H105" s="3"/>
    </row>
    <row r="106" customFormat="false" ht="15" hidden="false" customHeight="true" outlineLevel="0" collapsed="false">
      <c r="A106" s="16"/>
      <c r="B106" s="16"/>
      <c r="C106" s="15"/>
      <c r="D106" s="19"/>
      <c r="E106" s="20" t="b">
        <f aca="false">AND(A106&lt;&gt;"",C106&lt;&gt;"",D106&lt;&gt;"",C106&gt;='Read Me'!$B$5)</f>
        <v>0</v>
      </c>
      <c r="F106" s="23" t="str">
        <f aca="false">IF(E106,D106,"")</f>
        <v/>
      </c>
      <c r="G106" s="21" t="n">
        <f aca="false">IF(E106,D106^2,0)</f>
        <v>0</v>
      </c>
      <c r="H106" s="3"/>
    </row>
    <row r="107" customFormat="false" ht="15" hidden="false" customHeight="true" outlineLevel="0" collapsed="false">
      <c r="A107" s="16"/>
      <c r="B107" s="16"/>
      <c r="C107" s="15"/>
      <c r="D107" s="19"/>
      <c r="E107" s="20" t="b">
        <f aca="false">AND(A107&lt;&gt;"",C107&lt;&gt;"",D107&lt;&gt;"",C107&gt;='Read Me'!$B$5)</f>
        <v>0</v>
      </c>
      <c r="F107" s="23" t="str">
        <f aca="false">IF(E107,D107,"")</f>
        <v/>
      </c>
      <c r="G107" s="21" t="n">
        <f aca="false">IF(E107,D107^2,0)</f>
        <v>0</v>
      </c>
      <c r="H107" s="3"/>
    </row>
    <row r="108" customFormat="false" ht="15" hidden="false" customHeight="true" outlineLevel="0" collapsed="false">
      <c r="A108" s="16"/>
      <c r="B108" s="16"/>
      <c r="C108" s="15"/>
      <c r="D108" s="19"/>
      <c r="E108" s="20" t="b">
        <f aca="false">AND(A108&lt;&gt;"",C108&lt;&gt;"",D108&lt;&gt;"",C108&gt;='Read Me'!$B$5)</f>
        <v>0</v>
      </c>
      <c r="F108" s="23" t="str">
        <f aca="false">IF(E108,D108,"")</f>
        <v/>
      </c>
      <c r="G108" s="21" t="n">
        <f aca="false">IF(E108,D108^2,0)</f>
        <v>0</v>
      </c>
      <c r="H108" s="3"/>
    </row>
    <row r="109" customFormat="false" ht="15" hidden="false" customHeight="true" outlineLevel="0" collapsed="false">
      <c r="A109" s="16"/>
      <c r="B109" s="16"/>
      <c r="C109" s="15"/>
      <c r="D109" s="19"/>
      <c r="E109" s="20" t="b">
        <f aca="false">AND(A109&lt;&gt;"",C109&lt;&gt;"",D109&lt;&gt;"",C109&gt;='Read Me'!$B$5)</f>
        <v>0</v>
      </c>
      <c r="F109" s="23" t="str">
        <f aca="false">IF(E109,D109,"")</f>
        <v/>
      </c>
      <c r="G109" s="21" t="n">
        <f aca="false">IF(E109,D109^2,0)</f>
        <v>0</v>
      </c>
      <c r="H109" s="3"/>
    </row>
    <row r="110" customFormat="false" ht="15" hidden="false" customHeight="true" outlineLevel="0" collapsed="false">
      <c r="A110" s="16"/>
      <c r="B110" s="16"/>
      <c r="C110" s="15"/>
      <c r="D110" s="19"/>
      <c r="E110" s="20" t="b">
        <f aca="false">AND(A110&lt;&gt;"",C110&lt;&gt;"",D110&lt;&gt;"",C110&gt;='Read Me'!$B$5)</f>
        <v>0</v>
      </c>
      <c r="F110" s="23" t="str">
        <f aca="false">IF(E110,D110,"")</f>
        <v/>
      </c>
      <c r="G110" s="21" t="n">
        <f aca="false">IF(E110,D110^2,0)</f>
        <v>0</v>
      </c>
      <c r="H110" s="3"/>
    </row>
    <row r="111" customFormat="false" ht="15" hidden="false" customHeight="true" outlineLevel="0" collapsed="false">
      <c r="A111" s="16"/>
      <c r="B111" s="16"/>
      <c r="C111" s="15"/>
      <c r="D111" s="19"/>
      <c r="E111" s="20" t="b">
        <f aca="false">AND(A111&lt;&gt;"",C111&lt;&gt;"",D111&lt;&gt;"",C111&gt;='Read Me'!$B$5)</f>
        <v>0</v>
      </c>
      <c r="F111" s="23" t="str">
        <f aca="false">IF(E111,D111,"")</f>
        <v/>
      </c>
      <c r="G111" s="21" t="n">
        <f aca="false">IF(E111,D111^2,0)</f>
        <v>0</v>
      </c>
      <c r="H111" s="3"/>
    </row>
    <row r="112" customFormat="false" ht="15" hidden="false" customHeight="true" outlineLevel="0" collapsed="false">
      <c r="A112" s="16"/>
      <c r="B112" s="16"/>
      <c r="C112" s="15"/>
      <c r="D112" s="19"/>
      <c r="E112" s="20" t="b">
        <f aca="false">AND(A112&lt;&gt;"",C112&lt;&gt;"",D112&lt;&gt;"",C112&gt;='Read Me'!$B$5)</f>
        <v>0</v>
      </c>
      <c r="F112" s="23" t="str">
        <f aca="false">IF(E112,D112,"")</f>
        <v/>
      </c>
      <c r="G112" s="21" t="n">
        <f aca="false">IF(E112,D112^2,0)</f>
        <v>0</v>
      </c>
      <c r="H112" s="3"/>
    </row>
    <row r="113" customFormat="false" ht="15" hidden="false" customHeight="true" outlineLevel="0" collapsed="false">
      <c r="A113" s="16"/>
      <c r="B113" s="16"/>
      <c r="C113" s="15"/>
      <c r="D113" s="19"/>
      <c r="E113" s="20" t="b">
        <f aca="false">AND(A113&lt;&gt;"",C113&lt;&gt;"",D113&lt;&gt;"",C113&gt;='Read Me'!$B$5)</f>
        <v>0</v>
      </c>
      <c r="F113" s="23" t="str">
        <f aca="false">IF(E113,D113,"")</f>
        <v/>
      </c>
      <c r="G113" s="21" t="n">
        <f aca="false">IF(E113,D113^2,0)</f>
        <v>0</v>
      </c>
      <c r="H113" s="3"/>
    </row>
    <row r="114" customFormat="false" ht="15" hidden="false" customHeight="true" outlineLevel="0" collapsed="false">
      <c r="A114" s="16"/>
      <c r="B114" s="16"/>
      <c r="C114" s="15"/>
      <c r="D114" s="19"/>
      <c r="E114" s="20" t="b">
        <f aca="false">AND(A114&lt;&gt;"",C114&lt;&gt;"",D114&lt;&gt;"",C114&gt;='Read Me'!$B$5)</f>
        <v>0</v>
      </c>
      <c r="F114" s="23" t="str">
        <f aca="false">IF(E114,D114,"")</f>
        <v/>
      </c>
      <c r="G114" s="21" t="n">
        <f aca="false">IF(E114,D114^2,0)</f>
        <v>0</v>
      </c>
      <c r="H114" s="3"/>
    </row>
    <row r="115" customFormat="false" ht="15" hidden="false" customHeight="true" outlineLevel="0" collapsed="false">
      <c r="A115" s="16"/>
      <c r="B115" s="16"/>
      <c r="C115" s="15"/>
      <c r="D115" s="19"/>
      <c r="E115" s="20" t="b">
        <f aca="false">AND(A115&lt;&gt;"",C115&lt;&gt;"",D115&lt;&gt;"",C115&gt;='Read Me'!$B$5)</f>
        <v>0</v>
      </c>
      <c r="F115" s="23" t="str">
        <f aca="false">IF(E115,D115,"")</f>
        <v/>
      </c>
      <c r="G115" s="21" t="n">
        <f aca="false">IF(E115,D115^2,0)</f>
        <v>0</v>
      </c>
      <c r="H115" s="3"/>
    </row>
    <row r="116" customFormat="false" ht="15" hidden="false" customHeight="true" outlineLevel="0" collapsed="false">
      <c r="A116" s="16"/>
      <c r="B116" s="16"/>
      <c r="C116" s="15"/>
      <c r="D116" s="19"/>
      <c r="E116" s="20" t="b">
        <f aca="false">AND(A116&lt;&gt;"",C116&lt;&gt;"",D116&lt;&gt;"",C116&gt;='Read Me'!$B$5)</f>
        <v>0</v>
      </c>
      <c r="F116" s="23" t="str">
        <f aca="false">IF(E116,D116,"")</f>
        <v/>
      </c>
      <c r="G116" s="21" t="n">
        <f aca="false">IF(E116,D116^2,0)</f>
        <v>0</v>
      </c>
      <c r="H116" s="3"/>
    </row>
    <row r="117" customFormat="false" ht="15" hidden="false" customHeight="true" outlineLevel="0" collapsed="false">
      <c r="A117" s="16"/>
      <c r="B117" s="16"/>
      <c r="C117" s="15"/>
      <c r="D117" s="19"/>
      <c r="E117" s="20" t="b">
        <f aca="false">AND(A117&lt;&gt;"",C117&lt;&gt;"",D117&lt;&gt;"",C117&gt;='Read Me'!$B$5)</f>
        <v>0</v>
      </c>
      <c r="F117" s="23" t="str">
        <f aca="false">IF(E117,D117,"")</f>
        <v/>
      </c>
      <c r="G117" s="21" t="n">
        <f aca="false">IF(E117,D117^2,0)</f>
        <v>0</v>
      </c>
      <c r="H117" s="3"/>
    </row>
    <row r="118" customFormat="false" ht="15" hidden="false" customHeight="true" outlineLevel="0" collapsed="false">
      <c r="A118" s="16"/>
      <c r="B118" s="16"/>
      <c r="C118" s="15"/>
      <c r="D118" s="19"/>
      <c r="E118" s="20" t="b">
        <f aca="false">AND(A118&lt;&gt;"",C118&lt;&gt;"",D118&lt;&gt;"",C118&gt;='Read Me'!$B$5)</f>
        <v>0</v>
      </c>
      <c r="F118" s="23" t="str">
        <f aca="false">IF(E118,D118,"")</f>
        <v/>
      </c>
      <c r="G118" s="21" t="n">
        <f aca="false">IF(E118,D118^2,0)</f>
        <v>0</v>
      </c>
      <c r="H118" s="3"/>
    </row>
    <row r="119" customFormat="false" ht="15" hidden="false" customHeight="true" outlineLevel="0" collapsed="false">
      <c r="A119" s="16"/>
      <c r="B119" s="16"/>
      <c r="C119" s="15"/>
      <c r="D119" s="19"/>
      <c r="E119" s="20" t="b">
        <f aca="false">AND(A119&lt;&gt;"",C119&lt;&gt;"",D119&lt;&gt;"",C119&gt;='Read Me'!$B$5)</f>
        <v>0</v>
      </c>
      <c r="F119" s="23" t="str">
        <f aca="false">IF(E119,D119,"")</f>
        <v/>
      </c>
      <c r="G119" s="21" t="n">
        <f aca="false">IF(E119,D119^2,0)</f>
        <v>0</v>
      </c>
      <c r="H119" s="3"/>
    </row>
    <row r="120" customFormat="false" ht="15" hidden="false" customHeight="true" outlineLevel="0" collapsed="false">
      <c r="A120" s="16"/>
      <c r="B120" s="16"/>
      <c r="C120" s="15"/>
      <c r="D120" s="19"/>
      <c r="E120" s="20" t="b">
        <f aca="false">AND(A120&lt;&gt;"",C120&lt;&gt;"",D120&lt;&gt;"",C120&gt;='Read Me'!$B$5)</f>
        <v>0</v>
      </c>
      <c r="F120" s="23" t="str">
        <f aca="false">IF(E120,D120,"")</f>
        <v/>
      </c>
      <c r="G120" s="21" t="n">
        <f aca="false">IF(E120,D120^2,0)</f>
        <v>0</v>
      </c>
      <c r="H120" s="3"/>
    </row>
    <row r="121" customFormat="false" ht="15" hidden="false" customHeight="true" outlineLevel="0" collapsed="false">
      <c r="A121" s="16"/>
      <c r="B121" s="16"/>
      <c r="C121" s="15"/>
      <c r="D121" s="19"/>
      <c r="E121" s="20" t="b">
        <f aca="false">AND(A121&lt;&gt;"",C121&lt;&gt;"",D121&lt;&gt;"",C121&gt;='Read Me'!$B$5)</f>
        <v>0</v>
      </c>
      <c r="F121" s="23" t="str">
        <f aca="false">IF(E121,D121,"")</f>
        <v/>
      </c>
      <c r="G121" s="21" t="n">
        <f aca="false">IF(E121,D121^2,0)</f>
        <v>0</v>
      </c>
      <c r="H121" s="3"/>
    </row>
    <row r="122" customFormat="false" ht="15" hidden="false" customHeight="true" outlineLevel="0" collapsed="false">
      <c r="A122" s="16"/>
      <c r="B122" s="16"/>
      <c r="C122" s="15"/>
      <c r="D122" s="19"/>
      <c r="E122" s="20" t="b">
        <f aca="false">AND(A122&lt;&gt;"",C122&lt;&gt;"",D122&lt;&gt;"",C122&gt;='Read Me'!$B$5)</f>
        <v>0</v>
      </c>
      <c r="F122" s="23" t="str">
        <f aca="false">IF(E122,D122,"")</f>
        <v/>
      </c>
      <c r="G122" s="21" t="n">
        <f aca="false">IF(E122,D122^2,0)</f>
        <v>0</v>
      </c>
      <c r="H122" s="3"/>
    </row>
    <row r="123" customFormat="false" ht="15" hidden="false" customHeight="true" outlineLevel="0" collapsed="false">
      <c r="A123" s="16"/>
      <c r="B123" s="16"/>
      <c r="C123" s="15"/>
      <c r="D123" s="19"/>
      <c r="E123" s="20" t="b">
        <f aca="false">AND(A123&lt;&gt;"",C123&lt;&gt;"",D123&lt;&gt;"",C123&gt;='Read Me'!$B$5)</f>
        <v>0</v>
      </c>
      <c r="F123" s="23" t="str">
        <f aca="false">IF(E123,D123,"")</f>
        <v/>
      </c>
      <c r="G123" s="21" t="n">
        <f aca="false">IF(E123,D123^2,0)</f>
        <v>0</v>
      </c>
      <c r="H123" s="3"/>
    </row>
    <row r="124" customFormat="false" ht="15" hidden="false" customHeight="true" outlineLevel="0" collapsed="false">
      <c r="A124" s="16"/>
      <c r="B124" s="16"/>
      <c r="C124" s="15"/>
      <c r="D124" s="19"/>
      <c r="E124" s="20" t="b">
        <f aca="false">AND(A124&lt;&gt;"",C124&lt;&gt;"",D124&lt;&gt;"",C124&gt;='Read Me'!$B$5)</f>
        <v>0</v>
      </c>
      <c r="F124" s="23" t="str">
        <f aca="false">IF(E124,D124,"")</f>
        <v/>
      </c>
      <c r="G124" s="21" t="n">
        <f aca="false">IF(E124,D124^2,0)</f>
        <v>0</v>
      </c>
      <c r="H124" s="3"/>
    </row>
    <row r="125" customFormat="false" ht="15" hidden="false" customHeight="true" outlineLevel="0" collapsed="false">
      <c r="A125" s="16"/>
      <c r="B125" s="16"/>
      <c r="C125" s="15"/>
      <c r="D125" s="19"/>
      <c r="E125" s="20" t="b">
        <f aca="false">AND(A125&lt;&gt;"",C125&lt;&gt;"",D125&lt;&gt;"",C125&gt;='Read Me'!$B$5)</f>
        <v>0</v>
      </c>
      <c r="F125" s="23" t="str">
        <f aca="false">IF(E125,D125,"")</f>
        <v/>
      </c>
      <c r="G125" s="21" t="n">
        <f aca="false">IF(E125,D125^2,0)</f>
        <v>0</v>
      </c>
      <c r="H125" s="3"/>
    </row>
    <row r="126" customFormat="false" ht="15" hidden="false" customHeight="true" outlineLevel="0" collapsed="false">
      <c r="A126" s="16"/>
      <c r="B126" s="16"/>
      <c r="C126" s="15"/>
      <c r="D126" s="19"/>
      <c r="E126" s="20" t="b">
        <f aca="false">AND(A126&lt;&gt;"",C126&lt;&gt;"",D126&lt;&gt;"",C126&gt;='Read Me'!$B$5)</f>
        <v>0</v>
      </c>
      <c r="F126" s="23" t="str">
        <f aca="false">IF(E126,D126,"")</f>
        <v/>
      </c>
      <c r="G126" s="21" t="n">
        <f aca="false">IF(E126,D126^2,0)</f>
        <v>0</v>
      </c>
      <c r="H126" s="3"/>
    </row>
    <row r="127" customFormat="false" ht="15" hidden="false" customHeight="true" outlineLevel="0" collapsed="false">
      <c r="A127" s="16"/>
      <c r="B127" s="16"/>
      <c r="C127" s="15"/>
      <c r="D127" s="19"/>
      <c r="E127" s="20" t="b">
        <f aca="false">AND(A127&lt;&gt;"",C127&lt;&gt;"",D127&lt;&gt;"",C127&gt;='Read Me'!$B$5)</f>
        <v>0</v>
      </c>
      <c r="F127" s="23" t="str">
        <f aca="false">IF(E127,D127,"")</f>
        <v/>
      </c>
      <c r="G127" s="21" t="n">
        <f aca="false">IF(E127,D127^2,0)</f>
        <v>0</v>
      </c>
      <c r="H127" s="3"/>
    </row>
    <row r="128" customFormat="false" ht="15" hidden="false" customHeight="true" outlineLevel="0" collapsed="false">
      <c r="A128" s="16"/>
      <c r="B128" s="16"/>
      <c r="C128" s="15"/>
      <c r="D128" s="19"/>
      <c r="E128" s="20" t="b">
        <f aca="false">AND(A128&lt;&gt;"",C128&lt;&gt;"",D128&lt;&gt;"",C128&gt;='Read Me'!$B$5)</f>
        <v>0</v>
      </c>
      <c r="F128" s="23" t="str">
        <f aca="false">IF(E128,D128,"")</f>
        <v/>
      </c>
      <c r="G128" s="21" t="n">
        <f aca="false">IF(E128,D128^2,0)</f>
        <v>0</v>
      </c>
      <c r="H128" s="3"/>
    </row>
    <row r="129" customFormat="false" ht="15" hidden="false" customHeight="true" outlineLevel="0" collapsed="false">
      <c r="A129" s="16"/>
      <c r="B129" s="16"/>
      <c r="C129" s="15"/>
      <c r="D129" s="19"/>
      <c r="E129" s="20" t="b">
        <f aca="false">AND(A129&lt;&gt;"",C129&lt;&gt;"",D129&lt;&gt;"",C129&gt;='Read Me'!$B$5)</f>
        <v>0</v>
      </c>
      <c r="F129" s="23" t="str">
        <f aca="false">IF(E129,D129,"")</f>
        <v/>
      </c>
      <c r="G129" s="21" t="n">
        <f aca="false">IF(E129,D129^2,0)</f>
        <v>0</v>
      </c>
      <c r="H129" s="3"/>
    </row>
    <row r="130" customFormat="false" ht="15" hidden="false" customHeight="true" outlineLevel="0" collapsed="false">
      <c r="A130" s="16"/>
      <c r="B130" s="16"/>
      <c r="C130" s="15"/>
      <c r="D130" s="19"/>
      <c r="E130" s="20" t="b">
        <f aca="false">AND(A130&lt;&gt;"",C130&lt;&gt;"",D130&lt;&gt;"",C130&gt;='Read Me'!$B$5)</f>
        <v>0</v>
      </c>
      <c r="F130" s="23" t="str">
        <f aca="false">IF(E130,D130,"")</f>
        <v/>
      </c>
      <c r="G130" s="21" t="n">
        <f aca="false">IF(E130,D130^2,0)</f>
        <v>0</v>
      </c>
      <c r="H130" s="3"/>
    </row>
    <row r="131" customFormat="false" ht="15" hidden="false" customHeight="true" outlineLevel="0" collapsed="false">
      <c r="A131" s="16"/>
      <c r="B131" s="16"/>
      <c r="C131" s="15"/>
      <c r="D131" s="19"/>
      <c r="E131" s="20" t="b">
        <f aca="false">AND(A131&lt;&gt;"",C131&lt;&gt;"",D131&lt;&gt;"",C131&gt;='Read Me'!$B$5)</f>
        <v>0</v>
      </c>
      <c r="F131" s="23" t="str">
        <f aca="false">IF(E131,D131,"")</f>
        <v/>
      </c>
      <c r="G131" s="21" t="n">
        <f aca="false">IF(E131,D131^2,0)</f>
        <v>0</v>
      </c>
      <c r="H131" s="3"/>
    </row>
    <row r="132" customFormat="false" ht="15" hidden="false" customHeight="true" outlineLevel="0" collapsed="false">
      <c r="A132" s="16"/>
      <c r="B132" s="16"/>
      <c r="C132" s="15"/>
      <c r="D132" s="19"/>
      <c r="E132" s="20" t="b">
        <f aca="false">AND(A132&lt;&gt;"",C132&lt;&gt;"",D132&lt;&gt;"",C132&gt;='Read Me'!$B$5)</f>
        <v>0</v>
      </c>
      <c r="F132" s="23" t="str">
        <f aca="false">IF(E132,D132,"")</f>
        <v/>
      </c>
      <c r="G132" s="21" t="n">
        <f aca="false">IF(E132,D132^2,0)</f>
        <v>0</v>
      </c>
      <c r="H132" s="3"/>
    </row>
    <row r="133" customFormat="false" ht="15" hidden="false" customHeight="true" outlineLevel="0" collapsed="false">
      <c r="A133" s="16"/>
      <c r="B133" s="16"/>
      <c r="C133" s="15"/>
      <c r="D133" s="19"/>
      <c r="E133" s="20" t="b">
        <f aca="false">AND(A133&lt;&gt;"",C133&lt;&gt;"",D133&lt;&gt;"",C133&gt;='Read Me'!$B$5)</f>
        <v>0</v>
      </c>
      <c r="F133" s="23" t="str">
        <f aca="false">IF(E133,D133,"")</f>
        <v/>
      </c>
      <c r="G133" s="21" t="n">
        <f aca="false">IF(E133,D133^2,0)</f>
        <v>0</v>
      </c>
      <c r="H133" s="3"/>
    </row>
    <row r="134" customFormat="false" ht="15" hidden="false" customHeight="true" outlineLevel="0" collapsed="false">
      <c r="A134" s="16"/>
      <c r="B134" s="16"/>
      <c r="C134" s="15"/>
      <c r="D134" s="19"/>
      <c r="E134" s="20" t="b">
        <f aca="false">AND(A134&lt;&gt;"",C134&lt;&gt;"",D134&lt;&gt;"",C134&gt;='Read Me'!$B$5)</f>
        <v>0</v>
      </c>
      <c r="F134" s="23" t="str">
        <f aca="false">IF(E134,D134,"")</f>
        <v/>
      </c>
      <c r="G134" s="21" t="n">
        <f aca="false">IF(E134,D134^2,0)</f>
        <v>0</v>
      </c>
      <c r="H134" s="3"/>
    </row>
    <row r="135" customFormat="false" ht="15" hidden="false" customHeight="true" outlineLevel="0" collapsed="false">
      <c r="A135" s="16"/>
      <c r="B135" s="16"/>
      <c r="C135" s="15"/>
      <c r="D135" s="19"/>
      <c r="E135" s="20" t="b">
        <f aca="false">AND(A135&lt;&gt;"",C135&lt;&gt;"",D135&lt;&gt;"",C135&gt;='Read Me'!$B$5)</f>
        <v>0</v>
      </c>
      <c r="F135" s="23" t="str">
        <f aca="false">IF(E135,D135,"")</f>
        <v/>
      </c>
      <c r="G135" s="21" t="n">
        <f aca="false">IF(E135,D135^2,0)</f>
        <v>0</v>
      </c>
      <c r="H135" s="3"/>
    </row>
    <row r="136" customFormat="false" ht="15" hidden="false" customHeight="true" outlineLevel="0" collapsed="false">
      <c r="A136" s="16"/>
      <c r="B136" s="16"/>
      <c r="C136" s="15"/>
      <c r="D136" s="19"/>
      <c r="E136" s="20" t="b">
        <f aca="false">AND(A136&lt;&gt;"",C136&lt;&gt;"",D136&lt;&gt;"",C136&gt;='Read Me'!$B$5)</f>
        <v>0</v>
      </c>
      <c r="F136" s="23" t="str">
        <f aca="false">IF(E136,D136,"")</f>
        <v/>
      </c>
      <c r="G136" s="21" t="n">
        <f aca="false">IF(E136,D136^2,0)</f>
        <v>0</v>
      </c>
      <c r="H136" s="3"/>
    </row>
    <row r="137" customFormat="false" ht="15" hidden="false" customHeight="true" outlineLevel="0" collapsed="false">
      <c r="A137" s="16"/>
      <c r="B137" s="16"/>
      <c r="C137" s="15"/>
      <c r="D137" s="19"/>
      <c r="E137" s="20" t="b">
        <f aca="false">AND(A137&lt;&gt;"",C137&lt;&gt;"",D137&lt;&gt;"",C137&gt;='Read Me'!$B$5)</f>
        <v>0</v>
      </c>
      <c r="F137" s="23" t="str">
        <f aca="false">IF(E137,D137,"")</f>
        <v/>
      </c>
      <c r="G137" s="21" t="n">
        <f aca="false">IF(E137,D137^2,0)</f>
        <v>0</v>
      </c>
      <c r="H137" s="3"/>
    </row>
    <row r="138" customFormat="false" ht="15" hidden="false" customHeight="true" outlineLevel="0" collapsed="false">
      <c r="A138" s="16"/>
      <c r="B138" s="16"/>
      <c r="C138" s="15"/>
      <c r="D138" s="19"/>
      <c r="E138" s="20" t="b">
        <f aca="false">AND(A138&lt;&gt;"",C138&lt;&gt;"",D138&lt;&gt;"",C138&gt;='Read Me'!$B$5)</f>
        <v>0</v>
      </c>
      <c r="F138" s="23" t="str">
        <f aca="false">IF(E138,D138,"")</f>
        <v/>
      </c>
      <c r="G138" s="21" t="n">
        <f aca="false">IF(E138,D138^2,0)</f>
        <v>0</v>
      </c>
      <c r="H138" s="3"/>
    </row>
    <row r="139" customFormat="false" ht="15" hidden="false" customHeight="true" outlineLevel="0" collapsed="false">
      <c r="A139" s="16"/>
      <c r="B139" s="16"/>
      <c r="C139" s="15"/>
      <c r="D139" s="19"/>
      <c r="E139" s="20" t="b">
        <f aca="false">AND(A139&lt;&gt;"",C139&lt;&gt;"",D139&lt;&gt;"",C139&gt;='Read Me'!$B$5)</f>
        <v>0</v>
      </c>
      <c r="F139" s="23" t="str">
        <f aca="false">IF(E139,D139,"")</f>
        <v/>
      </c>
      <c r="G139" s="21" t="n">
        <f aca="false">IF(E139,D139^2,0)</f>
        <v>0</v>
      </c>
      <c r="H139" s="3"/>
    </row>
    <row r="140" customFormat="false" ht="15" hidden="false" customHeight="true" outlineLevel="0" collapsed="false">
      <c r="A140" s="16"/>
      <c r="B140" s="16"/>
      <c r="C140" s="15"/>
      <c r="D140" s="19"/>
      <c r="E140" s="20" t="b">
        <f aca="false">AND(A140&lt;&gt;"",C140&lt;&gt;"",D140&lt;&gt;"",C140&gt;='Read Me'!$B$5)</f>
        <v>0</v>
      </c>
      <c r="F140" s="23" t="str">
        <f aca="false">IF(E140,D140,"")</f>
        <v/>
      </c>
      <c r="G140" s="21" t="n">
        <f aca="false">IF(E140,D140^2,0)</f>
        <v>0</v>
      </c>
      <c r="H140" s="3"/>
    </row>
    <row r="141" customFormat="false" ht="15" hidden="false" customHeight="true" outlineLevel="0" collapsed="false">
      <c r="A141" s="16"/>
      <c r="B141" s="16"/>
      <c r="C141" s="15"/>
      <c r="D141" s="19"/>
      <c r="E141" s="20" t="b">
        <f aca="false">AND(A141&lt;&gt;"",C141&lt;&gt;"",D141&lt;&gt;"",C141&gt;='Read Me'!$B$5)</f>
        <v>0</v>
      </c>
      <c r="F141" s="23" t="str">
        <f aca="false">IF(E141,D141,"")</f>
        <v/>
      </c>
      <c r="G141" s="21" t="n">
        <f aca="false">IF(E141,D141^2,0)</f>
        <v>0</v>
      </c>
      <c r="H141" s="3"/>
    </row>
    <row r="142" customFormat="false" ht="15" hidden="false" customHeight="true" outlineLevel="0" collapsed="false">
      <c r="A142" s="16"/>
      <c r="B142" s="16"/>
      <c r="C142" s="15"/>
      <c r="D142" s="19"/>
      <c r="E142" s="20" t="b">
        <f aca="false">AND(A142&lt;&gt;"",C142&lt;&gt;"",D142&lt;&gt;"",C142&gt;='Read Me'!$B$5)</f>
        <v>0</v>
      </c>
      <c r="F142" s="23" t="str">
        <f aca="false">IF(E142,D142,"")</f>
        <v/>
      </c>
      <c r="G142" s="21" t="n">
        <f aca="false">IF(E142,D142^2,0)</f>
        <v>0</v>
      </c>
      <c r="H142" s="3"/>
    </row>
    <row r="143" customFormat="false" ht="15" hidden="false" customHeight="true" outlineLevel="0" collapsed="false">
      <c r="A143" s="16"/>
      <c r="B143" s="16"/>
      <c r="C143" s="15"/>
      <c r="D143" s="19"/>
      <c r="E143" s="20" t="b">
        <f aca="false">AND(A143&lt;&gt;"",C143&lt;&gt;"",D143&lt;&gt;"",C143&gt;='Read Me'!$B$5)</f>
        <v>0</v>
      </c>
      <c r="F143" s="23" t="str">
        <f aca="false">IF(E143,D143,"")</f>
        <v/>
      </c>
      <c r="G143" s="21" t="n">
        <f aca="false">IF(E143,D143^2,0)</f>
        <v>0</v>
      </c>
      <c r="H143" s="3"/>
    </row>
    <row r="144" customFormat="false" ht="15" hidden="false" customHeight="true" outlineLevel="0" collapsed="false">
      <c r="A144" s="16"/>
      <c r="B144" s="16"/>
      <c r="C144" s="15"/>
      <c r="D144" s="19"/>
      <c r="E144" s="20" t="b">
        <f aca="false">AND(A144&lt;&gt;"",C144&lt;&gt;"",D144&lt;&gt;"",C144&gt;='Read Me'!$B$5)</f>
        <v>0</v>
      </c>
      <c r="F144" s="23" t="str">
        <f aca="false">IF(E144,D144,"")</f>
        <v/>
      </c>
      <c r="G144" s="21" t="n">
        <f aca="false">IF(E144,D144^2,0)</f>
        <v>0</v>
      </c>
      <c r="H144" s="3"/>
    </row>
    <row r="145" customFormat="false" ht="15" hidden="false" customHeight="true" outlineLevel="0" collapsed="false">
      <c r="A145" s="16"/>
      <c r="B145" s="16"/>
      <c r="C145" s="15"/>
      <c r="D145" s="19"/>
      <c r="E145" s="20" t="b">
        <f aca="false">AND(A145&lt;&gt;"",C145&lt;&gt;"",D145&lt;&gt;"",C145&gt;='Read Me'!$B$5)</f>
        <v>0</v>
      </c>
      <c r="F145" s="23" t="str">
        <f aca="false">IF(E145,D145,"")</f>
        <v/>
      </c>
      <c r="G145" s="21" t="n">
        <f aca="false">IF(E145,D145^2,0)</f>
        <v>0</v>
      </c>
      <c r="H145" s="3"/>
    </row>
    <row r="146" customFormat="false" ht="15" hidden="false" customHeight="true" outlineLevel="0" collapsed="false">
      <c r="A146" s="16"/>
      <c r="B146" s="16"/>
      <c r="C146" s="15"/>
      <c r="D146" s="19"/>
      <c r="E146" s="20" t="b">
        <f aca="false">AND(A146&lt;&gt;"",C146&lt;&gt;"",D146&lt;&gt;"",C146&gt;='Read Me'!$B$5)</f>
        <v>0</v>
      </c>
      <c r="F146" s="23" t="str">
        <f aca="false">IF(E146,D146,"")</f>
        <v/>
      </c>
      <c r="G146" s="21" t="n">
        <f aca="false">IF(E146,D146^2,0)</f>
        <v>0</v>
      </c>
      <c r="H146" s="3"/>
    </row>
    <row r="147" customFormat="false" ht="15" hidden="false" customHeight="true" outlineLevel="0" collapsed="false">
      <c r="A147" s="16"/>
      <c r="B147" s="16"/>
      <c r="C147" s="15"/>
      <c r="D147" s="19"/>
      <c r="E147" s="20" t="b">
        <f aca="false">AND(A147&lt;&gt;"",C147&lt;&gt;"",D147&lt;&gt;"",C147&gt;='Read Me'!$B$5)</f>
        <v>0</v>
      </c>
      <c r="F147" s="23" t="str">
        <f aca="false">IF(E147,D147,"")</f>
        <v/>
      </c>
      <c r="G147" s="21" t="n">
        <f aca="false">IF(E147,D147^2,0)</f>
        <v>0</v>
      </c>
      <c r="H147" s="3"/>
    </row>
    <row r="148" customFormat="false" ht="15" hidden="false" customHeight="true" outlineLevel="0" collapsed="false">
      <c r="A148" s="16"/>
      <c r="B148" s="16"/>
      <c r="C148" s="15"/>
      <c r="D148" s="19"/>
      <c r="E148" s="20" t="b">
        <f aca="false">AND(A148&lt;&gt;"",C148&lt;&gt;"",D148&lt;&gt;"",C148&gt;='Read Me'!$B$5)</f>
        <v>0</v>
      </c>
      <c r="F148" s="23" t="str">
        <f aca="false">IF(E148,D148,"")</f>
        <v/>
      </c>
      <c r="G148" s="21" t="n">
        <f aca="false">IF(E148,D148^2,0)</f>
        <v>0</v>
      </c>
      <c r="H148" s="3"/>
    </row>
    <row r="149" customFormat="false" ht="15" hidden="false" customHeight="true" outlineLevel="0" collapsed="false">
      <c r="A149" s="16"/>
      <c r="B149" s="16"/>
      <c r="C149" s="15"/>
      <c r="D149" s="19"/>
      <c r="E149" s="20" t="b">
        <f aca="false">AND(A149&lt;&gt;"",C149&lt;&gt;"",D149&lt;&gt;"",C149&gt;='Read Me'!$B$5)</f>
        <v>0</v>
      </c>
      <c r="F149" s="23" t="str">
        <f aca="false">IF(E149,D149,"")</f>
        <v/>
      </c>
      <c r="G149" s="21" t="n">
        <f aca="false">IF(E149,D149^2,0)</f>
        <v>0</v>
      </c>
      <c r="H149" s="3"/>
    </row>
    <row r="150" customFormat="false" ht="15" hidden="false" customHeight="true" outlineLevel="0" collapsed="false">
      <c r="A150" s="16"/>
      <c r="B150" s="16"/>
      <c r="C150" s="15"/>
      <c r="D150" s="19"/>
      <c r="E150" s="20" t="b">
        <f aca="false">AND(A150&lt;&gt;"",C150&lt;&gt;"",D150&lt;&gt;"",C150&gt;='Read Me'!$B$5)</f>
        <v>0</v>
      </c>
      <c r="F150" s="23" t="str">
        <f aca="false">IF(E150,D150,"")</f>
        <v/>
      </c>
      <c r="G150" s="21" t="n">
        <f aca="false">IF(E150,D150^2,0)</f>
        <v>0</v>
      </c>
      <c r="H150" s="3"/>
    </row>
    <row r="151" customFormat="false" ht="15" hidden="false" customHeight="true" outlineLevel="0" collapsed="false">
      <c r="A151" s="16"/>
      <c r="B151" s="16"/>
      <c r="C151" s="15"/>
      <c r="D151" s="19"/>
      <c r="E151" s="20" t="b">
        <f aca="false">AND(A151&lt;&gt;"",C151&lt;&gt;"",D151&lt;&gt;"",C151&gt;='Read Me'!$B$5)</f>
        <v>0</v>
      </c>
      <c r="F151" s="23" t="str">
        <f aca="false">IF(E151,D151,"")</f>
        <v/>
      </c>
      <c r="G151" s="21" t="n">
        <f aca="false">IF(E151,D151^2,0)</f>
        <v>0</v>
      </c>
      <c r="H151" s="3"/>
    </row>
    <row r="152" customFormat="false" ht="15" hidden="false" customHeight="true" outlineLevel="0" collapsed="false">
      <c r="A152" s="16"/>
      <c r="B152" s="16"/>
      <c r="C152" s="15"/>
      <c r="D152" s="19"/>
      <c r="E152" s="20" t="b">
        <f aca="false">AND(A152&lt;&gt;"",C152&lt;&gt;"",D152&lt;&gt;"",C152&gt;='Read Me'!$B$5)</f>
        <v>0</v>
      </c>
      <c r="F152" s="23" t="str">
        <f aca="false">IF(E152,D152,"")</f>
        <v/>
      </c>
      <c r="G152" s="21" t="n">
        <f aca="false">IF(E152,D152^2,0)</f>
        <v>0</v>
      </c>
      <c r="H152" s="3"/>
    </row>
    <row r="153" customFormat="false" ht="15" hidden="false" customHeight="true" outlineLevel="0" collapsed="false">
      <c r="A153" s="16"/>
      <c r="B153" s="16"/>
      <c r="C153" s="15"/>
      <c r="D153" s="19"/>
      <c r="E153" s="20" t="b">
        <f aca="false">AND(A153&lt;&gt;"",C153&lt;&gt;"",D153&lt;&gt;"",C153&gt;='Read Me'!$B$5)</f>
        <v>0</v>
      </c>
      <c r="F153" s="23" t="str">
        <f aca="false">IF(E153,D153,"")</f>
        <v/>
      </c>
      <c r="G153" s="21" t="n">
        <f aca="false">IF(E153,D153^2,0)</f>
        <v>0</v>
      </c>
      <c r="H153" s="3"/>
    </row>
    <row r="154" customFormat="false" ht="15" hidden="false" customHeight="true" outlineLevel="0" collapsed="false">
      <c r="A154" s="16"/>
      <c r="B154" s="16"/>
      <c r="C154" s="15"/>
      <c r="D154" s="19"/>
      <c r="E154" s="20" t="b">
        <f aca="false">AND(A154&lt;&gt;"",C154&lt;&gt;"",D154&lt;&gt;"",C154&gt;='Read Me'!$B$5)</f>
        <v>0</v>
      </c>
      <c r="F154" s="23" t="str">
        <f aca="false">IF(E154,D154,"")</f>
        <v/>
      </c>
      <c r="G154" s="21" t="n">
        <f aca="false">IF(E154,D154^2,0)</f>
        <v>0</v>
      </c>
      <c r="H154" s="3"/>
    </row>
    <row r="155" customFormat="false" ht="15" hidden="false" customHeight="true" outlineLevel="0" collapsed="false">
      <c r="A155" s="16"/>
      <c r="B155" s="16"/>
      <c r="C155" s="15"/>
      <c r="D155" s="19"/>
      <c r="E155" s="20" t="b">
        <f aca="false">AND(A155&lt;&gt;"",C155&lt;&gt;"",D155&lt;&gt;"",C155&gt;='Read Me'!$B$5)</f>
        <v>0</v>
      </c>
      <c r="F155" s="23" t="str">
        <f aca="false">IF(E155,D155,"")</f>
        <v/>
      </c>
      <c r="G155" s="21" t="n">
        <f aca="false">IF(E155,D155^2,0)</f>
        <v>0</v>
      </c>
      <c r="H155" s="3"/>
    </row>
    <row r="156" customFormat="false" ht="15" hidden="false" customHeight="true" outlineLevel="0" collapsed="false">
      <c r="A156" s="16"/>
      <c r="B156" s="16"/>
      <c r="C156" s="15"/>
      <c r="D156" s="19"/>
      <c r="E156" s="20" t="b">
        <f aca="false">AND(A156&lt;&gt;"",C156&lt;&gt;"",D156&lt;&gt;"",C156&gt;='Read Me'!$B$5)</f>
        <v>0</v>
      </c>
      <c r="F156" s="23" t="str">
        <f aca="false">IF(E156,D156,"")</f>
        <v/>
      </c>
      <c r="G156" s="21" t="n">
        <f aca="false">IF(E156,D156^2,0)</f>
        <v>0</v>
      </c>
      <c r="H156" s="3"/>
    </row>
    <row r="157" customFormat="false" ht="15" hidden="false" customHeight="true" outlineLevel="0" collapsed="false">
      <c r="A157" s="16"/>
      <c r="B157" s="16"/>
      <c r="C157" s="15"/>
      <c r="D157" s="19"/>
      <c r="E157" s="20" t="b">
        <f aca="false">AND(A157&lt;&gt;"",C157&lt;&gt;"",D157&lt;&gt;"",C157&gt;='Read Me'!$B$5)</f>
        <v>0</v>
      </c>
      <c r="F157" s="23" t="str">
        <f aca="false">IF(E157,D157,"")</f>
        <v/>
      </c>
      <c r="G157" s="21" t="n">
        <f aca="false">IF(E157,D157^2,0)</f>
        <v>0</v>
      </c>
      <c r="H157" s="3"/>
    </row>
    <row r="158" customFormat="false" ht="15" hidden="false" customHeight="true" outlineLevel="0" collapsed="false">
      <c r="A158" s="16"/>
      <c r="B158" s="16"/>
      <c r="C158" s="15"/>
      <c r="D158" s="19"/>
      <c r="E158" s="20" t="b">
        <f aca="false">AND(A158&lt;&gt;"",C158&lt;&gt;"",D158&lt;&gt;"",C158&gt;='Read Me'!$B$5)</f>
        <v>0</v>
      </c>
      <c r="F158" s="23" t="str">
        <f aca="false">IF(E158,D158,"")</f>
        <v/>
      </c>
      <c r="G158" s="21" t="n">
        <f aca="false">IF(E158,D158^2,0)</f>
        <v>0</v>
      </c>
      <c r="H158" s="3"/>
    </row>
    <row r="159" customFormat="false" ht="15" hidden="false" customHeight="true" outlineLevel="0" collapsed="false">
      <c r="A159" s="16"/>
      <c r="B159" s="16"/>
      <c r="C159" s="15"/>
      <c r="D159" s="19"/>
      <c r="E159" s="20" t="b">
        <f aca="false">AND(A159&lt;&gt;"",C159&lt;&gt;"",D159&lt;&gt;"",C159&gt;='Read Me'!$B$5)</f>
        <v>0</v>
      </c>
      <c r="F159" s="23" t="str">
        <f aca="false">IF(E159,D159,"")</f>
        <v/>
      </c>
      <c r="G159" s="21" t="n">
        <f aca="false">IF(E159,D159^2,0)</f>
        <v>0</v>
      </c>
      <c r="H159" s="3"/>
    </row>
    <row r="160" customFormat="false" ht="15" hidden="false" customHeight="true" outlineLevel="0" collapsed="false">
      <c r="A160" s="16"/>
      <c r="B160" s="16"/>
      <c r="C160" s="15"/>
      <c r="D160" s="19"/>
      <c r="E160" s="20" t="b">
        <f aca="false">AND(A160&lt;&gt;"",C160&lt;&gt;"",D160&lt;&gt;"",C160&gt;='Read Me'!$B$5)</f>
        <v>0</v>
      </c>
      <c r="F160" s="23" t="str">
        <f aca="false">IF(E160,D160,"")</f>
        <v/>
      </c>
      <c r="G160" s="21" t="n">
        <f aca="false">IF(E160,D160^2,0)</f>
        <v>0</v>
      </c>
      <c r="H160" s="3"/>
    </row>
    <row r="161" customFormat="false" ht="15" hidden="false" customHeight="true" outlineLevel="0" collapsed="false">
      <c r="A161" s="16"/>
      <c r="B161" s="16"/>
      <c r="C161" s="15"/>
      <c r="D161" s="19"/>
      <c r="E161" s="20" t="b">
        <f aca="false">AND(A161&lt;&gt;"",C161&lt;&gt;"",D161&lt;&gt;"",C161&gt;='Read Me'!$B$5)</f>
        <v>0</v>
      </c>
      <c r="F161" s="23" t="str">
        <f aca="false">IF(E161,D161,"")</f>
        <v/>
      </c>
      <c r="G161" s="21" t="n">
        <f aca="false">IF(E161,D161^2,0)</f>
        <v>0</v>
      </c>
      <c r="H161" s="3"/>
    </row>
    <row r="162" customFormat="false" ht="15" hidden="false" customHeight="true" outlineLevel="0" collapsed="false">
      <c r="A162" s="16"/>
      <c r="B162" s="16"/>
      <c r="C162" s="15"/>
      <c r="D162" s="19"/>
      <c r="E162" s="20" t="b">
        <f aca="false">AND(A162&lt;&gt;"",C162&lt;&gt;"",D162&lt;&gt;"",C162&gt;='Read Me'!$B$5)</f>
        <v>0</v>
      </c>
      <c r="F162" s="23" t="str">
        <f aca="false">IF(E162,D162,"")</f>
        <v/>
      </c>
      <c r="G162" s="21" t="n">
        <f aca="false">IF(E162,D162^2,0)</f>
        <v>0</v>
      </c>
      <c r="H162" s="3"/>
    </row>
    <row r="163" customFormat="false" ht="15" hidden="false" customHeight="true" outlineLevel="0" collapsed="false">
      <c r="A163" s="16"/>
      <c r="B163" s="16"/>
      <c r="C163" s="15"/>
      <c r="D163" s="19"/>
      <c r="E163" s="20" t="b">
        <f aca="false">AND(A163&lt;&gt;"",C163&lt;&gt;"",D163&lt;&gt;"",C163&gt;='Read Me'!$B$5)</f>
        <v>0</v>
      </c>
      <c r="F163" s="23" t="str">
        <f aca="false">IF(E163,D163,"")</f>
        <v/>
      </c>
      <c r="G163" s="21" t="n">
        <f aca="false">IF(E163,D163^2,0)</f>
        <v>0</v>
      </c>
      <c r="H163" s="3"/>
    </row>
    <row r="164" customFormat="false" ht="15" hidden="false" customHeight="true" outlineLevel="0" collapsed="false">
      <c r="A164" s="16"/>
      <c r="B164" s="16"/>
      <c r="C164" s="15"/>
      <c r="D164" s="19"/>
      <c r="E164" s="20" t="b">
        <f aca="false">AND(A164&lt;&gt;"",C164&lt;&gt;"",D164&lt;&gt;"",C164&gt;='Read Me'!$B$5)</f>
        <v>0</v>
      </c>
      <c r="F164" s="23" t="str">
        <f aca="false">IF(E164,D164,"")</f>
        <v/>
      </c>
      <c r="G164" s="21" t="n">
        <f aca="false">IF(E164,D164^2,0)</f>
        <v>0</v>
      </c>
      <c r="H164" s="3"/>
    </row>
    <row r="165" customFormat="false" ht="15" hidden="false" customHeight="true" outlineLevel="0" collapsed="false">
      <c r="A165" s="16"/>
      <c r="B165" s="16"/>
      <c r="C165" s="15"/>
      <c r="D165" s="19"/>
      <c r="E165" s="20" t="b">
        <f aca="false">AND(A165&lt;&gt;"",C165&lt;&gt;"",D165&lt;&gt;"",C165&gt;='Read Me'!$B$5)</f>
        <v>0</v>
      </c>
      <c r="F165" s="23" t="str">
        <f aca="false">IF(E165,D165,"")</f>
        <v/>
      </c>
      <c r="G165" s="21" t="n">
        <f aca="false">IF(E165,D165^2,0)</f>
        <v>0</v>
      </c>
      <c r="H165" s="3"/>
    </row>
    <row r="166" customFormat="false" ht="15" hidden="false" customHeight="true" outlineLevel="0" collapsed="false">
      <c r="A166" s="16"/>
      <c r="B166" s="16"/>
      <c r="C166" s="15"/>
      <c r="D166" s="19"/>
      <c r="E166" s="20" t="b">
        <f aca="false">AND(A166&lt;&gt;"",C166&lt;&gt;"",D166&lt;&gt;"",C166&gt;='Read Me'!$B$5)</f>
        <v>0</v>
      </c>
      <c r="F166" s="23" t="str">
        <f aca="false">IF(E166,D166,"")</f>
        <v/>
      </c>
      <c r="G166" s="21" t="n">
        <f aca="false">IF(E166,D166^2,0)</f>
        <v>0</v>
      </c>
      <c r="H166" s="3"/>
    </row>
    <row r="167" customFormat="false" ht="15" hidden="false" customHeight="true" outlineLevel="0" collapsed="false">
      <c r="A167" s="16"/>
      <c r="B167" s="16"/>
      <c r="C167" s="15"/>
      <c r="D167" s="19"/>
      <c r="E167" s="20" t="b">
        <f aca="false">AND(A167&lt;&gt;"",C167&lt;&gt;"",D167&lt;&gt;"",C167&gt;='Read Me'!$B$5)</f>
        <v>0</v>
      </c>
      <c r="F167" s="23" t="str">
        <f aca="false">IF(E167,D167,"")</f>
        <v/>
      </c>
      <c r="G167" s="21" t="n">
        <f aca="false">IF(E167,D167^2,0)</f>
        <v>0</v>
      </c>
      <c r="H167" s="3"/>
    </row>
    <row r="168" customFormat="false" ht="15" hidden="false" customHeight="true" outlineLevel="0" collapsed="false">
      <c r="A168" s="16"/>
      <c r="B168" s="16"/>
      <c r="C168" s="15"/>
      <c r="D168" s="19"/>
      <c r="E168" s="20" t="b">
        <f aca="false">AND(A168&lt;&gt;"",C168&lt;&gt;"",D168&lt;&gt;"",C168&gt;='Read Me'!$B$5)</f>
        <v>0</v>
      </c>
      <c r="F168" s="23" t="str">
        <f aca="false">IF(E168,D168,"")</f>
        <v/>
      </c>
      <c r="G168" s="21" t="n">
        <f aca="false">IF(E168,D168^2,0)</f>
        <v>0</v>
      </c>
      <c r="H168" s="3"/>
    </row>
    <row r="169" customFormat="false" ht="15" hidden="false" customHeight="true" outlineLevel="0" collapsed="false">
      <c r="A169" s="16"/>
      <c r="B169" s="16"/>
      <c r="C169" s="15"/>
      <c r="D169" s="19"/>
      <c r="E169" s="20" t="b">
        <f aca="false">AND(A169&lt;&gt;"",C169&lt;&gt;"",D169&lt;&gt;"",C169&gt;='Read Me'!$B$5)</f>
        <v>0</v>
      </c>
      <c r="F169" s="23" t="str">
        <f aca="false">IF(E169,D169,"")</f>
        <v/>
      </c>
      <c r="G169" s="21" t="n">
        <f aca="false">IF(E169,D169^2,0)</f>
        <v>0</v>
      </c>
      <c r="H169" s="3"/>
    </row>
    <row r="170" customFormat="false" ht="15" hidden="false" customHeight="true" outlineLevel="0" collapsed="false">
      <c r="A170" s="16"/>
      <c r="B170" s="16"/>
      <c r="C170" s="15"/>
      <c r="D170" s="19"/>
      <c r="E170" s="20" t="b">
        <f aca="false">AND(A170&lt;&gt;"",C170&lt;&gt;"",D170&lt;&gt;"",C170&gt;='Read Me'!$B$5)</f>
        <v>0</v>
      </c>
      <c r="F170" s="23" t="str">
        <f aca="false">IF(E170,D170,"")</f>
        <v/>
      </c>
      <c r="G170" s="21" t="n">
        <f aca="false">IF(E170,D170^2,0)</f>
        <v>0</v>
      </c>
      <c r="H170" s="3"/>
    </row>
    <row r="171" customFormat="false" ht="15" hidden="false" customHeight="true" outlineLevel="0" collapsed="false">
      <c r="A171" s="16"/>
      <c r="B171" s="16"/>
      <c r="C171" s="15"/>
      <c r="D171" s="19"/>
      <c r="E171" s="20" t="b">
        <f aca="false">AND(A171&lt;&gt;"",C171&lt;&gt;"",D171&lt;&gt;"",C171&gt;='Read Me'!$B$5)</f>
        <v>0</v>
      </c>
      <c r="F171" s="23" t="str">
        <f aca="false">IF(E171,D171,"")</f>
        <v/>
      </c>
      <c r="G171" s="21" t="n">
        <f aca="false">IF(E171,D171^2,0)</f>
        <v>0</v>
      </c>
      <c r="H171" s="3"/>
    </row>
    <row r="172" customFormat="false" ht="15" hidden="false" customHeight="true" outlineLevel="0" collapsed="false">
      <c r="A172" s="16"/>
      <c r="B172" s="16"/>
      <c r="C172" s="15"/>
      <c r="D172" s="19"/>
      <c r="E172" s="20" t="b">
        <f aca="false">AND(A172&lt;&gt;"",C172&lt;&gt;"",D172&lt;&gt;"",C172&gt;='Read Me'!$B$5)</f>
        <v>0</v>
      </c>
      <c r="F172" s="23" t="str">
        <f aca="false">IF(E172,D172,"")</f>
        <v/>
      </c>
      <c r="G172" s="21" t="n">
        <f aca="false">IF(E172,D172^2,0)</f>
        <v>0</v>
      </c>
      <c r="H172" s="3"/>
    </row>
    <row r="173" customFormat="false" ht="15" hidden="false" customHeight="true" outlineLevel="0" collapsed="false">
      <c r="A173" s="16"/>
      <c r="B173" s="16"/>
      <c r="C173" s="15"/>
      <c r="D173" s="19"/>
      <c r="E173" s="20" t="b">
        <f aca="false">AND(A173&lt;&gt;"",C173&lt;&gt;"",D173&lt;&gt;"",C173&gt;='Read Me'!$B$5)</f>
        <v>0</v>
      </c>
      <c r="F173" s="23" t="str">
        <f aca="false">IF(E173,D173,"")</f>
        <v/>
      </c>
      <c r="G173" s="21" t="n">
        <f aca="false">IF(E173,D173^2,0)</f>
        <v>0</v>
      </c>
      <c r="H173" s="3"/>
    </row>
    <row r="174" customFormat="false" ht="15" hidden="false" customHeight="true" outlineLevel="0" collapsed="false">
      <c r="A174" s="16"/>
      <c r="B174" s="16"/>
      <c r="C174" s="15"/>
      <c r="D174" s="19"/>
      <c r="E174" s="20" t="b">
        <f aca="false">AND(A174&lt;&gt;"",C174&lt;&gt;"",D174&lt;&gt;"",C174&gt;='Read Me'!$B$5)</f>
        <v>0</v>
      </c>
      <c r="F174" s="23" t="str">
        <f aca="false">IF(E174,D174,"")</f>
        <v/>
      </c>
      <c r="G174" s="21" t="n">
        <f aca="false">IF(E174,D174^2,0)</f>
        <v>0</v>
      </c>
      <c r="H174" s="3"/>
    </row>
    <row r="175" customFormat="false" ht="15" hidden="false" customHeight="true" outlineLevel="0" collapsed="false">
      <c r="A175" s="16"/>
      <c r="B175" s="16"/>
      <c r="C175" s="15"/>
      <c r="D175" s="19"/>
      <c r="E175" s="20" t="b">
        <f aca="false">AND(A175&lt;&gt;"",C175&lt;&gt;"",D175&lt;&gt;"",C175&gt;='Read Me'!$B$5)</f>
        <v>0</v>
      </c>
      <c r="F175" s="23" t="str">
        <f aca="false">IF(E175,D175,"")</f>
        <v/>
      </c>
      <c r="G175" s="21" t="n">
        <f aca="false">IF(E175,D175^2,0)</f>
        <v>0</v>
      </c>
      <c r="H175" s="3"/>
    </row>
    <row r="176" customFormat="false" ht="15" hidden="false" customHeight="true" outlineLevel="0" collapsed="false">
      <c r="A176" s="16"/>
      <c r="B176" s="16"/>
      <c r="C176" s="15"/>
      <c r="D176" s="19"/>
      <c r="E176" s="20" t="b">
        <f aca="false">AND(A176&lt;&gt;"",C176&lt;&gt;"",D176&lt;&gt;"",C176&gt;='Read Me'!$B$5)</f>
        <v>0</v>
      </c>
      <c r="F176" s="23" t="str">
        <f aca="false">IF(E176,D176,"")</f>
        <v/>
      </c>
      <c r="G176" s="21" t="n">
        <f aca="false">IF(E176,D176^2,0)</f>
        <v>0</v>
      </c>
      <c r="H176" s="3"/>
    </row>
    <row r="177" customFormat="false" ht="15" hidden="false" customHeight="true" outlineLevel="0" collapsed="false">
      <c r="A177" s="16"/>
      <c r="B177" s="16"/>
      <c r="C177" s="15"/>
      <c r="D177" s="19"/>
      <c r="E177" s="20" t="b">
        <f aca="false">AND(A177&lt;&gt;"",C177&lt;&gt;"",D177&lt;&gt;"",C177&gt;='Read Me'!$B$5)</f>
        <v>0</v>
      </c>
      <c r="F177" s="23" t="str">
        <f aca="false">IF(E177,D177,"")</f>
        <v/>
      </c>
      <c r="G177" s="21" t="n">
        <f aca="false">IF(E177,D177^2,0)</f>
        <v>0</v>
      </c>
      <c r="H177" s="3"/>
    </row>
    <row r="178" customFormat="false" ht="15" hidden="false" customHeight="true" outlineLevel="0" collapsed="false">
      <c r="A178" s="16"/>
      <c r="B178" s="16"/>
      <c r="C178" s="15"/>
      <c r="D178" s="19"/>
      <c r="E178" s="20" t="b">
        <f aca="false">AND(A178&lt;&gt;"",C178&lt;&gt;"",D178&lt;&gt;"",C178&gt;='Read Me'!$B$5)</f>
        <v>0</v>
      </c>
      <c r="F178" s="23" t="str">
        <f aca="false">IF(E178,D178,"")</f>
        <v/>
      </c>
      <c r="G178" s="21" t="n">
        <f aca="false">IF(E178,D178^2,0)</f>
        <v>0</v>
      </c>
      <c r="H178" s="3"/>
    </row>
    <row r="179" customFormat="false" ht="15" hidden="false" customHeight="true" outlineLevel="0" collapsed="false">
      <c r="A179" s="16"/>
      <c r="B179" s="16"/>
      <c r="C179" s="15"/>
      <c r="D179" s="19"/>
      <c r="E179" s="20" t="b">
        <f aca="false">AND(A179&lt;&gt;"",C179&lt;&gt;"",D179&lt;&gt;"",C179&gt;='Read Me'!$B$5)</f>
        <v>0</v>
      </c>
      <c r="F179" s="23" t="str">
        <f aca="false">IF(E179,D179,"")</f>
        <v/>
      </c>
      <c r="G179" s="21" t="n">
        <f aca="false">IF(E179,D179^2,0)</f>
        <v>0</v>
      </c>
      <c r="H179" s="3"/>
    </row>
    <row r="180" customFormat="false" ht="15" hidden="false" customHeight="true" outlineLevel="0" collapsed="false">
      <c r="A180" s="16"/>
      <c r="B180" s="16"/>
      <c r="C180" s="15"/>
      <c r="D180" s="19"/>
      <c r="E180" s="20" t="b">
        <f aca="false">AND(A180&lt;&gt;"",C180&lt;&gt;"",D180&lt;&gt;"",C180&gt;='Read Me'!$B$5)</f>
        <v>0</v>
      </c>
      <c r="F180" s="23" t="str">
        <f aca="false">IF(E180,D180,"")</f>
        <v/>
      </c>
      <c r="G180" s="21" t="n">
        <f aca="false">IF(E180,D180^2,0)</f>
        <v>0</v>
      </c>
      <c r="H180" s="3"/>
    </row>
    <row r="181" customFormat="false" ht="15" hidden="false" customHeight="true" outlineLevel="0" collapsed="false">
      <c r="A181" s="16"/>
      <c r="B181" s="16"/>
      <c r="C181" s="15"/>
      <c r="D181" s="19"/>
      <c r="E181" s="20" t="b">
        <f aca="false">AND(A181&lt;&gt;"",C181&lt;&gt;"",D181&lt;&gt;"",C181&gt;='Read Me'!$B$5)</f>
        <v>0</v>
      </c>
      <c r="F181" s="23" t="str">
        <f aca="false">IF(E181,D181,"")</f>
        <v/>
      </c>
      <c r="G181" s="21" t="n">
        <f aca="false">IF(E181,D181^2,0)</f>
        <v>0</v>
      </c>
      <c r="H181" s="3"/>
    </row>
    <row r="182" customFormat="false" ht="15" hidden="false" customHeight="true" outlineLevel="0" collapsed="false">
      <c r="A182" s="16"/>
      <c r="B182" s="16"/>
      <c r="C182" s="15"/>
      <c r="D182" s="19"/>
      <c r="E182" s="20" t="b">
        <f aca="false">AND(A182&lt;&gt;"",C182&lt;&gt;"",D182&lt;&gt;"",C182&gt;='Read Me'!$B$5)</f>
        <v>0</v>
      </c>
      <c r="F182" s="23" t="str">
        <f aca="false">IF(E182,D182,"")</f>
        <v/>
      </c>
      <c r="G182" s="21" t="n">
        <f aca="false">IF(E182,D182^2,0)</f>
        <v>0</v>
      </c>
      <c r="H182" s="3"/>
    </row>
    <row r="183" customFormat="false" ht="15" hidden="false" customHeight="true" outlineLevel="0" collapsed="false">
      <c r="A183" s="16"/>
      <c r="B183" s="16"/>
      <c r="C183" s="15"/>
      <c r="D183" s="19"/>
      <c r="E183" s="20" t="b">
        <f aca="false">AND(A183&lt;&gt;"",C183&lt;&gt;"",D183&lt;&gt;"",C183&gt;='Read Me'!$B$5)</f>
        <v>0</v>
      </c>
      <c r="F183" s="23" t="str">
        <f aca="false">IF(E183,D183,"")</f>
        <v/>
      </c>
      <c r="G183" s="21" t="n">
        <f aca="false">IF(E183,D183^2,0)</f>
        <v>0</v>
      </c>
      <c r="H183" s="3"/>
    </row>
    <row r="184" customFormat="false" ht="15" hidden="false" customHeight="true" outlineLevel="0" collapsed="false">
      <c r="A184" s="16"/>
      <c r="B184" s="16"/>
      <c r="C184" s="15"/>
      <c r="D184" s="19"/>
      <c r="E184" s="20" t="b">
        <f aca="false">AND(A184&lt;&gt;"",C184&lt;&gt;"",D184&lt;&gt;"",C184&gt;='Read Me'!$B$5)</f>
        <v>0</v>
      </c>
      <c r="F184" s="23" t="str">
        <f aca="false">IF(E184,D184,"")</f>
        <v/>
      </c>
      <c r="G184" s="21" t="n">
        <f aca="false">IF(E184,D184^2,0)</f>
        <v>0</v>
      </c>
      <c r="H184" s="3"/>
    </row>
    <row r="185" customFormat="false" ht="15" hidden="false" customHeight="true" outlineLevel="0" collapsed="false">
      <c r="A185" s="16"/>
      <c r="B185" s="16"/>
      <c r="C185" s="15"/>
      <c r="D185" s="19"/>
      <c r="E185" s="20" t="b">
        <f aca="false">AND(A185&lt;&gt;"",C185&lt;&gt;"",D185&lt;&gt;"",C185&gt;='Read Me'!$B$5)</f>
        <v>0</v>
      </c>
      <c r="F185" s="23" t="str">
        <f aca="false">IF(E185,D185,"")</f>
        <v/>
      </c>
      <c r="G185" s="21" t="n">
        <f aca="false">IF(E185,D185^2,0)</f>
        <v>0</v>
      </c>
      <c r="H185" s="3"/>
    </row>
    <row r="186" customFormat="false" ht="15" hidden="false" customHeight="true" outlineLevel="0" collapsed="false">
      <c r="A186" s="16"/>
      <c r="B186" s="16"/>
      <c r="C186" s="15"/>
      <c r="D186" s="19"/>
      <c r="E186" s="20" t="b">
        <f aca="false">AND(A186&lt;&gt;"",C186&lt;&gt;"",D186&lt;&gt;"",C186&gt;='Read Me'!$B$5)</f>
        <v>0</v>
      </c>
      <c r="F186" s="23" t="str">
        <f aca="false">IF(E186,D186,"")</f>
        <v/>
      </c>
      <c r="G186" s="21" t="n">
        <f aca="false">IF(E186,D186^2,0)</f>
        <v>0</v>
      </c>
      <c r="H186" s="3"/>
    </row>
    <row r="187" customFormat="false" ht="15" hidden="false" customHeight="true" outlineLevel="0" collapsed="false">
      <c r="A187" s="16"/>
      <c r="B187" s="16"/>
      <c r="C187" s="15"/>
      <c r="D187" s="19"/>
      <c r="E187" s="20" t="b">
        <f aca="false">AND(A187&lt;&gt;"",C187&lt;&gt;"",D187&lt;&gt;"",C187&gt;='Read Me'!$B$5)</f>
        <v>0</v>
      </c>
      <c r="F187" s="23" t="str">
        <f aca="false">IF(E187,D187,"")</f>
        <v/>
      </c>
      <c r="G187" s="21" t="n">
        <f aca="false">IF(E187,D187^2,0)</f>
        <v>0</v>
      </c>
      <c r="H187" s="3"/>
    </row>
    <row r="188" customFormat="false" ht="15" hidden="false" customHeight="true" outlineLevel="0" collapsed="false">
      <c r="A188" s="16"/>
      <c r="B188" s="16"/>
      <c r="C188" s="15"/>
      <c r="D188" s="19"/>
      <c r="E188" s="20" t="b">
        <f aca="false">AND(A188&lt;&gt;"",C188&lt;&gt;"",D188&lt;&gt;"",C188&gt;='Read Me'!$B$5)</f>
        <v>0</v>
      </c>
      <c r="F188" s="23" t="str">
        <f aca="false">IF(E188,D188,"")</f>
        <v/>
      </c>
      <c r="G188" s="21" t="n">
        <f aca="false">IF(E188,D188^2,0)</f>
        <v>0</v>
      </c>
      <c r="H188" s="3"/>
    </row>
    <row r="189" customFormat="false" ht="15" hidden="false" customHeight="true" outlineLevel="0" collapsed="false">
      <c r="A189" s="16"/>
      <c r="B189" s="16"/>
      <c r="C189" s="15"/>
      <c r="D189" s="19"/>
      <c r="E189" s="20" t="b">
        <f aca="false">AND(A189&lt;&gt;"",C189&lt;&gt;"",D189&lt;&gt;"",C189&gt;='Read Me'!$B$5)</f>
        <v>0</v>
      </c>
      <c r="F189" s="23" t="str">
        <f aca="false">IF(E189,D189,"")</f>
        <v/>
      </c>
      <c r="G189" s="21" t="n">
        <f aca="false">IF(E189,D189^2,0)</f>
        <v>0</v>
      </c>
      <c r="H189" s="3"/>
    </row>
    <row r="190" customFormat="false" ht="15" hidden="false" customHeight="true" outlineLevel="0" collapsed="false">
      <c r="A190" s="16"/>
      <c r="B190" s="16"/>
      <c r="C190" s="15"/>
      <c r="D190" s="19"/>
      <c r="E190" s="20" t="b">
        <f aca="false">AND(A190&lt;&gt;"",C190&lt;&gt;"",D190&lt;&gt;"",C190&gt;='Read Me'!$B$5)</f>
        <v>0</v>
      </c>
      <c r="F190" s="23" t="str">
        <f aca="false">IF(E190,D190,"")</f>
        <v/>
      </c>
      <c r="G190" s="21" t="n">
        <f aca="false">IF(E190,D190^2,0)</f>
        <v>0</v>
      </c>
      <c r="H190" s="3"/>
    </row>
    <row r="191" customFormat="false" ht="15" hidden="false" customHeight="true" outlineLevel="0" collapsed="false">
      <c r="A191" s="16"/>
      <c r="B191" s="16"/>
      <c r="C191" s="15"/>
      <c r="D191" s="19"/>
      <c r="E191" s="20" t="b">
        <f aca="false">AND(A191&lt;&gt;"",C191&lt;&gt;"",D191&lt;&gt;"",C191&gt;='Read Me'!$B$5)</f>
        <v>0</v>
      </c>
      <c r="F191" s="23" t="str">
        <f aca="false">IF(E191,D191,"")</f>
        <v/>
      </c>
      <c r="G191" s="21" t="n">
        <f aca="false">IF(E191,D191^2,0)</f>
        <v>0</v>
      </c>
      <c r="H191" s="3"/>
    </row>
    <row r="192" customFormat="false" ht="15" hidden="false" customHeight="true" outlineLevel="0" collapsed="false">
      <c r="A192" s="16"/>
      <c r="B192" s="16"/>
      <c r="C192" s="15"/>
      <c r="D192" s="19"/>
      <c r="E192" s="20" t="b">
        <f aca="false">AND(A192&lt;&gt;"",C192&lt;&gt;"",D192&lt;&gt;"",C192&gt;='Read Me'!$B$5)</f>
        <v>0</v>
      </c>
      <c r="F192" s="23" t="str">
        <f aca="false">IF(E192,D192,"")</f>
        <v/>
      </c>
      <c r="G192" s="21" t="n">
        <f aca="false">IF(E192,D192^2,0)</f>
        <v>0</v>
      </c>
      <c r="H192" s="3"/>
    </row>
    <row r="193" customFormat="false" ht="15" hidden="false" customHeight="true" outlineLevel="0" collapsed="false">
      <c r="A193" s="16"/>
      <c r="B193" s="16"/>
      <c r="C193" s="15"/>
      <c r="D193" s="19"/>
      <c r="E193" s="20" t="b">
        <f aca="false">AND(A193&lt;&gt;"",C193&lt;&gt;"",D193&lt;&gt;"",C193&gt;='Read Me'!$B$5)</f>
        <v>0</v>
      </c>
      <c r="F193" s="23" t="str">
        <f aca="false">IF(E193,D193,"")</f>
        <v/>
      </c>
      <c r="G193" s="21" t="n">
        <f aca="false">IF(E193,D193^2,0)</f>
        <v>0</v>
      </c>
      <c r="H193" s="3"/>
    </row>
    <row r="194" customFormat="false" ht="15" hidden="false" customHeight="true" outlineLevel="0" collapsed="false">
      <c r="A194" s="16"/>
      <c r="B194" s="16"/>
      <c r="C194" s="15"/>
      <c r="D194" s="19"/>
      <c r="E194" s="20" t="b">
        <f aca="false">AND(A194&lt;&gt;"",C194&lt;&gt;"",D194&lt;&gt;"",C194&gt;='Read Me'!$B$5)</f>
        <v>0</v>
      </c>
      <c r="F194" s="23" t="str">
        <f aca="false">IF(E194,D194,"")</f>
        <v/>
      </c>
      <c r="G194" s="21" t="n">
        <f aca="false">IF(E194,D194^2,0)</f>
        <v>0</v>
      </c>
      <c r="H194" s="3"/>
    </row>
    <row r="195" customFormat="false" ht="15" hidden="false" customHeight="true" outlineLevel="0" collapsed="false">
      <c r="A195" s="16"/>
      <c r="B195" s="16"/>
      <c r="C195" s="15"/>
      <c r="D195" s="19"/>
      <c r="E195" s="20" t="b">
        <f aca="false">AND(A195&lt;&gt;"",C195&lt;&gt;"",D195&lt;&gt;"",C195&gt;='Read Me'!$B$5)</f>
        <v>0</v>
      </c>
      <c r="F195" s="23" t="str">
        <f aca="false">IF(E195,D195,"")</f>
        <v/>
      </c>
      <c r="G195" s="21" t="n">
        <f aca="false">IF(E195,D195^2,0)</f>
        <v>0</v>
      </c>
      <c r="H195" s="3"/>
    </row>
    <row r="196" customFormat="false" ht="15" hidden="false" customHeight="true" outlineLevel="0" collapsed="false">
      <c r="A196" s="16"/>
      <c r="B196" s="16"/>
      <c r="C196" s="15"/>
      <c r="D196" s="19"/>
      <c r="E196" s="20" t="b">
        <f aca="false">AND(A196&lt;&gt;"",C196&lt;&gt;"",D196&lt;&gt;"",C196&gt;='Read Me'!$B$5)</f>
        <v>0</v>
      </c>
      <c r="F196" s="23" t="str">
        <f aca="false">IF(E196,D196,"")</f>
        <v/>
      </c>
      <c r="G196" s="21" t="n">
        <f aca="false">IF(E196,D196^2,0)</f>
        <v>0</v>
      </c>
      <c r="H196" s="3"/>
    </row>
    <row r="197" customFormat="false" ht="15" hidden="false" customHeight="true" outlineLevel="0" collapsed="false">
      <c r="A197" s="16"/>
      <c r="B197" s="16"/>
      <c r="C197" s="15"/>
      <c r="D197" s="19"/>
      <c r="E197" s="20" t="b">
        <f aca="false">AND(A197&lt;&gt;"",C197&lt;&gt;"",D197&lt;&gt;"",C197&gt;='Read Me'!$B$5)</f>
        <v>0</v>
      </c>
      <c r="F197" s="23" t="str">
        <f aca="false">IF(E197,D197,"")</f>
        <v/>
      </c>
      <c r="G197" s="21" t="n">
        <f aca="false">IF(E197,D197^2,0)</f>
        <v>0</v>
      </c>
      <c r="H197" s="3"/>
    </row>
    <row r="198" customFormat="false" ht="15" hidden="false" customHeight="true" outlineLevel="0" collapsed="false">
      <c r="A198" s="16"/>
      <c r="B198" s="16"/>
      <c r="C198" s="15"/>
      <c r="D198" s="19"/>
      <c r="E198" s="20" t="b">
        <f aca="false">AND(A198&lt;&gt;"",C198&lt;&gt;"",D198&lt;&gt;"",C198&gt;='Read Me'!$B$5)</f>
        <v>0</v>
      </c>
      <c r="F198" s="23" t="str">
        <f aca="false">IF(E198,D198,"")</f>
        <v/>
      </c>
      <c r="G198" s="21" t="n">
        <f aca="false">IF(E198,D198^2,0)</f>
        <v>0</v>
      </c>
      <c r="H198" s="3"/>
    </row>
    <row r="199" customFormat="false" ht="15" hidden="false" customHeight="true" outlineLevel="0" collapsed="false">
      <c r="A199" s="16"/>
      <c r="B199" s="16"/>
      <c r="C199" s="15"/>
      <c r="D199" s="19"/>
      <c r="E199" s="20" t="b">
        <f aca="false">AND(A199&lt;&gt;"",C199&lt;&gt;"",D199&lt;&gt;"",C199&gt;='Read Me'!$B$5)</f>
        <v>0</v>
      </c>
      <c r="F199" s="23" t="str">
        <f aca="false">IF(E199,D199,"")</f>
        <v/>
      </c>
      <c r="G199" s="21" t="n">
        <f aca="false">IF(E199,D199^2,0)</f>
        <v>0</v>
      </c>
      <c r="H199" s="3"/>
    </row>
    <row r="200" customFormat="false" ht="15" hidden="false" customHeight="true" outlineLevel="0" collapsed="false">
      <c r="A200" s="16"/>
      <c r="B200" s="16"/>
      <c r="C200" s="15"/>
      <c r="D200" s="19"/>
      <c r="E200" s="20" t="b">
        <f aca="false">AND(A200&lt;&gt;"",C200&lt;&gt;"",D200&lt;&gt;"",C200&gt;='Read Me'!$B$5)</f>
        <v>0</v>
      </c>
      <c r="F200" s="23" t="str">
        <f aca="false">IF(E200,D200,"")</f>
        <v/>
      </c>
      <c r="G200" s="21" t="n">
        <f aca="false">IF(E200,D200^2,0)</f>
        <v>0</v>
      </c>
      <c r="H200" s="3"/>
    </row>
    <row r="201" customFormat="false" ht="15" hidden="false" customHeight="true" outlineLevel="0" collapsed="false">
      <c r="A201" s="16"/>
      <c r="B201" s="16"/>
      <c r="C201" s="15"/>
      <c r="D201" s="19"/>
      <c r="E201" s="20" t="b">
        <f aca="false">AND(A201&lt;&gt;"",C201&lt;&gt;"",D201&lt;&gt;"",C201&gt;='Read Me'!$B$5)</f>
        <v>0</v>
      </c>
      <c r="F201" s="23" t="str">
        <f aca="false">IF(E201,D201,"")</f>
        <v/>
      </c>
      <c r="G201" s="21" t="n">
        <f aca="false">IF(E201,D201^2,0)</f>
        <v>0</v>
      </c>
      <c r="H201" s="3"/>
    </row>
    <row r="202" customFormat="false" ht="15" hidden="false" customHeight="true" outlineLevel="0" collapsed="false">
      <c r="A202" s="16"/>
      <c r="B202" s="16"/>
      <c r="C202" s="15"/>
      <c r="D202" s="19"/>
      <c r="E202" s="20" t="b">
        <f aca="false">AND(A202&lt;&gt;"",C202&lt;&gt;"",D202&lt;&gt;"",C202&gt;='Read Me'!$B$5)</f>
        <v>0</v>
      </c>
      <c r="F202" s="23" t="str">
        <f aca="false">IF(E202,D202,"")</f>
        <v/>
      </c>
      <c r="G202" s="21" t="n">
        <f aca="false">IF(E202,D202^2,0)</f>
        <v>0</v>
      </c>
      <c r="H202" s="3"/>
    </row>
    <row r="203" customFormat="false" ht="15" hidden="false" customHeight="true" outlineLevel="0" collapsed="false">
      <c r="A203" s="16"/>
      <c r="B203" s="16"/>
      <c r="C203" s="15"/>
      <c r="D203" s="19"/>
      <c r="E203" s="20" t="b">
        <f aca="false">AND(A203&lt;&gt;"",C203&lt;&gt;"",D203&lt;&gt;"",C203&gt;='Read Me'!$B$5)</f>
        <v>0</v>
      </c>
      <c r="F203" s="23" t="str">
        <f aca="false">IF(E203,D203,"")</f>
        <v/>
      </c>
      <c r="G203" s="21" t="n">
        <f aca="false">IF(E203,D203^2,0)</f>
        <v>0</v>
      </c>
      <c r="H203" s="3"/>
    </row>
    <row r="204" customFormat="false" ht="15" hidden="false" customHeight="true" outlineLevel="0" collapsed="false">
      <c r="A204" s="16"/>
      <c r="B204" s="16"/>
      <c r="C204" s="15"/>
      <c r="D204" s="19"/>
      <c r="E204" s="20" t="b">
        <f aca="false">AND(A204&lt;&gt;"",C204&lt;&gt;"",D204&lt;&gt;"",C204&gt;='Read Me'!$B$5)</f>
        <v>0</v>
      </c>
      <c r="F204" s="23" t="str">
        <f aca="false">IF(E204,D204,"")</f>
        <v/>
      </c>
      <c r="G204" s="21" t="n">
        <f aca="false">IF(E204,D204^2,0)</f>
        <v>0</v>
      </c>
      <c r="H204" s="3"/>
    </row>
    <row r="205" customFormat="false" ht="15" hidden="false" customHeight="true" outlineLevel="0" collapsed="false">
      <c r="A205" s="16"/>
      <c r="B205" s="16"/>
      <c r="C205" s="15"/>
      <c r="D205" s="19"/>
      <c r="E205" s="20" t="b">
        <f aca="false">AND(A205&lt;&gt;"",C205&lt;&gt;"",D205&lt;&gt;"",C205&gt;='Read Me'!$B$5)</f>
        <v>0</v>
      </c>
      <c r="F205" s="23" t="str">
        <f aca="false">IF(E205,D205,"")</f>
        <v/>
      </c>
      <c r="G205" s="21" t="n">
        <f aca="false">IF(E205,D205^2,0)</f>
        <v>0</v>
      </c>
      <c r="H205" s="3"/>
    </row>
    <row r="206" customFormat="false" ht="15" hidden="false" customHeight="true" outlineLevel="0" collapsed="false">
      <c r="A206" s="16"/>
      <c r="B206" s="16"/>
      <c r="C206" s="15"/>
      <c r="D206" s="19"/>
      <c r="E206" s="20" t="b">
        <f aca="false">AND(A206&lt;&gt;"",C206&lt;&gt;"",D206&lt;&gt;"",C206&gt;='Read Me'!$B$5)</f>
        <v>0</v>
      </c>
      <c r="F206" s="23" t="str">
        <f aca="false">IF(E206,D206,"")</f>
        <v/>
      </c>
      <c r="G206" s="21" t="n">
        <f aca="false">IF(E206,D206^2,0)</f>
        <v>0</v>
      </c>
      <c r="H206" s="3"/>
    </row>
    <row r="207" customFormat="false" ht="15" hidden="false" customHeight="true" outlineLevel="0" collapsed="false">
      <c r="A207" s="16"/>
      <c r="B207" s="16"/>
      <c r="C207" s="15"/>
      <c r="D207" s="19"/>
      <c r="E207" s="20" t="b">
        <f aca="false">AND(A207&lt;&gt;"",C207&lt;&gt;"",D207&lt;&gt;"",C207&gt;='Read Me'!$B$5)</f>
        <v>0</v>
      </c>
      <c r="F207" s="23" t="str">
        <f aca="false">IF(E207,D207,"")</f>
        <v/>
      </c>
      <c r="G207" s="21" t="n">
        <f aca="false">IF(E207,D207^2,0)</f>
        <v>0</v>
      </c>
      <c r="H207" s="3"/>
    </row>
    <row r="208" customFormat="false" ht="15" hidden="false" customHeight="true" outlineLevel="0" collapsed="false">
      <c r="A208" s="16"/>
      <c r="B208" s="16"/>
      <c r="C208" s="15"/>
      <c r="D208" s="19"/>
      <c r="E208" s="20" t="b">
        <f aca="false">AND(A208&lt;&gt;"",C208&lt;&gt;"",D208&lt;&gt;"",C208&gt;='Read Me'!$B$5)</f>
        <v>0</v>
      </c>
      <c r="F208" s="23" t="str">
        <f aca="false">IF(E208,D208,"")</f>
        <v/>
      </c>
      <c r="G208" s="21" t="n">
        <f aca="false">IF(E208,D208^2,0)</f>
        <v>0</v>
      </c>
      <c r="H208" s="3"/>
    </row>
    <row r="209" customFormat="false" ht="15" hidden="false" customHeight="true" outlineLevel="0" collapsed="false">
      <c r="A209" s="16"/>
      <c r="B209" s="16"/>
      <c r="C209" s="15"/>
      <c r="D209" s="19"/>
      <c r="E209" s="20" t="b">
        <f aca="false">AND(A209&lt;&gt;"",C209&lt;&gt;"",D209&lt;&gt;"",C209&gt;='Read Me'!$B$5)</f>
        <v>0</v>
      </c>
      <c r="F209" s="23" t="str">
        <f aca="false">IF(E209,D209,"")</f>
        <v/>
      </c>
      <c r="G209" s="21" t="n">
        <f aca="false">IF(E209,D209^2,0)</f>
        <v>0</v>
      </c>
      <c r="H209" s="3"/>
    </row>
    <row r="210" customFormat="false" ht="15" hidden="false" customHeight="true" outlineLevel="0" collapsed="false">
      <c r="A210" s="16"/>
      <c r="B210" s="16"/>
      <c r="C210" s="15"/>
      <c r="D210" s="19"/>
      <c r="E210" s="20" t="b">
        <f aca="false">AND(A210&lt;&gt;"",C210&lt;&gt;"",D210&lt;&gt;"",C210&gt;='Read Me'!$B$5)</f>
        <v>0</v>
      </c>
      <c r="F210" s="23" t="str">
        <f aca="false">IF(E210,D210,"")</f>
        <v/>
      </c>
      <c r="G210" s="21" t="n">
        <f aca="false">IF(E210,D210^2,0)</f>
        <v>0</v>
      </c>
      <c r="H210" s="3"/>
    </row>
    <row r="211" customFormat="false" ht="15" hidden="false" customHeight="true" outlineLevel="0" collapsed="false">
      <c r="A211" s="16"/>
      <c r="B211" s="16"/>
      <c r="C211" s="15"/>
      <c r="D211" s="19"/>
      <c r="E211" s="20" t="b">
        <f aca="false">AND(A211&lt;&gt;"",C211&lt;&gt;"",D211&lt;&gt;"",C211&gt;='Read Me'!$B$5)</f>
        <v>0</v>
      </c>
      <c r="F211" s="23" t="str">
        <f aca="false">IF(E211,D211,"")</f>
        <v/>
      </c>
      <c r="G211" s="21" t="n">
        <f aca="false">IF(E211,D211^2,0)</f>
        <v>0</v>
      </c>
      <c r="H211" s="3"/>
    </row>
    <row r="212" customFormat="false" ht="15" hidden="false" customHeight="true" outlineLevel="0" collapsed="false">
      <c r="A212" s="16"/>
      <c r="B212" s="16"/>
      <c r="C212" s="15"/>
      <c r="D212" s="19"/>
      <c r="E212" s="20" t="b">
        <f aca="false">AND(A212&lt;&gt;"",C212&lt;&gt;"",D212&lt;&gt;"",C212&gt;='Read Me'!$B$5)</f>
        <v>0</v>
      </c>
      <c r="F212" s="23" t="str">
        <f aca="false">IF(E212,D212,"")</f>
        <v/>
      </c>
      <c r="G212" s="21" t="n">
        <f aca="false">IF(E212,D212^2,0)</f>
        <v>0</v>
      </c>
      <c r="H212" s="3"/>
    </row>
    <row r="213" customFormat="false" ht="15" hidden="false" customHeight="true" outlineLevel="0" collapsed="false">
      <c r="A213" s="16"/>
      <c r="B213" s="16"/>
      <c r="C213" s="15"/>
      <c r="D213" s="19"/>
      <c r="E213" s="20" t="b">
        <f aca="false">AND(A213&lt;&gt;"",C213&lt;&gt;"",D213&lt;&gt;"",C213&gt;='Read Me'!$B$5)</f>
        <v>0</v>
      </c>
      <c r="F213" s="23" t="str">
        <f aca="false">IF(E213,D213,"")</f>
        <v/>
      </c>
      <c r="G213" s="21" t="n">
        <f aca="false">IF(E213,D213^2,0)</f>
        <v>0</v>
      </c>
      <c r="H213" s="3"/>
    </row>
    <row r="214" customFormat="false" ht="15" hidden="false" customHeight="true" outlineLevel="0" collapsed="false">
      <c r="A214" s="16"/>
      <c r="B214" s="16"/>
      <c r="C214" s="15"/>
      <c r="D214" s="19"/>
      <c r="E214" s="20" t="b">
        <f aca="false">AND(A214&lt;&gt;"",C214&lt;&gt;"",D214&lt;&gt;"",C214&gt;='Read Me'!$B$5)</f>
        <v>0</v>
      </c>
      <c r="F214" s="23" t="str">
        <f aca="false">IF(E214,D214,"")</f>
        <v/>
      </c>
      <c r="G214" s="21" t="n">
        <f aca="false">IF(E214,D214^2,0)</f>
        <v>0</v>
      </c>
      <c r="H214" s="3"/>
    </row>
    <row r="215" customFormat="false" ht="15" hidden="false" customHeight="true" outlineLevel="0" collapsed="false">
      <c r="A215" s="16"/>
      <c r="B215" s="16"/>
      <c r="C215" s="15"/>
      <c r="D215" s="19"/>
      <c r="E215" s="20" t="b">
        <f aca="false">AND(A215&lt;&gt;"",C215&lt;&gt;"",D215&lt;&gt;"",C215&gt;='Read Me'!$B$5)</f>
        <v>0</v>
      </c>
      <c r="F215" s="23" t="str">
        <f aca="false">IF(E215,D215,"")</f>
        <v/>
      </c>
      <c r="G215" s="21" t="n">
        <f aca="false">IF(E215,D215^2,0)</f>
        <v>0</v>
      </c>
      <c r="H215" s="3"/>
    </row>
    <row r="216" customFormat="false" ht="15" hidden="false" customHeight="true" outlineLevel="0" collapsed="false">
      <c r="A216" s="16"/>
      <c r="B216" s="16"/>
      <c r="C216" s="15"/>
      <c r="D216" s="19"/>
      <c r="E216" s="20" t="b">
        <f aca="false">AND(A216&lt;&gt;"",C216&lt;&gt;"",D216&lt;&gt;"",C216&gt;='Read Me'!$B$5)</f>
        <v>0</v>
      </c>
      <c r="F216" s="23" t="str">
        <f aca="false">IF(E216,D216,"")</f>
        <v/>
      </c>
      <c r="G216" s="21" t="n">
        <f aca="false">IF(E216,D216^2,0)</f>
        <v>0</v>
      </c>
      <c r="H216" s="3"/>
    </row>
    <row r="217" customFormat="false" ht="15" hidden="false" customHeight="true" outlineLevel="0" collapsed="false">
      <c r="A217" s="16"/>
      <c r="B217" s="16"/>
      <c r="C217" s="15"/>
      <c r="D217" s="19"/>
      <c r="E217" s="20" t="b">
        <f aca="false">AND(A217&lt;&gt;"",C217&lt;&gt;"",D217&lt;&gt;"",C217&gt;='Read Me'!$B$5)</f>
        <v>0</v>
      </c>
      <c r="F217" s="23" t="str">
        <f aca="false">IF(E217,D217,"")</f>
        <v/>
      </c>
      <c r="G217" s="21" t="n">
        <f aca="false">IF(E217,D217^2,0)</f>
        <v>0</v>
      </c>
      <c r="H217" s="3"/>
    </row>
    <row r="218" customFormat="false" ht="15" hidden="false" customHeight="true" outlineLevel="0" collapsed="false">
      <c r="A218" s="16"/>
      <c r="B218" s="16"/>
      <c r="C218" s="15"/>
      <c r="D218" s="19"/>
      <c r="E218" s="20" t="b">
        <f aca="false">AND(A218&lt;&gt;"",C218&lt;&gt;"",D218&lt;&gt;"",C218&gt;='Read Me'!$B$5)</f>
        <v>0</v>
      </c>
      <c r="F218" s="23" t="str">
        <f aca="false">IF(E218,D218,"")</f>
        <v/>
      </c>
      <c r="G218" s="21" t="n">
        <f aca="false">IF(E218,D218^2,0)</f>
        <v>0</v>
      </c>
      <c r="H218" s="3"/>
    </row>
    <row r="219" customFormat="false" ht="15" hidden="false" customHeight="true" outlineLevel="0" collapsed="false">
      <c r="A219" s="16"/>
      <c r="B219" s="16"/>
      <c r="C219" s="15"/>
      <c r="D219" s="19"/>
      <c r="E219" s="20" t="b">
        <f aca="false">AND(A219&lt;&gt;"",C219&lt;&gt;"",D219&lt;&gt;"",C219&gt;='Read Me'!$B$5)</f>
        <v>0</v>
      </c>
      <c r="F219" s="23" t="str">
        <f aca="false">IF(E219,D219,"")</f>
        <v/>
      </c>
      <c r="G219" s="21" t="n">
        <f aca="false">IF(E219,D219^2,0)</f>
        <v>0</v>
      </c>
      <c r="H219" s="3"/>
    </row>
    <row r="220" customFormat="false" ht="15" hidden="false" customHeight="true" outlineLevel="0" collapsed="false">
      <c r="A220" s="16"/>
      <c r="B220" s="16"/>
      <c r="C220" s="15"/>
      <c r="D220" s="19"/>
      <c r="E220" s="20" t="b">
        <f aca="false">AND(A220&lt;&gt;"",C220&lt;&gt;"",D220&lt;&gt;"",C220&gt;='Read Me'!$B$5)</f>
        <v>0</v>
      </c>
      <c r="F220" s="23" t="str">
        <f aca="false">IF(E220,D220,"")</f>
        <v/>
      </c>
      <c r="G220" s="21" t="n">
        <f aca="false">IF(E220,D220^2,0)</f>
        <v>0</v>
      </c>
      <c r="H220" s="3"/>
    </row>
    <row r="221" customFormat="false" ht="15" hidden="false" customHeight="true" outlineLevel="0" collapsed="false">
      <c r="A221" s="16"/>
      <c r="B221" s="16"/>
      <c r="C221" s="15"/>
      <c r="D221" s="19"/>
      <c r="E221" s="20" t="b">
        <f aca="false">AND(A221&lt;&gt;"",C221&lt;&gt;"",D221&lt;&gt;"",C221&gt;='Read Me'!$B$5)</f>
        <v>0</v>
      </c>
      <c r="F221" s="23" t="str">
        <f aca="false">IF(E221,D221,"")</f>
        <v/>
      </c>
      <c r="G221" s="21" t="n">
        <f aca="false">IF(E221,D221^2,0)</f>
        <v>0</v>
      </c>
      <c r="H221" s="3"/>
    </row>
    <row r="222" customFormat="false" ht="15" hidden="false" customHeight="true" outlineLevel="0" collapsed="false">
      <c r="A222" s="16"/>
      <c r="B222" s="16"/>
      <c r="C222" s="15"/>
      <c r="D222" s="19"/>
      <c r="E222" s="20" t="b">
        <f aca="false">AND(A222&lt;&gt;"",C222&lt;&gt;"",D222&lt;&gt;"",C222&gt;='Read Me'!$B$5)</f>
        <v>0</v>
      </c>
      <c r="F222" s="23" t="str">
        <f aca="false">IF(E222,D222,"")</f>
        <v/>
      </c>
      <c r="G222" s="21" t="n">
        <f aca="false">IF(E222,D222^2,0)</f>
        <v>0</v>
      </c>
      <c r="H222" s="3"/>
    </row>
    <row r="223" customFormat="false" ht="15" hidden="false" customHeight="true" outlineLevel="0" collapsed="false">
      <c r="A223" s="16"/>
      <c r="B223" s="16"/>
      <c r="C223" s="15"/>
      <c r="D223" s="19"/>
      <c r="E223" s="20" t="b">
        <f aca="false">AND(A223&lt;&gt;"",C223&lt;&gt;"",D223&lt;&gt;"",C223&gt;='Read Me'!$B$5)</f>
        <v>0</v>
      </c>
      <c r="F223" s="23" t="str">
        <f aca="false">IF(E223,D223,"")</f>
        <v/>
      </c>
      <c r="G223" s="21" t="n">
        <f aca="false">IF(E223,D223^2,0)</f>
        <v>0</v>
      </c>
      <c r="H223" s="3"/>
    </row>
    <row r="224" customFormat="false" ht="15" hidden="false" customHeight="true" outlineLevel="0" collapsed="false">
      <c r="A224" s="16"/>
      <c r="B224" s="16"/>
      <c r="C224" s="15"/>
      <c r="D224" s="19"/>
      <c r="E224" s="20" t="b">
        <f aca="false">AND(A224&lt;&gt;"",C224&lt;&gt;"",D224&lt;&gt;"",C224&gt;='Read Me'!$B$5)</f>
        <v>0</v>
      </c>
      <c r="F224" s="23" t="str">
        <f aca="false">IF(E224,D224,"")</f>
        <v/>
      </c>
      <c r="G224" s="21" t="n">
        <f aca="false">IF(E224,D224^2,0)</f>
        <v>0</v>
      </c>
      <c r="H224" s="3"/>
    </row>
    <row r="225" customFormat="false" ht="15" hidden="false" customHeight="true" outlineLevel="0" collapsed="false">
      <c r="A225" s="16"/>
      <c r="B225" s="16"/>
      <c r="C225" s="15"/>
      <c r="D225" s="19"/>
      <c r="E225" s="20" t="b">
        <f aca="false">AND(A225&lt;&gt;"",C225&lt;&gt;"",D225&lt;&gt;"",C225&gt;='Read Me'!$B$5)</f>
        <v>0</v>
      </c>
      <c r="F225" s="23" t="str">
        <f aca="false">IF(E225,D225,"")</f>
        <v/>
      </c>
      <c r="G225" s="21" t="n">
        <f aca="false">IF(E225,D225^2,0)</f>
        <v>0</v>
      </c>
      <c r="H225" s="3"/>
    </row>
    <row r="226" customFormat="false" ht="15" hidden="false" customHeight="true" outlineLevel="0" collapsed="false">
      <c r="A226" s="16"/>
      <c r="B226" s="16"/>
      <c r="C226" s="15"/>
      <c r="D226" s="19"/>
      <c r="E226" s="20" t="b">
        <f aca="false">AND(A226&lt;&gt;"",C226&lt;&gt;"",D226&lt;&gt;"",C226&gt;='Read Me'!$B$5)</f>
        <v>0</v>
      </c>
      <c r="F226" s="23" t="str">
        <f aca="false">IF(E226,D226,"")</f>
        <v/>
      </c>
      <c r="G226" s="21" t="n">
        <f aca="false">IF(E226,D226^2,0)</f>
        <v>0</v>
      </c>
      <c r="H226" s="3"/>
    </row>
    <row r="227" customFormat="false" ht="15" hidden="false" customHeight="true" outlineLevel="0" collapsed="false">
      <c r="A227" s="16"/>
      <c r="B227" s="16"/>
      <c r="C227" s="15"/>
      <c r="D227" s="19"/>
      <c r="E227" s="20" t="b">
        <f aca="false">AND(A227&lt;&gt;"",C227&lt;&gt;"",D227&lt;&gt;"",C227&gt;='Read Me'!$B$5)</f>
        <v>0</v>
      </c>
      <c r="F227" s="23" t="str">
        <f aca="false">IF(E227,D227,"")</f>
        <v/>
      </c>
      <c r="G227" s="21" t="n">
        <f aca="false">IF(E227,D227^2,0)</f>
        <v>0</v>
      </c>
      <c r="H227" s="3"/>
    </row>
    <row r="228" customFormat="false" ht="15" hidden="false" customHeight="true" outlineLevel="0" collapsed="false">
      <c r="A228" s="16"/>
      <c r="B228" s="16"/>
      <c r="C228" s="15"/>
      <c r="D228" s="19"/>
      <c r="E228" s="20" t="b">
        <f aca="false">AND(A228&lt;&gt;"",C228&lt;&gt;"",D228&lt;&gt;"",C228&gt;='Read Me'!$B$5)</f>
        <v>0</v>
      </c>
      <c r="F228" s="23" t="str">
        <f aca="false">IF(E228,D228,"")</f>
        <v/>
      </c>
      <c r="G228" s="21" t="n">
        <f aca="false">IF(E228,D228^2,0)</f>
        <v>0</v>
      </c>
      <c r="H228" s="3"/>
    </row>
    <row r="229" customFormat="false" ht="15" hidden="false" customHeight="true" outlineLevel="0" collapsed="false">
      <c r="A229" s="16"/>
      <c r="B229" s="16"/>
      <c r="C229" s="15"/>
      <c r="D229" s="19"/>
      <c r="E229" s="20" t="b">
        <f aca="false">AND(A229&lt;&gt;"",C229&lt;&gt;"",D229&lt;&gt;"",C229&gt;='Read Me'!$B$5)</f>
        <v>0</v>
      </c>
      <c r="F229" s="23" t="str">
        <f aca="false">IF(E229,D229,"")</f>
        <v/>
      </c>
      <c r="G229" s="21" t="n">
        <f aca="false">IF(E229,D229^2,0)</f>
        <v>0</v>
      </c>
      <c r="H229" s="3"/>
    </row>
    <row r="230" customFormat="false" ht="15" hidden="false" customHeight="true" outlineLevel="0" collapsed="false">
      <c r="A230" s="16"/>
      <c r="B230" s="16"/>
      <c r="C230" s="15"/>
      <c r="D230" s="19"/>
      <c r="E230" s="20" t="b">
        <f aca="false">AND(A230&lt;&gt;"",C230&lt;&gt;"",D230&lt;&gt;"",C230&gt;='Read Me'!$B$5)</f>
        <v>0</v>
      </c>
      <c r="F230" s="23" t="str">
        <f aca="false">IF(E230,D230,"")</f>
        <v/>
      </c>
      <c r="G230" s="21" t="n">
        <f aca="false">IF(E230,D230^2,0)</f>
        <v>0</v>
      </c>
      <c r="H230" s="3"/>
    </row>
    <row r="231" customFormat="false" ht="15" hidden="false" customHeight="true" outlineLevel="0" collapsed="false">
      <c r="A231" s="16"/>
      <c r="B231" s="16"/>
      <c r="C231" s="15"/>
      <c r="D231" s="19"/>
      <c r="E231" s="20" t="b">
        <f aca="false">AND(A231&lt;&gt;"",C231&lt;&gt;"",D231&lt;&gt;"",C231&gt;='Read Me'!$B$5)</f>
        <v>0</v>
      </c>
      <c r="F231" s="23" t="str">
        <f aca="false">IF(E231,D231,"")</f>
        <v/>
      </c>
      <c r="G231" s="21" t="n">
        <f aca="false">IF(E231,D231^2,0)</f>
        <v>0</v>
      </c>
      <c r="H231" s="3"/>
    </row>
    <row r="232" customFormat="false" ht="15" hidden="false" customHeight="true" outlineLevel="0" collapsed="false">
      <c r="A232" s="16"/>
      <c r="B232" s="16"/>
      <c r="C232" s="15"/>
      <c r="D232" s="19"/>
      <c r="E232" s="20" t="b">
        <f aca="false">AND(A232&lt;&gt;"",C232&lt;&gt;"",D232&lt;&gt;"",C232&gt;='Read Me'!$B$5)</f>
        <v>0</v>
      </c>
      <c r="F232" s="23" t="str">
        <f aca="false">IF(E232,D232,"")</f>
        <v/>
      </c>
      <c r="G232" s="21" t="n">
        <f aca="false">IF(E232,D232^2,0)</f>
        <v>0</v>
      </c>
      <c r="H232" s="3"/>
    </row>
    <row r="233" customFormat="false" ht="15" hidden="false" customHeight="true" outlineLevel="0" collapsed="false">
      <c r="A233" s="16"/>
      <c r="B233" s="16"/>
      <c r="C233" s="15"/>
      <c r="D233" s="19"/>
      <c r="E233" s="20" t="b">
        <f aca="false">AND(A233&lt;&gt;"",C233&lt;&gt;"",D233&lt;&gt;"",C233&gt;='Read Me'!$B$5)</f>
        <v>0</v>
      </c>
      <c r="F233" s="23" t="str">
        <f aca="false">IF(E233,D233,"")</f>
        <v/>
      </c>
      <c r="G233" s="21" t="n">
        <f aca="false">IF(E233,D233^2,0)</f>
        <v>0</v>
      </c>
      <c r="H233" s="3"/>
    </row>
    <row r="234" customFormat="false" ht="15" hidden="false" customHeight="true" outlineLevel="0" collapsed="false">
      <c r="A234" s="16"/>
      <c r="B234" s="16"/>
      <c r="C234" s="15"/>
      <c r="D234" s="19"/>
      <c r="E234" s="20" t="b">
        <f aca="false">AND(A234&lt;&gt;"",C234&lt;&gt;"",D234&lt;&gt;"",C234&gt;='Read Me'!$B$5)</f>
        <v>0</v>
      </c>
      <c r="F234" s="23" t="str">
        <f aca="false">IF(E234,D234,"")</f>
        <v/>
      </c>
      <c r="G234" s="21" t="n">
        <f aca="false">IF(E234,D234^2,0)</f>
        <v>0</v>
      </c>
      <c r="H234" s="3"/>
    </row>
    <row r="235" customFormat="false" ht="15" hidden="false" customHeight="true" outlineLevel="0" collapsed="false">
      <c r="A235" s="16"/>
      <c r="B235" s="16"/>
      <c r="C235" s="15"/>
      <c r="D235" s="19"/>
      <c r="E235" s="20" t="b">
        <f aca="false">AND(A235&lt;&gt;"",C235&lt;&gt;"",D235&lt;&gt;"",C235&gt;='Read Me'!$B$5)</f>
        <v>0</v>
      </c>
      <c r="F235" s="23" t="str">
        <f aca="false">IF(E235,D235,"")</f>
        <v/>
      </c>
      <c r="G235" s="21" t="n">
        <f aca="false">IF(E235,D235^2,0)</f>
        <v>0</v>
      </c>
      <c r="H235" s="3"/>
    </row>
    <row r="236" customFormat="false" ht="15" hidden="false" customHeight="true" outlineLevel="0" collapsed="false">
      <c r="A236" s="16"/>
      <c r="B236" s="16"/>
      <c r="C236" s="15"/>
      <c r="D236" s="19"/>
      <c r="E236" s="20" t="b">
        <f aca="false">AND(A236&lt;&gt;"",C236&lt;&gt;"",D236&lt;&gt;"",C236&gt;='Read Me'!$B$5)</f>
        <v>0</v>
      </c>
      <c r="F236" s="23" t="str">
        <f aca="false">IF(E236,D236,"")</f>
        <v/>
      </c>
      <c r="G236" s="21" t="n">
        <f aca="false">IF(E236,D236^2,0)</f>
        <v>0</v>
      </c>
      <c r="H236" s="3"/>
    </row>
    <row r="237" customFormat="false" ht="15" hidden="false" customHeight="true" outlineLevel="0" collapsed="false">
      <c r="A237" s="16"/>
      <c r="B237" s="16"/>
      <c r="C237" s="15"/>
      <c r="D237" s="19"/>
      <c r="E237" s="20" t="b">
        <f aca="false">AND(A237&lt;&gt;"",C237&lt;&gt;"",D237&lt;&gt;"",C237&gt;='Read Me'!$B$5)</f>
        <v>0</v>
      </c>
      <c r="F237" s="23" t="str">
        <f aca="false">IF(E237,D237,"")</f>
        <v/>
      </c>
      <c r="G237" s="21" t="n">
        <f aca="false">IF(E237,D237^2,0)</f>
        <v>0</v>
      </c>
      <c r="H237" s="3"/>
    </row>
    <row r="238" customFormat="false" ht="15" hidden="false" customHeight="true" outlineLevel="0" collapsed="false">
      <c r="A238" s="16"/>
      <c r="B238" s="16"/>
      <c r="C238" s="15"/>
      <c r="D238" s="19"/>
      <c r="E238" s="20" t="b">
        <f aca="false">AND(A238&lt;&gt;"",C238&lt;&gt;"",D238&lt;&gt;"",C238&gt;='Read Me'!$B$5)</f>
        <v>0</v>
      </c>
      <c r="F238" s="23" t="str">
        <f aca="false">IF(E238,D238,"")</f>
        <v/>
      </c>
      <c r="G238" s="21" t="n">
        <f aca="false">IF(E238,D238^2,0)</f>
        <v>0</v>
      </c>
      <c r="H238" s="3"/>
    </row>
    <row r="239" customFormat="false" ht="15" hidden="false" customHeight="true" outlineLevel="0" collapsed="false">
      <c r="A239" s="16"/>
      <c r="B239" s="16"/>
      <c r="C239" s="15"/>
      <c r="D239" s="19"/>
      <c r="E239" s="20" t="b">
        <f aca="false">AND(A239&lt;&gt;"",C239&lt;&gt;"",D239&lt;&gt;"",C239&gt;='Read Me'!$B$5)</f>
        <v>0</v>
      </c>
      <c r="F239" s="23" t="str">
        <f aca="false">IF(E239,D239,"")</f>
        <v/>
      </c>
      <c r="G239" s="21" t="n">
        <f aca="false">IF(E239,D239^2,0)</f>
        <v>0</v>
      </c>
      <c r="H239" s="3"/>
    </row>
    <row r="240" customFormat="false" ht="15" hidden="false" customHeight="true" outlineLevel="0" collapsed="false">
      <c r="A240" s="16"/>
      <c r="B240" s="16"/>
      <c r="C240" s="15"/>
      <c r="D240" s="19"/>
      <c r="E240" s="20" t="b">
        <f aca="false">AND(A240&lt;&gt;"",C240&lt;&gt;"",D240&lt;&gt;"",C240&gt;='Read Me'!$B$5)</f>
        <v>0</v>
      </c>
      <c r="F240" s="23" t="str">
        <f aca="false">IF(E240,D240,"")</f>
        <v/>
      </c>
      <c r="G240" s="21" t="n">
        <f aca="false">IF(E240,D240^2,0)</f>
        <v>0</v>
      </c>
      <c r="H240" s="3"/>
    </row>
    <row r="241" customFormat="false" ht="15" hidden="false" customHeight="true" outlineLevel="0" collapsed="false">
      <c r="A241" s="16"/>
      <c r="B241" s="16"/>
      <c r="C241" s="15"/>
      <c r="D241" s="19"/>
      <c r="E241" s="20" t="b">
        <f aca="false">AND(A241&lt;&gt;"",C241&lt;&gt;"",D241&lt;&gt;"",C241&gt;='Read Me'!$B$5)</f>
        <v>0</v>
      </c>
      <c r="F241" s="23" t="str">
        <f aca="false">IF(E241,D241,"")</f>
        <v/>
      </c>
      <c r="G241" s="21" t="n">
        <f aca="false">IF(E241,D241^2,0)</f>
        <v>0</v>
      </c>
      <c r="H241" s="3"/>
    </row>
    <row r="242" customFormat="false" ht="15" hidden="false" customHeight="true" outlineLevel="0" collapsed="false">
      <c r="A242" s="16"/>
      <c r="B242" s="16"/>
      <c r="C242" s="15"/>
      <c r="D242" s="19"/>
      <c r="E242" s="20" t="b">
        <f aca="false">AND(A242&lt;&gt;"",C242&lt;&gt;"",D242&lt;&gt;"",C242&gt;='Read Me'!$B$5)</f>
        <v>0</v>
      </c>
      <c r="F242" s="23" t="str">
        <f aca="false">IF(E242,D242,"")</f>
        <v/>
      </c>
      <c r="G242" s="21" t="n">
        <f aca="false">IF(E242,D242^2,0)</f>
        <v>0</v>
      </c>
      <c r="H242" s="3"/>
    </row>
    <row r="243" customFormat="false" ht="15" hidden="false" customHeight="true" outlineLevel="0" collapsed="false">
      <c r="A243" s="16"/>
      <c r="B243" s="16"/>
      <c r="C243" s="15"/>
      <c r="D243" s="19"/>
      <c r="E243" s="20" t="b">
        <f aca="false">AND(A243&lt;&gt;"",C243&lt;&gt;"",D243&lt;&gt;"",C243&gt;='Read Me'!$B$5)</f>
        <v>0</v>
      </c>
      <c r="F243" s="23" t="str">
        <f aca="false">IF(E243,D243,"")</f>
        <v/>
      </c>
      <c r="G243" s="21" t="n">
        <f aca="false">IF(E243,D243^2,0)</f>
        <v>0</v>
      </c>
      <c r="H243" s="3"/>
    </row>
    <row r="244" customFormat="false" ht="15" hidden="false" customHeight="true" outlineLevel="0" collapsed="false">
      <c r="A244" s="16"/>
      <c r="B244" s="16"/>
      <c r="C244" s="15"/>
      <c r="D244" s="19"/>
      <c r="E244" s="20" t="b">
        <f aca="false">AND(A244&lt;&gt;"",C244&lt;&gt;"",D244&lt;&gt;"",C244&gt;='Read Me'!$B$5)</f>
        <v>0</v>
      </c>
      <c r="F244" s="23" t="str">
        <f aca="false">IF(E244,D244,"")</f>
        <v/>
      </c>
      <c r="G244" s="21" t="n">
        <f aca="false">IF(E244,D244^2,0)</f>
        <v>0</v>
      </c>
      <c r="H244" s="3"/>
    </row>
    <row r="245" customFormat="false" ht="15" hidden="false" customHeight="true" outlineLevel="0" collapsed="false">
      <c r="A245" s="16"/>
      <c r="B245" s="16"/>
      <c r="C245" s="15"/>
      <c r="D245" s="19"/>
      <c r="E245" s="20" t="b">
        <f aca="false">AND(A245&lt;&gt;"",C245&lt;&gt;"",D245&lt;&gt;"",C245&gt;='Read Me'!$B$5)</f>
        <v>0</v>
      </c>
      <c r="F245" s="23" t="str">
        <f aca="false">IF(E245,D245,"")</f>
        <v/>
      </c>
      <c r="G245" s="21" t="n">
        <f aca="false">IF(E245,D245^2,0)</f>
        <v>0</v>
      </c>
      <c r="H245" s="3"/>
    </row>
    <row r="246" customFormat="false" ht="15" hidden="false" customHeight="true" outlineLevel="0" collapsed="false">
      <c r="A246" s="16"/>
      <c r="B246" s="16"/>
      <c r="C246" s="15"/>
      <c r="D246" s="19"/>
      <c r="E246" s="20" t="b">
        <f aca="false">AND(A246&lt;&gt;"",C246&lt;&gt;"",D246&lt;&gt;"",C246&gt;='Read Me'!$B$5)</f>
        <v>0</v>
      </c>
      <c r="F246" s="23" t="str">
        <f aca="false">IF(E246,D246,"")</f>
        <v/>
      </c>
      <c r="G246" s="21" t="n">
        <f aca="false">IF(E246,D246^2,0)</f>
        <v>0</v>
      </c>
      <c r="H246" s="3"/>
    </row>
    <row r="247" customFormat="false" ht="15" hidden="false" customHeight="true" outlineLevel="0" collapsed="false">
      <c r="A247" s="16"/>
      <c r="B247" s="16"/>
      <c r="C247" s="15"/>
      <c r="D247" s="19"/>
      <c r="E247" s="20" t="b">
        <f aca="false">AND(A247&lt;&gt;"",C247&lt;&gt;"",D247&lt;&gt;"",C247&gt;='Read Me'!$B$5)</f>
        <v>0</v>
      </c>
      <c r="F247" s="23" t="str">
        <f aca="false">IF(E247,D247,"")</f>
        <v/>
      </c>
      <c r="G247" s="21" t="n">
        <f aca="false">IF(E247,D247^2,0)</f>
        <v>0</v>
      </c>
      <c r="H247" s="3"/>
    </row>
    <row r="248" customFormat="false" ht="15" hidden="false" customHeight="true" outlineLevel="0" collapsed="false">
      <c r="A248" s="16"/>
      <c r="B248" s="16"/>
      <c r="C248" s="15"/>
      <c r="D248" s="19"/>
      <c r="E248" s="20" t="b">
        <f aca="false">AND(A248&lt;&gt;"",C248&lt;&gt;"",D248&lt;&gt;"",C248&gt;='Read Me'!$B$5)</f>
        <v>0</v>
      </c>
      <c r="F248" s="23" t="str">
        <f aca="false">IF(E248,D248,"")</f>
        <v/>
      </c>
      <c r="G248" s="21" t="n">
        <f aca="false">IF(E248,D248^2,0)</f>
        <v>0</v>
      </c>
      <c r="H248" s="3"/>
    </row>
    <row r="249" customFormat="false" ht="15" hidden="false" customHeight="true" outlineLevel="0" collapsed="false">
      <c r="A249" s="16"/>
      <c r="B249" s="16"/>
      <c r="C249" s="15"/>
      <c r="D249" s="19"/>
      <c r="E249" s="20" t="b">
        <f aca="false">AND(A249&lt;&gt;"",C249&lt;&gt;"",D249&lt;&gt;"",C249&gt;='Read Me'!$B$5)</f>
        <v>0</v>
      </c>
      <c r="F249" s="23" t="str">
        <f aca="false">IF(E249,D249,"")</f>
        <v/>
      </c>
      <c r="G249" s="21" t="n">
        <f aca="false">IF(E249,D249^2,0)</f>
        <v>0</v>
      </c>
      <c r="H249" s="3"/>
    </row>
    <row r="250" customFormat="false" ht="15" hidden="false" customHeight="true" outlineLevel="0" collapsed="false">
      <c r="A250" s="16"/>
      <c r="B250" s="16"/>
      <c r="C250" s="15"/>
      <c r="D250" s="19"/>
      <c r="E250" s="20" t="b">
        <f aca="false">AND(A250&lt;&gt;"",C250&lt;&gt;"",D250&lt;&gt;"",C250&gt;='Read Me'!$B$5)</f>
        <v>0</v>
      </c>
      <c r="F250" s="23" t="str">
        <f aca="false">IF(E250,D250,"")</f>
        <v/>
      </c>
      <c r="G250" s="21" t="n">
        <f aca="false">IF(E250,D250^2,0)</f>
        <v>0</v>
      </c>
      <c r="H250" s="3"/>
    </row>
    <row r="251" customFormat="false" ht="15" hidden="false" customHeight="true" outlineLevel="0" collapsed="false">
      <c r="A251" s="16"/>
      <c r="B251" s="16"/>
      <c r="C251" s="15"/>
      <c r="D251" s="19"/>
      <c r="E251" s="20" t="b">
        <f aca="false">AND(A251&lt;&gt;"",C251&lt;&gt;"",D251&lt;&gt;"",C251&gt;='Read Me'!$B$5)</f>
        <v>0</v>
      </c>
      <c r="F251" s="23" t="str">
        <f aca="false">IF(E251,D251,"")</f>
        <v/>
      </c>
      <c r="G251" s="21" t="n">
        <f aca="false">IF(E251,D251^2,0)</f>
        <v>0</v>
      </c>
      <c r="H251" s="3"/>
    </row>
    <row r="252" customFormat="false" ht="15" hidden="false" customHeight="true" outlineLevel="0" collapsed="false">
      <c r="A252" s="16"/>
      <c r="B252" s="16"/>
      <c r="C252" s="15"/>
      <c r="D252" s="19"/>
      <c r="E252" s="20" t="b">
        <f aca="false">AND(A252&lt;&gt;"",C252&lt;&gt;"",D252&lt;&gt;"",C252&gt;='Read Me'!$B$5)</f>
        <v>0</v>
      </c>
      <c r="F252" s="23" t="str">
        <f aca="false">IF(E252,D252,"")</f>
        <v/>
      </c>
      <c r="G252" s="21" t="n">
        <f aca="false">IF(E252,D252^2,0)</f>
        <v>0</v>
      </c>
      <c r="H252" s="3"/>
    </row>
    <row r="253" customFormat="false" ht="15" hidden="false" customHeight="true" outlineLevel="0" collapsed="false">
      <c r="A253" s="16"/>
      <c r="B253" s="16"/>
      <c r="C253" s="15"/>
      <c r="D253" s="19"/>
      <c r="E253" s="20" t="b">
        <f aca="false">AND(A253&lt;&gt;"",C253&lt;&gt;"",D253&lt;&gt;"",C253&gt;='Read Me'!$B$5)</f>
        <v>0</v>
      </c>
      <c r="F253" s="23" t="str">
        <f aca="false">IF(E253,D253,"")</f>
        <v/>
      </c>
      <c r="G253" s="21" t="n">
        <f aca="false">IF(E253,D253^2,0)</f>
        <v>0</v>
      </c>
      <c r="H253" s="3"/>
    </row>
    <row r="254" customFormat="false" ht="15" hidden="false" customHeight="true" outlineLevel="0" collapsed="false">
      <c r="A254" s="16"/>
      <c r="B254" s="16"/>
      <c r="C254" s="15"/>
      <c r="D254" s="19"/>
      <c r="E254" s="20" t="b">
        <f aca="false">AND(A254&lt;&gt;"",C254&lt;&gt;"",D254&lt;&gt;"",C254&gt;='Read Me'!$B$5)</f>
        <v>0</v>
      </c>
      <c r="F254" s="23" t="str">
        <f aca="false">IF(E254,D254,"")</f>
        <v/>
      </c>
      <c r="G254" s="21" t="n">
        <f aca="false">IF(E254,D254^2,0)</f>
        <v>0</v>
      </c>
      <c r="H254" s="3"/>
    </row>
    <row r="255" customFormat="false" ht="15" hidden="false" customHeight="true" outlineLevel="0" collapsed="false">
      <c r="A255" s="16"/>
      <c r="B255" s="16"/>
      <c r="C255" s="15"/>
      <c r="D255" s="19"/>
      <c r="E255" s="20" t="b">
        <f aca="false">AND(A255&lt;&gt;"",C255&lt;&gt;"",D255&lt;&gt;"",C255&gt;='Read Me'!$B$5)</f>
        <v>0</v>
      </c>
      <c r="F255" s="23" t="str">
        <f aca="false">IF(E255,D255,"")</f>
        <v/>
      </c>
      <c r="G255" s="21" t="n">
        <f aca="false">IF(E255,D255^2,0)</f>
        <v>0</v>
      </c>
      <c r="H255" s="3"/>
    </row>
    <row r="256" customFormat="false" ht="15" hidden="false" customHeight="true" outlineLevel="0" collapsed="false">
      <c r="A256" s="16"/>
      <c r="B256" s="16"/>
      <c r="C256" s="15"/>
      <c r="D256" s="19"/>
      <c r="E256" s="20" t="b">
        <f aca="false">AND(A256&lt;&gt;"",C256&lt;&gt;"",D256&lt;&gt;"",C256&gt;='Read Me'!$B$5)</f>
        <v>0</v>
      </c>
      <c r="F256" s="23" t="str">
        <f aca="false">IF(E256,D256,"")</f>
        <v/>
      </c>
      <c r="G256" s="21" t="n">
        <f aca="false">IF(E256,D256^2,0)</f>
        <v>0</v>
      </c>
      <c r="H256" s="3"/>
    </row>
    <row r="257" customFormat="false" ht="15" hidden="false" customHeight="true" outlineLevel="0" collapsed="false">
      <c r="A257" s="16"/>
      <c r="B257" s="16"/>
      <c r="C257" s="15"/>
      <c r="D257" s="19"/>
      <c r="E257" s="20" t="b">
        <f aca="false">AND(A257&lt;&gt;"",C257&lt;&gt;"",D257&lt;&gt;"",C257&gt;='Read Me'!$B$5)</f>
        <v>0</v>
      </c>
      <c r="F257" s="23" t="str">
        <f aca="false">IF(E257,D257,"")</f>
        <v/>
      </c>
      <c r="G257" s="21" t="n">
        <f aca="false">IF(E257,D257^2,0)</f>
        <v>0</v>
      </c>
      <c r="H257" s="3"/>
    </row>
    <row r="258" customFormat="false" ht="15" hidden="false" customHeight="true" outlineLevel="0" collapsed="false">
      <c r="A258" s="16"/>
      <c r="B258" s="16"/>
      <c r="C258" s="15"/>
      <c r="D258" s="19"/>
      <c r="E258" s="20" t="b">
        <f aca="false">AND(A258&lt;&gt;"",C258&lt;&gt;"",D258&lt;&gt;"",C258&gt;='Read Me'!$B$5)</f>
        <v>0</v>
      </c>
      <c r="F258" s="23" t="str">
        <f aca="false">IF(E258,D258,"")</f>
        <v/>
      </c>
      <c r="G258" s="21" t="n">
        <f aca="false">IF(E258,D258^2,0)</f>
        <v>0</v>
      </c>
      <c r="H258" s="3"/>
    </row>
    <row r="259" customFormat="false" ht="15" hidden="false" customHeight="true" outlineLevel="0" collapsed="false">
      <c r="A259" s="16"/>
      <c r="B259" s="16"/>
      <c r="C259" s="15"/>
      <c r="D259" s="19"/>
      <c r="E259" s="20" t="b">
        <f aca="false">AND(A259&lt;&gt;"",C259&lt;&gt;"",D259&lt;&gt;"",C259&gt;='Read Me'!$B$5)</f>
        <v>0</v>
      </c>
      <c r="F259" s="23" t="str">
        <f aca="false">IF(E259,D259,"")</f>
        <v/>
      </c>
      <c r="G259" s="21" t="n">
        <f aca="false">IF(E259,D259^2,0)</f>
        <v>0</v>
      </c>
      <c r="H259" s="3"/>
    </row>
    <row r="260" customFormat="false" ht="15" hidden="false" customHeight="true" outlineLevel="0" collapsed="false">
      <c r="A260" s="16"/>
      <c r="B260" s="16"/>
      <c r="C260" s="15"/>
      <c r="D260" s="19"/>
      <c r="E260" s="20" t="b">
        <f aca="false">AND(A260&lt;&gt;"",C260&lt;&gt;"",D260&lt;&gt;"",C260&gt;='Read Me'!$B$5)</f>
        <v>0</v>
      </c>
      <c r="F260" s="23" t="str">
        <f aca="false">IF(E260,D260,"")</f>
        <v/>
      </c>
      <c r="G260" s="21" t="n">
        <f aca="false">IF(E260,D260^2,0)</f>
        <v>0</v>
      </c>
      <c r="H260" s="3"/>
    </row>
    <row r="261" customFormat="false" ht="15" hidden="false" customHeight="true" outlineLevel="0" collapsed="false">
      <c r="A261" s="16"/>
      <c r="B261" s="16"/>
      <c r="C261" s="15"/>
      <c r="D261" s="19"/>
      <c r="E261" s="20" t="b">
        <f aca="false">AND(A261&lt;&gt;"",C261&lt;&gt;"",D261&lt;&gt;"",C261&gt;='Read Me'!$B$5)</f>
        <v>0</v>
      </c>
      <c r="F261" s="23" t="str">
        <f aca="false">IF(E261,D261,"")</f>
        <v/>
      </c>
      <c r="G261" s="21" t="n">
        <f aca="false">IF(E261,D261^2,0)</f>
        <v>0</v>
      </c>
      <c r="H261" s="3"/>
    </row>
    <row r="262" customFormat="false" ht="15" hidden="false" customHeight="true" outlineLevel="0" collapsed="false">
      <c r="A262" s="16"/>
      <c r="B262" s="16"/>
      <c r="C262" s="15"/>
      <c r="D262" s="19"/>
      <c r="E262" s="20" t="b">
        <f aca="false">AND(A262&lt;&gt;"",C262&lt;&gt;"",D262&lt;&gt;"",C262&gt;='Read Me'!$B$5)</f>
        <v>0</v>
      </c>
      <c r="F262" s="23" t="str">
        <f aca="false">IF(E262,D262,"")</f>
        <v/>
      </c>
      <c r="G262" s="21" t="n">
        <f aca="false">IF(E262,D262^2,0)</f>
        <v>0</v>
      </c>
      <c r="H262" s="3"/>
    </row>
    <row r="263" customFormat="false" ht="15" hidden="false" customHeight="true" outlineLevel="0" collapsed="false">
      <c r="A263" s="16"/>
      <c r="B263" s="16"/>
      <c r="C263" s="15"/>
      <c r="D263" s="19"/>
      <c r="E263" s="20" t="b">
        <f aca="false">AND(A263&lt;&gt;"",C263&lt;&gt;"",D263&lt;&gt;"",C263&gt;='Read Me'!$B$5)</f>
        <v>0</v>
      </c>
      <c r="F263" s="23" t="str">
        <f aca="false">IF(E263,D263,"")</f>
        <v/>
      </c>
      <c r="G263" s="21" t="n">
        <f aca="false">IF(E263,D263^2,0)</f>
        <v>0</v>
      </c>
      <c r="H263" s="3"/>
    </row>
    <row r="264" customFormat="false" ht="15" hidden="false" customHeight="true" outlineLevel="0" collapsed="false">
      <c r="A264" s="16"/>
      <c r="B264" s="16"/>
      <c r="C264" s="15"/>
      <c r="D264" s="19"/>
      <c r="E264" s="20" t="b">
        <f aca="false">AND(A264&lt;&gt;"",C264&lt;&gt;"",D264&lt;&gt;"",C264&gt;='Read Me'!$B$5)</f>
        <v>0</v>
      </c>
      <c r="F264" s="23" t="str">
        <f aca="false">IF(E264,D264,"")</f>
        <v/>
      </c>
      <c r="G264" s="21" t="n">
        <f aca="false">IF(E264,D264^2,0)</f>
        <v>0</v>
      </c>
      <c r="H264" s="3"/>
    </row>
    <row r="265" customFormat="false" ht="15" hidden="false" customHeight="true" outlineLevel="0" collapsed="false">
      <c r="A265" s="16"/>
      <c r="B265" s="16"/>
      <c r="C265" s="15"/>
      <c r="D265" s="19"/>
      <c r="E265" s="20" t="b">
        <f aca="false">AND(A265&lt;&gt;"",C265&lt;&gt;"",D265&lt;&gt;"",C265&gt;='Read Me'!$B$5)</f>
        <v>0</v>
      </c>
      <c r="F265" s="23" t="str">
        <f aca="false">IF(E265,D265,"")</f>
        <v/>
      </c>
      <c r="G265" s="21" t="n">
        <f aca="false">IF(E265,D265^2,0)</f>
        <v>0</v>
      </c>
      <c r="H265" s="3"/>
    </row>
    <row r="266" customFormat="false" ht="15" hidden="false" customHeight="true" outlineLevel="0" collapsed="false">
      <c r="A266" s="16"/>
      <c r="B266" s="16"/>
      <c r="C266" s="15"/>
      <c r="D266" s="19"/>
      <c r="E266" s="20" t="b">
        <f aca="false">AND(A266&lt;&gt;"",C266&lt;&gt;"",D266&lt;&gt;"",C266&gt;='Read Me'!$B$5)</f>
        <v>0</v>
      </c>
      <c r="F266" s="23" t="str">
        <f aca="false">IF(E266,D266,"")</f>
        <v/>
      </c>
      <c r="G266" s="21" t="n">
        <f aca="false">IF(E266,D266^2,0)</f>
        <v>0</v>
      </c>
      <c r="H266" s="3"/>
    </row>
    <row r="267" customFormat="false" ht="15" hidden="false" customHeight="true" outlineLevel="0" collapsed="false">
      <c r="A267" s="16"/>
      <c r="B267" s="16"/>
      <c r="C267" s="15"/>
      <c r="D267" s="19"/>
      <c r="E267" s="20" t="b">
        <f aca="false">AND(A267&lt;&gt;"",C267&lt;&gt;"",D267&lt;&gt;"",C267&gt;='Read Me'!$B$5)</f>
        <v>0</v>
      </c>
      <c r="F267" s="23" t="str">
        <f aca="false">IF(E267,D267,"")</f>
        <v/>
      </c>
      <c r="G267" s="21" t="n">
        <f aca="false">IF(E267,D267^2,0)</f>
        <v>0</v>
      </c>
      <c r="H267" s="3"/>
    </row>
    <row r="268" customFormat="false" ht="15" hidden="false" customHeight="true" outlineLevel="0" collapsed="false">
      <c r="A268" s="16"/>
      <c r="B268" s="16"/>
      <c r="C268" s="15"/>
      <c r="D268" s="19"/>
      <c r="E268" s="20" t="b">
        <f aca="false">AND(A268&lt;&gt;"",C268&lt;&gt;"",D268&lt;&gt;"",C268&gt;='Read Me'!$B$5)</f>
        <v>0</v>
      </c>
      <c r="F268" s="23" t="str">
        <f aca="false">IF(E268,D268,"")</f>
        <v/>
      </c>
      <c r="G268" s="21" t="n">
        <f aca="false">IF(E268,D268^2,0)</f>
        <v>0</v>
      </c>
      <c r="H268" s="3"/>
    </row>
    <row r="269" customFormat="false" ht="15" hidden="false" customHeight="true" outlineLevel="0" collapsed="false">
      <c r="A269" s="16"/>
      <c r="B269" s="16"/>
      <c r="C269" s="15"/>
      <c r="D269" s="19"/>
      <c r="E269" s="20" t="b">
        <f aca="false">AND(A269&lt;&gt;"",C269&lt;&gt;"",D269&lt;&gt;"",C269&gt;='Read Me'!$B$5)</f>
        <v>0</v>
      </c>
      <c r="F269" s="23" t="str">
        <f aca="false">IF(E269,D269,"")</f>
        <v/>
      </c>
      <c r="G269" s="21" t="n">
        <f aca="false">IF(E269,D269^2,0)</f>
        <v>0</v>
      </c>
      <c r="H269" s="3"/>
    </row>
    <row r="270" customFormat="false" ht="15" hidden="false" customHeight="true" outlineLevel="0" collapsed="false">
      <c r="A270" s="16"/>
      <c r="B270" s="16"/>
      <c r="C270" s="15"/>
      <c r="D270" s="19"/>
      <c r="E270" s="20" t="b">
        <f aca="false">AND(A270&lt;&gt;"",C270&lt;&gt;"",D270&lt;&gt;"",C270&gt;='Read Me'!$B$5)</f>
        <v>0</v>
      </c>
      <c r="F270" s="23" t="str">
        <f aca="false">IF(E270,D270,"")</f>
        <v/>
      </c>
      <c r="G270" s="21" t="n">
        <f aca="false">IF(E270,D270^2,0)</f>
        <v>0</v>
      </c>
      <c r="H270" s="3"/>
    </row>
    <row r="271" customFormat="false" ht="15" hidden="false" customHeight="true" outlineLevel="0" collapsed="false">
      <c r="A271" s="16"/>
      <c r="B271" s="16"/>
      <c r="C271" s="15"/>
      <c r="D271" s="19"/>
      <c r="E271" s="20" t="b">
        <f aca="false">AND(A271&lt;&gt;"",C271&lt;&gt;"",D271&lt;&gt;"",C271&gt;='Read Me'!$B$5)</f>
        <v>0</v>
      </c>
      <c r="F271" s="23" t="str">
        <f aca="false">IF(E271,D271,"")</f>
        <v/>
      </c>
      <c r="G271" s="21" t="n">
        <f aca="false">IF(E271,D271^2,0)</f>
        <v>0</v>
      </c>
      <c r="H271" s="3"/>
    </row>
    <row r="272" customFormat="false" ht="15" hidden="false" customHeight="true" outlineLevel="0" collapsed="false">
      <c r="A272" s="16"/>
      <c r="B272" s="16"/>
      <c r="C272" s="15"/>
      <c r="D272" s="19"/>
      <c r="E272" s="20" t="b">
        <f aca="false">AND(A272&lt;&gt;"",C272&lt;&gt;"",D272&lt;&gt;"",C272&gt;='Read Me'!$B$5)</f>
        <v>0</v>
      </c>
      <c r="F272" s="23" t="str">
        <f aca="false">IF(E272,D272,"")</f>
        <v/>
      </c>
      <c r="G272" s="21" t="n">
        <f aca="false">IF(E272,D272^2,0)</f>
        <v>0</v>
      </c>
      <c r="H272" s="3"/>
    </row>
    <row r="273" customFormat="false" ht="15" hidden="false" customHeight="true" outlineLevel="0" collapsed="false">
      <c r="A273" s="16"/>
      <c r="B273" s="16"/>
      <c r="C273" s="15"/>
      <c r="D273" s="19"/>
      <c r="E273" s="20" t="b">
        <f aca="false">AND(A273&lt;&gt;"",C273&lt;&gt;"",D273&lt;&gt;"",C273&gt;='Read Me'!$B$5)</f>
        <v>0</v>
      </c>
      <c r="F273" s="23" t="str">
        <f aca="false">IF(E273,D273,"")</f>
        <v/>
      </c>
      <c r="G273" s="21" t="n">
        <f aca="false">IF(E273,D273^2,0)</f>
        <v>0</v>
      </c>
      <c r="H273" s="3"/>
    </row>
    <row r="274" customFormat="false" ht="15" hidden="false" customHeight="true" outlineLevel="0" collapsed="false">
      <c r="A274" s="16"/>
      <c r="B274" s="16"/>
      <c r="C274" s="15"/>
      <c r="D274" s="19"/>
      <c r="E274" s="20" t="b">
        <f aca="false">AND(A274&lt;&gt;"",C274&lt;&gt;"",D274&lt;&gt;"",C274&gt;='Read Me'!$B$5)</f>
        <v>0</v>
      </c>
      <c r="F274" s="23" t="str">
        <f aca="false">IF(E274,D274,"")</f>
        <v/>
      </c>
      <c r="G274" s="21" t="n">
        <f aca="false">IF(E274,D274^2,0)</f>
        <v>0</v>
      </c>
      <c r="H274" s="3"/>
    </row>
    <row r="275" customFormat="false" ht="15" hidden="false" customHeight="true" outlineLevel="0" collapsed="false">
      <c r="A275" s="16"/>
      <c r="B275" s="16"/>
      <c r="C275" s="15"/>
      <c r="D275" s="19"/>
      <c r="E275" s="20" t="b">
        <f aca="false">AND(A275&lt;&gt;"",C275&lt;&gt;"",D275&lt;&gt;"",C275&gt;='Read Me'!$B$5)</f>
        <v>0</v>
      </c>
      <c r="F275" s="23" t="str">
        <f aca="false">IF(E275,D275,"")</f>
        <v/>
      </c>
      <c r="G275" s="21" t="n">
        <f aca="false">IF(E275,D275^2,0)</f>
        <v>0</v>
      </c>
      <c r="H275" s="3"/>
    </row>
    <row r="276" customFormat="false" ht="15" hidden="false" customHeight="true" outlineLevel="0" collapsed="false">
      <c r="A276" s="16"/>
      <c r="B276" s="16"/>
      <c r="C276" s="15"/>
      <c r="D276" s="19"/>
      <c r="E276" s="20" t="b">
        <f aca="false">AND(A276&lt;&gt;"",C276&lt;&gt;"",D276&lt;&gt;"",C276&gt;='Read Me'!$B$5)</f>
        <v>0</v>
      </c>
      <c r="F276" s="23" t="str">
        <f aca="false">IF(E276,D276,"")</f>
        <v/>
      </c>
      <c r="G276" s="21" t="n">
        <f aca="false">IF(E276,D276^2,0)</f>
        <v>0</v>
      </c>
      <c r="H276" s="3"/>
    </row>
    <row r="277" customFormat="false" ht="15" hidden="false" customHeight="true" outlineLevel="0" collapsed="false">
      <c r="A277" s="16"/>
      <c r="B277" s="16"/>
      <c r="C277" s="15"/>
      <c r="D277" s="19"/>
      <c r="E277" s="20" t="b">
        <f aca="false">AND(A277&lt;&gt;"",C277&lt;&gt;"",D277&lt;&gt;"",C277&gt;='Read Me'!$B$5)</f>
        <v>0</v>
      </c>
      <c r="F277" s="23" t="str">
        <f aca="false">IF(E277,D277,"")</f>
        <v/>
      </c>
      <c r="G277" s="21" t="n">
        <f aca="false">IF(E277,D277^2,0)</f>
        <v>0</v>
      </c>
      <c r="H277" s="3"/>
    </row>
    <row r="278" customFormat="false" ht="15" hidden="false" customHeight="true" outlineLevel="0" collapsed="false">
      <c r="A278" s="16"/>
      <c r="B278" s="16"/>
      <c r="C278" s="15"/>
      <c r="D278" s="19"/>
      <c r="E278" s="20" t="b">
        <f aca="false">AND(A278&lt;&gt;"",C278&lt;&gt;"",D278&lt;&gt;"",C278&gt;='Read Me'!$B$5)</f>
        <v>0</v>
      </c>
      <c r="F278" s="23" t="str">
        <f aca="false">IF(E278,D278,"")</f>
        <v/>
      </c>
      <c r="G278" s="21" t="n">
        <f aca="false">IF(E278,D278^2,0)</f>
        <v>0</v>
      </c>
      <c r="H278" s="3"/>
    </row>
    <row r="279" customFormat="false" ht="15" hidden="false" customHeight="true" outlineLevel="0" collapsed="false">
      <c r="A279" s="16"/>
      <c r="B279" s="16"/>
      <c r="C279" s="15"/>
      <c r="D279" s="19"/>
      <c r="E279" s="20" t="b">
        <f aca="false">AND(A279&lt;&gt;"",C279&lt;&gt;"",D279&lt;&gt;"",C279&gt;='Read Me'!$B$5)</f>
        <v>0</v>
      </c>
      <c r="F279" s="23" t="str">
        <f aca="false">IF(E279,D279,"")</f>
        <v/>
      </c>
      <c r="G279" s="21" t="n">
        <f aca="false">IF(E279,D279^2,0)</f>
        <v>0</v>
      </c>
      <c r="H279" s="3"/>
    </row>
    <row r="280" customFormat="false" ht="15" hidden="false" customHeight="true" outlineLevel="0" collapsed="false">
      <c r="A280" s="16"/>
      <c r="B280" s="16"/>
      <c r="C280" s="15"/>
      <c r="D280" s="19"/>
      <c r="E280" s="20" t="b">
        <f aca="false">AND(A280&lt;&gt;"",C280&lt;&gt;"",D280&lt;&gt;"",C280&gt;='Read Me'!$B$5)</f>
        <v>0</v>
      </c>
      <c r="F280" s="23" t="str">
        <f aca="false">IF(E280,D280,"")</f>
        <v/>
      </c>
      <c r="G280" s="21" t="n">
        <f aca="false">IF(E280,D280^2,0)</f>
        <v>0</v>
      </c>
      <c r="H280" s="3"/>
    </row>
    <row r="281" customFormat="false" ht="15" hidden="false" customHeight="true" outlineLevel="0" collapsed="false">
      <c r="A281" s="16"/>
      <c r="B281" s="16"/>
      <c r="C281" s="15"/>
      <c r="D281" s="19"/>
      <c r="E281" s="20" t="b">
        <f aca="false">AND(A281&lt;&gt;"",C281&lt;&gt;"",D281&lt;&gt;"",C281&gt;='Read Me'!$B$5)</f>
        <v>0</v>
      </c>
      <c r="F281" s="23" t="str">
        <f aca="false">IF(E281,D281,"")</f>
        <v/>
      </c>
      <c r="G281" s="21" t="n">
        <f aca="false">IF(E281,D281^2,0)</f>
        <v>0</v>
      </c>
      <c r="H281" s="3"/>
    </row>
    <row r="282" customFormat="false" ht="15" hidden="false" customHeight="true" outlineLevel="0" collapsed="false">
      <c r="A282" s="16"/>
      <c r="B282" s="16"/>
      <c r="C282" s="15"/>
      <c r="D282" s="19"/>
      <c r="E282" s="20" t="b">
        <f aca="false">AND(A282&lt;&gt;"",C282&lt;&gt;"",D282&lt;&gt;"",C282&gt;='Read Me'!$B$5)</f>
        <v>0</v>
      </c>
      <c r="F282" s="23" t="str">
        <f aca="false">IF(E282,D282,"")</f>
        <v/>
      </c>
      <c r="G282" s="21" t="n">
        <f aca="false">IF(E282,D282^2,0)</f>
        <v>0</v>
      </c>
      <c r="H282" s="3"/>
    </row>
    <row r="283" customFormat="false" ht="15" hidden="false" customHeight="true" outlineLevel="0" collapsed="false">
      <c r="A283" s="16"/>
      <c r="B283" s="16"/>
      <c r="C283" s="15"/>
      <c r="D283" s="19"/>
      <c r="E283" s="20" t="b">
        <f aca="false">AND(A283&lt;&gt;"",C283&lt;&gt;"",D283&lt;&gt;"",C283&gt;='Read Me'!$B$5)</f>
        <v>0</v>
      </c>
      <c r="F283" s="23" t="str">
        <f aca="false">IF(E283,D283,"")</f>
        <v/>
      </c>
      <c r="G283" s="21" t="n">
        <f aca="false">IF(E283,D283^2,0)</f>
        <v>0</v>
      </c>
      <c r="H283" s="3"/>
    </row>
    <row r="284" customFormat="false" ht="15" hidden="false" customHeight="true" outlineLevel="0" collapsed="false">
      <c r="A284" s="16"/>
      <c r="B284" s="16"/>
      <c r="C284" s="15"/>
      <c r="D284" s="19"/>
      <c r="E284" s="20" t="b">
        <f aca="false">AND(A284&lt;&gt;"",C284&lt;&gt;"",D284&lt;&gt;"",C284&gt;='Read Me'!$B$5)</f>
        <v>0</v>
      </c>
      <c r="F284" s="23" t="str">
        <f aca="false">IF(E284,D284,"")</f>
        <v/>
      </c>
      <c r="G284" s="21" t="n">
        <f aca="false">IF(E284,D284^2,0)</f>
        <v>0</v>
      </c>
      <c r="H284" s="3"/>
    </row>
    <row r="285" customFormat="false" ht="15" hidden="false" customHeight="true" outlineLevel="0" collapsed="false">
      <c r="A285" s="16"/>
      <c r="B285" s="16"/>
      <c r="C285" s="15"/>
      <c r="D285" s="19"/>
      <c r="E285" s="20" t="b">
        <f aca="false">AND(A285&lt;&gt;"",C285&lt;&gt;"",D285&lt;&gt;"",C285&gt;='Read Me'!$B$5)</f>
        <v>0</v>
      </c>
      <c r="F285" s="23" t="str">
        <f aca="false">IF(E285,D285,"")</f>
        <v/>
      </c>
      <c r="G285" s="21" t="n">
        <f aca="false">IF(E285,D285^2,0)</f>
        <v>0</v>
      </c>
      <c r="H285" s="3"/>
    </row>
    <row r="286" customFormat="false" ht="15" hidden="false" customHeight="true" outlineLevel="0" collapsed="false">
      <c r="A286" s="16"/>
      <c r="B286" s="16"/>
      <c r="C286" s="15"/>
      <c r="D286" s="19"/>
      <c r="E286" s="20" t="b">
        <f aca="false">AND(A286&lt;&gt;"",C286&lt;&gt;"",D286&lt;&gt;"",C286&gt;='Read Me'!$B$5)</f>
        <v>0</v>
      </c>
      <c r="F286" s="23" t="str">
        <f aca="false">IF(E286,D286,"")</f>
        <v/>
      </c>
      <c r="G286" s="21" t="n">
        <f aca="false">IF(E286,D286^2,0)</f>
        <v>0</v>
      </c>
      <c r="H286" s="3"/>
    </row>
    <row r="287" customFormat="false" ht="15" hidden="false" customHeight="true" outlineLevel="0" collapsed="false">
      <c r="A287" s="16"/>
      <c r="B287" s="16"/>
      <c r="C287" s="15"/>
      <c r="D287" s="19"/>
      <c r="E287" s="20" t="b">
        <f aca="false">AND(A287&lt;&gt;"",C287&lt;&gt;"",D287&lt;&gt;"",C287&gt;='Read Me'!$B$5)</f>
        <v>0</v>
      </c>
      <c r="F287" s="23" t="str">
        <f aca="false">IF(E287,D287,"")</f>
        <v/>
      </c>
      <c r="G287" s="21" t="n">
        <f aca="false">IF(E287,D287^2,0)</f>
        <v>0</v>
      </c>
      <c r="H287" s="3"/>
    </row>
    <row r="288" customFormat="false" ht="15" hidden="false" customHeight="true" outlineLevel="0" collapsed="false">
      <c r="A288" s="16"/>
      <c r="B288" s="16"/>
      <c r="C288" s="15"/>
      <c r="D288" s="19"/>
      <c r="E288" s="20" t="b">
        <f aca="false">AND(A288&lt;&gt;"",C288&lt;&gt;"",D288&lt;&gt;"",C288&gt;='Read Me'!$B$5)</f>
        <v>0</v>
      </c>
      <c r="F288" s="23" t="str">
        <f aca="false">IF(E288,D288,"")</f>
        <v/>
      </c>
      <c r="G288" s="21" t="n">
        <f aca="false">IF(E288,D288^2,0)</f>
        <v>0</v>
      </c>
      <c r="H288" s="3"/>
    </row>
    <row r="289" customFormat="false" ht="15" hidden="false" customHeight="true" outlineLevel="0" collapsed="false">
      <c r="A289" s="16"/>
      <c r="B289" s="16"/>
      <c r="C289" s="15"/>
      <c r="D289" s="19"/>
      <c r="E289" s="20" t="b">
        <f aca="false">AND(A289&lt;&gt;"",C289&lt;&gt;"",D289&lt;&gt;"",C289&gt;='Read Me'!$B$5)</f>
        <v>0</v>
      </c>
      <c r="F289" s="23" t="str">
        <f aca="false">IF(E289,D289,"")</f>
        <v/>
      </c>
      <c r="G289" s="21" t="n">
        <f aca="false">IF(E289,D289^2,0)</f>
        <v>0</v>
      </c>
      <c r="H289" s="3"/>
    </row>
    <row r="290" customFormat="false" ht="15" hidden="false" customHeight="true" outlineLevel="0" collapsed="false">
      <c r="A290" s="16"/>
      <c r="B290" s="16"/>
      <c r="C290" s="15"/>
      <c r="D290" s="19"/>
      <c r="E290" s="20" t="b">
        <f aca="false">AND(A290&lt;&gt;"",C290&lt;&gt;"",D290&lt;&gt;"",C290&gt;='Read Me'!$B$5)</f>
        <v>0</v>
      </c>
      <c r="F290" s="23" t="str">
        <f aca="false">IF(E290,D290,"")</f>
        <v/>
      </c>
      <c r="G290" s="21" t="n">
        <f aca="false">IF(E290,D290^2,0)</f>
        <v>0</v>
      </c>
      <c r="H290" s="3"/>
    </row>
    <row r="291" customFormat="false" ht="15" hidden="false" customHeight="true" outlineLevel="0" collapsed="false">
      <c r="A291" s="16"/>
      <c r="B291" s="16"/>
      <c r="C291" s="15"/>
      <c r="D291" s="19"/>
      <c r="E291" s="20" t="b">
        <f aca="false">AND(A291&lt;&gt;"",C291&lt;&gt;"",D291&lt;&gt;"",C291&gt;='Read Me'!$B$5)</f>
        <v>0</v>
      </c>
      <c r="F291" s="23" t="str">
        <f aca="false">IF(E291,D291,"")</f>
        <v/>
      </c>
      <c r="G291" s="21" t="n">
        <f aca="false">IF(E291,D291^2,0)</f>
        <v>0</v>
      </c>
      <c r="H291" s="3"/>
    </row>
    <row r="292" customFormat="false" ht="15" hidden="false" customHeight="true" outlineLevel="0" collapsed="false">
      <c r="A292" s="16"/>
      <c r="B292" s="16"/>
      <c r="C292" s="15"/>
      <c r="D292" s="19"/>
      <c r="E292" s="20" t="b">
        <f aca="false">AND(A292&lt;&gt;"",C292&lt;&gt;"",D292&lt;&gt;"",C292&gt;='Read Me'!$B$5)</f>
        <v>0</v>
      </c>
      <c r="F292" s="23" t="str">
        <f aca="false">IF(E292,D292,"")</f>
        <v/>
      </c>
      <c r="G292" s="21" t="n">
        <f aca="false">IF(E292,D292^2,0)</f>
        <v>0</v>
      </c>
      <c r="H292" s="3"/>
    </row>
    <row r="293" customFormat="false" ht="15" hidden="false" customHeight="true" outlineLevel="0" collapsed="false">
      <c r="A293" s="16"/>
      <c r="B293" s="16"/>
      <c r="C293" s="15"/>
      <c r="D293" s="19"/>
      <c r="E293" s="20" t="b">
        <f aca="false">AND(A293&lt;&gt;"",C293&lt;&gt;"",D293&lt;&gt;"",C293&gt;='Read Me'!$B$5)</f>
        <v>0</v>
      </c>
      <c r="F293" s="23" t="str">
        <f aca="false">IF(E293,D293,"")</f>
        <v/>
      </c>
      <c r="G293" s="21" t="n">
        <f aca="false">IF(E293,D293^2,0)</f>
        <v>0</v>
      </c>
      <c r="H293" s="3"/>
    </row>
    <row r="294" customFormat="false" ht="15" hidden="false" customHeight="true" outlineLevel="0" collapsed="false">
      <c r="A294" s="16"/>
      <c r="B294" s="16"/>
      <c r="C294" s="15"/>
      <c r="D294" s="19"/>
      <c r="E294" s="20" t="b">
        <f aca="false">AND(A294&lt;&gt;"",C294&lt;&gt;"",D294&lt;&gt;"",C294&gt;='Read Me'!$B$5)</f>
        <v>0</v>
      </c>
      <c r="F294" s="23" t="str">
        <f aca="false">IF(E294,D294,"")</f>
        <v/>
      </c>
      <c r="G294" s="21" t="n">
        <f aca="false">IF(E294,D294^2,0)</f>
        <v>0</v>
      </c>
      <c r="H294" s="3"/>
    </row>
    <row r="295" customFormat="false" ht="15" hidden="false" customHeight="true" outlineLevel="0" collapsed="false">
      <c r="A295" s="16"/>
      <c r="B295" s="16"/>
      <c r="C295" s="15"/>
      <c r="D295" s="19"/>
      <c r="E295" s="20" t="b">
        <f aca="false">AND(A295&lt;&gt;"",C295&lt;&gt;"",D295&lt;&gt;"",C295&gt;='Read Me'!$B$5)</f>
        <v>0</v>
      </c>
      <c r="F295" s="23" t="str">
        <f aca="false">IF(E295,D295,"")</f>
        <v/>
      </c>
      <c r="G295" s="21" t="n">
        <f aca="false">IF(E295,D295^2,0)</f>
        <v>0</v>
      </c>
      <c r="H295" s="3"/>
    </row>
    <row r="296" customFormat="false" ht="15" hidden="false" customHeight="true" outlineLevel="0" collapsed="false">
      <c r="A296" s="16"/>
      <c r="B296" s="16"/>
      <c r="C296" s="15"/>
      <c r="D296" s="19"/>
      <c r="E296" s="20" t="b">
        <f aca="false">AND(A296&lt;&gt;"",C296&lt;&gt;"",D296&lt;&gt;"",C296&gt;='Read Me'!$B$5)</f>
        <v>0</v>
      </c>
      <c r="F296" s="23" t="str">
        <f aca="false">IF(E296,D296,"")</f>
        <v/>
      </c>
      <c r="G296" s="21" t="n">
        <f aca="false">IF(E296,D296^2,0)</f>
        <v>0</v>
      </c>
      <c r="H296" s="3"/>
    </row>
    <row r="297" customFormat="false" ht="15" hidden="false" customHeight="true" outlineLevel="0" collapsed="false">
      <c r="A297" s="16"/>
      <c r="B297" s="16"/>
      <c r="C297" s="15"/>
      <c r="D297" s="19"/>
      <c r="E297" s="20" t="b">
        <f aca="false">AND(A297&lt;&gt;"",C297&lt;&gt;"",D297&lt;&gt;"",C297&gt;='Read Me'!$B$5)</f>
        <v>0</v>
      </c>
      <c r="F297" s="23" t="str">
        <f aca="false">IF(E297,D297,"")</f>
        <v/>
      </c>
      <c r="G297" s="21" t="n">
        <f aca="false">IF(E297,D297^2,0)</f>
        <v>0</v>
      </c>
      <c r="H297" s="3"/>
    </row>
    <row r="298" customFormat="false" ht="15" hidden="false" customHeight="true" outlineLevel="0" collapsed="false">
      <c r="A298" s="16"/>
      <c r="B298" s="16"/>
      <c r="C298" s="15"/>
      <c r="D298" s="19"/>
      <c r="E298" s="20" t="b">
        <f aca="false">AND(A298&lt;&gt;"",C298&lt;&gt;"",D298&lt;&gt;"",C298&gt;='Read Me'!$B$5)</f>
        <v>0</v>
      </c>
      <c r="F298" s="23" t="str">
        <f aca="false">IF(E298,D298,"")</f>
        <v/>
      </c>
      <c r="G298" s="21" t="n">
        <f aca="false">IF(E298,D298^2,0)</f>
        <v>0</v>
      </c>
      <c r="H298" s="3"/>
    </row>
    <row r="299" customFormat="false" ht="15" hidden="false" customHeight="true" outlineLevel="0" collapsed="false">
      <c r="A299" s="16"/>
      <c r="B299" s="16"/>
      <c r="C299" s="15"/>
      <c r="D299" s="19"/>
      <c r="E299" s="20" t="b">
        <f aca="false">AND(A299&lt;&gt;"",C299&lt;&gt;"",D299&lt;&gt;"",C299&gt;='Read Me'!$B$5)</f>
        <v>0</v>
      </c>
      <c r="F299" s="23" t="str">
        <f aca="false">IF(E299,D299,"")</f>
        <v/>
      </c>
      <c r="G299" s="21" t="n">
        <f aca="false">IF(E299,D299^2,0)</f>
        <v>0</v>
      </c>
      <c r="H299" s="3"/>
    </row>
    <row r="300" customFormat="false" ht="15" hidden="false" customHeight="true" outlineLevel="0" collapsed="false">
      <c r="A300" s="16"/>
      <c r="B300" s="16"/>
      <c r="C300" s="15"/>
      <c r="D300" s="19"/>
      <c r="E300" s="20" t="b">
        <f aca="false">AND(A300&lt;&gt;"",C300&lt;&gt;"",D300&lt;&gt;"",C300&gt;='Read Me'!$B$5)</f>
        <v>0</v>
      </c>
      <c r="F300" s="23" t="str">
        <f aca="false">IF(E300,D300,"")</f>
        <v/>
      </c>
      <c r="G300" s="21" t="n">
        <f aca="false">IF(E300,D300^2,0)</f>
        <v>0</v>
      </c>
      <c r="H300" s="3"/>
    </row>
    <row r="301" customFormat="false" ht="15" hidden="false" customHeight="true" outlineLevel="0" collapsed="false">
      <c r="A301" s="16"/>
      <c r="B301" s="16"/>
      <c r="C301" s="15"/>
      <c r="D301" s="19"/>
      <c r="E301" s="20" t="b">
        <f aca="false">AND(A301&lt;&gt;"",C301&lt;&gt;"",D301&lt;&gt;"",C301&gt;='Read Me'!$B$5)</f>
        <v>0</v>
      </c>
      <c r="F301" s="23" t="str">
        <f aca="false">IF(E301,D301,"")</f>
        <v/>
      </c>
      <c r="G301" s="21" t="n">
        <f aca="false">IF(E301,D301^2,0)</f>
        <v>0</v>
      </c>
      <c r="H301" s="3"/>
    </row>
    <row r="302" customFormat="false" ht="15" hidden="false" customHeight="true" outlineLevel="0" collapsed="false">
      <c r="A302" s="16"/>
      <c r="B302" s="16"/>
      <c r="C302" s="15"/>
      <c r="D302" s="19"/>
      <c r="E302" s="20" t="b">
        <f aca="false">AND(A302&lt;&gt;"",C302&lt;&gt;"",D302&lt;&gt;"",C302&gt;='Read Me'!$B$5)</f>
        <v>0</v>
      </c>
      <c r="F302" s="23" t="str">
        <f aca="false">IF(E302,D302,"")</f>
        <v/>
      </c>
      <c r="G302" s="21" t="n">
        <f aca="false">IF(E302,D302^2,0)</f>
        <v>0</v>
      </c>
      <c r="H302" s="3"/>
    </row>
    <row r="303" customFormat="false" ht="15" hidden="false" customHeight="true" outlineLevel="0" collapsed="false">
      <c r="A303" s="16"/>
      <c r="B303" s="16"/>
      <c r="C303" s="15"/>
      <c r="D303" s="19"/>
      <c r="E303" s="20" t="b">
        <f aca="false">AND(A303&lt;&gt;"",C303&lt;&gt;"",D303&lt;&gt;"",C303&gt;='Read Me'!$B$5)</f>
        <v>0</v>
      </c>
      <c r="F303" s="23" t="str">
        <f aca="false">IF(E303,D303,"")</f>
        <v/>
      </c>
      <c r="G303" s="21" t="n">
        <f aca="false">IF(E303,D303^2,0)</f>
        <v>0</v>
      </c>
      <c r="H303" s="3"/>
    </row>
    <row r="304" customFormat="false" ht="15" hidden="false" customHeight="true" outlineLevel="0" collapsed="false">
      <c r="A304" s="16"/>
      <c r="B304" s="16"/>
      <c r="C304" s="15"/>
      <c r="D304" s="19"/>
      <c r="E304" s="20" t="b">
        <f aca="false">AND(A304&lt;&gt;"",C304&lt;&gt;"",D304&lt;&gt;"",C304&gt;='Read Me'!$B$5)</f>
        <v>0</v>
      </c>
      <c r="F304" s="23" t="str">
        <f aca="false">IF(E304,D304,"")</f>
        <v/>
      </c>
      <c r="G304" s="21" t="n">
        <f aca="false">IF(E304,D304^2,0)</f>
        <v>0</v>
      </c>
      <c r="H304" s="3"/>
    </row>
    <row r="305" customFormat="false" ht="15" hidden="false" customHeight="true" outlineLevel="0" collapsed="false">
      <c r="A305" s="16"/>
      <c r="B305" s="16"/>
      <c r="C305" s="15"/>
      <c r="D305" s="19"/>
      <c r="E305" s="20" t="b">
        <f aca="false">AND(A305&lt;&gt;"",C305&lt;&gt;"",D305&lt;&gt;"",C305&gt;='Read Me'!$B$5)</f>
        <v>0</v>
      </c>
      <c r="F305" s="23" t="str">
        <f aca="false">IF(E305,D305,"")</f>
        <v/>
      </c>
      <c r="G305" s="21" t="n">
        <f aca="false">IF(E305,D305^2,0)</f>
        <v>0</v>
      </c>
      <c r="H305" s="3"/>
    </row>
    <row r="306" customFormat="false" ht="15" hidden="false" customHeight="true" outlineLevel="0" collapsed="false">
      <c r="A306" s="16"/>
      <c r="B306" s="16"/>
      <c r="C306" s="15"/>
      <c r="D306" s="19"/>
      <c r="E306" s="20" t="b">
        <f aca="false">AND(A306&lt;&gt;"",C306&lt;&gt;"",D306&lt;&gt;"",C306&gt;='Read Me'!$B$5)</f>
        <v>0</v>
      </c>
      <c r="F306" s="23" t="str">
        <f aca="false">IF(E306,D306,"")</f>
        <v/>
      </c>
      <c r="G306" s="21" t="n">
        <f aca="false">IF(E306,D306^2,0)</f>
        <v>0</v>
      </c>
      <c r="H306" s="3"/>
    </row>
    <row r="307" customFormat="false" ht="15" hidden="false" customHeight="true" outlineLevel="0" collapsed="false">
      <c r="A307" s="16"/>
      <c r="B307" s="16"/>
      <c r="C307" s="15"/>
      <c r="D307" s="19"/>
      <c r="E307" s="20" t="b">
        <f aca="false">AND(A307&lt;&gt;"",C307&lt;&gt;"",D307&lt;&gt;"",C307&gt;='Read Me'!$B$5)</f>
        <v>0</v>
      </c>
      <c r="F307" s="23" t="str">
        <f aca="false">IF(E307,D307,"")</f>
        <v/>
      </c>
      <c r="G307" s="21" t="n">
        <f aca="false">IF(E307,D307^2,0)</f>
        <v>0</v>
      </c>
      <c r="H307" s="3"/>
    </row>
    <row r="308" customFormat="false" ht="15" hidden="false" customHeight="true" outlineLevel="0" collapsed="false">
      <c r="A308" s="16"/>
      <c r="B308" s="16"/>
      <c r="C308" s="15"/>
      <c r="D308" s="19"/>
      <c r="E308" s="20" t="b">
        <f aca="false">AND(A308&lt;&gt;"",C308&lt;&gt;"",D308&lt;&gt;"",C308&gt;='Read Me'!$B$5)</f>
        <v>0</v>
      </c>
      <c r="F308" s="23" t="str">
        <f aca="false">IF(E308,D308,"")</f>
        <v/>
      </c>
      <c r="G308" s="21" t="n">
        <f aca="false">IF(E308,D308^2,0)</f>
        <v>0</v>
      </c>
      <c r="H308" s="3"/>
    </row>
    <row r="309" customFormat="false" ht="15" hidden="false" customHeight="true" outlineLevel="0" collapsed="false">
      <c r="A309" s="16"/>
      <c r="B309" s="16"/>
      <c r="C309" s="15"/>
      <c r="D309" s="19"/>
      <c r="E309" s="20" t="b">
        <f aca="false">AND(A309&lt;&gt;"",C309&lt;&gt;"",D309&lt;&gt;"",C309&gt;='Read Me'!$B$5)</f>
        <v>0</v>
      </c>
      <c r="F309" s="23" t="str">
        <f aca="false">IF(E309,D309,"")</f>
        <v/>
      </c>
      <c r="G309" s="21" t="n">
        <f aca="false">IF(E309,D309^2,0)</f>
        <v>0</v>
      </c>
      <c r="H309" s="3"/>
    </row>
    <row r="310" customFormat="false" ht="15" hidden="false" customHeight="true" outlineLevel="0" collapsed="false">
      <c r="A310" s="16"/>
      <c r="B310" s="16"/>
      <c r="C310" s="15"/>
      <c r="D310" s="19"/>
      <c r="E310" s="20" t="b">
        <f aca="false">AND(A310&lt;&gt;"",C310&lt;&gt;"",D310&lt;&gt;"",C310&gt;='Read Me'!$B$5)</f>
        <v>0</v>
      </c>
      <c r="F310" s="23" t="str">
        <f aca="false">IF(E310,D310,"")</f>
        <v/>
      </c>
      <c r="G310" s="21" t="n">
        <f aca="false">IF(E310,D310^2,0)</f>
        <v>0</v>
      </c>
      <c r="H310" s="3"/>
    </row>
    <row r="311" customFormat="false" ht="15" hidden="false" customHeight="true" outlineLevel="0" collapsed="false">
      <c r="A311" s="16"/>
      <c r="B311" s="16"/>
      <c r="C311" s="15"/>
      <c r="D311" s="19"/>
      <c r="E311" s="20" t="b">
        <f aca="false">AND(A311&lt;&gt;"",C311&lt;&gt;"",D311&lt;&gt;"",C311&gt;='Read Me'!$B$5)</f>
        <v>0</v>
      </c>
      <c r="F311" s="23" t="str">
        <f aca="false">IF(E311,D311,"")</f>
        <v/>
      </c>
      <c r="G311" s="21" t="n">
        <f aca="false">IF(E311,D311^2,0)</f>
        <v>0</v>
      </c>
      <c r="H311" s="3"/>
    </row>
    <row r="312" customFormat="false" ht="15" hidden="false" customHeight="true" outlineLevel="0" collapsed="false">
      <c r="A312" s="16"/>
      <c r="B312" s="16"/>
      <c r="C312" s="15"/>
      <c r="D312" s="19"/>
      <c r="E312" s="20" t="b">
        <f aca="false">AND(A312&lt;&gt;"",C312&lt;&gt;"",D312&lt;&gt;"",C312&gt;='Read Me'!$B$5)</f>
        <v>0</v>
      </c>
      <c r="F312" s="23" t="str">
        <f aca="false">IF(E312,D312,"")</f>
        <v/>
      </c>
      <c r="G312" s="21" t="n">
        <f aca="false">IF(E312,D312^2,0)</f>
        <v>0</v>
      </c>
      <c r="H312" s="3"/>
    </row>
    <row r="313" customFormat="false" ht="15" hidden="false" customHeight="true" outlineLevel="0" collapsed="false">
      <c r="A313" s="16"/>
      <c r="B313" s="16"/>
      <c r="C313" s="15"/>
      <c r="D313" s="19"/>
      <c r="E313" s="20" t="b">
        <f aca="false">AND(A313&lt;&gt;"",C313&lt;&gt;"",D313&lt;&gt;"",C313&gt;='Read Me'!$B$5)</f>
        <v>0</v>
      </c>
      <c r="F313" s="23" t="str">
        <f aca="false">IF(E313,D313,"")</f>
        <v/>
      </c>
      <c r="G313" s="21" t="n">
        <f aca="false">IF(E313,D313^2,0)</f>
        <v>0</v>
      </c>
      <c r="H313" s="3"/>
    </row>
    <row r="314" customFormat="false" ht="15" hidden="false" customHeight="true" outlineLevel="0" collapsed="false">
      <c r="A314" s="16"/>
      <c r="B314" s="16"/>
      <c r="C314" s="15"/>
      <c r="D314" s="19"/>
      <c r="E314" s="20" t="b">
        <f aca="false">AND(A314&lt;&gt;"",C314&lt;&gt;"",D314&lt;&gt;"",C314&gt;='Read Me'!$B$5)</f>
        <v>0</v>
      </c>
      <c r="F314" s="23" t="str">
        <f aca="false">IF(E314,D314,"")</f>
        <v/>
      </c>
      <c r="G314" s="21" t="n">
        <f aca="false">IF(E314,D314^2,0)</f>
        <v>0</v>
      </c>
      <c r="H314" s="3"/>
    </row>
    <row r="315" customFormat="false" ht="15" hidden="false" customHeight="true" outlineLevel="0" collapsed="false">
      <c r="A315" s="16"/>
      <c r="B315" s="16"/>
      <c r="C315" s="15"/>
      <c r="D315" s="19"/>
      <c r="E315" s="20" t="b">
        <f aca="false">AND(A315&lt;&gt;"",C315&lt;&gt;"",D315&lt;&gt;"",C315&gt;='Read Me'!$B$5)</f>
        <v>0</v>
      </c>
      <c r="F315" s="23" t="str">
        <f aca="false">IF(E315,D315,"")</f>
        <v/>
      </c>
      <c r="G315" s="21" t="n">
        <f aca="false">IF(E315,D315^2,0)</f>
        <v>0</v>
      </c>
      <c r="H315" s="3"/>
    </row>
    <row r="316" customFormat="false" ht="15" hidden="false" customHeight="true" outlineLevel="0" collapsed="false">
      <c r="A316" s="16"/>
      <c r="B316" s="16"/>
      <c r="C316" s="15"/>
      <c r="D316" s="19"/>
      <c r="E316" s="20" t="b">
        <f aca="false">AND(A316&lt;&gt;"",C316&lt;&gt;"",D316&lt;&gt;"",C316&gt;='Read Me'!$B$5)</f>
        <v>0</v>
      </c>
      <c r="F316" s="23" t="str">
        <f aca="false">IF(E316,D316,"")</f>
        <v/>
      </c>
      <c r="G316" s="21" t="n">
        <f aca="false">IF(E316,D316^2,0)</f>
        <v>0</v>
      </c>
      <c r="H316" s="3"/>
    </row>
    <row r="317" customFormat="false" ht="15" hidden="false" customHeight="true" outlineLevel="0" collapsed="false">
      <c r="A317" s="16"/>
      <c r="B317" s="16"/>
      <c r="C317" s="15"/>
      <c r="D317" s="19"/>
      <c r="E317" s="20" t="b">
        <f aca="false">AND(A317&lt;&gt;"",C317&lt;&gt;"",D317&lt;&gt;"",C317&gt;='Read Me'!$B$5)</f>
        <v>0</v>
      </c>
      <c r="F317" s="23" t="str">
        <f aca="false">IF(E317,D317,"")</f>
        <v/>
      </c>
      <c r="G317" s="21" t="n">
        <f aca="false">IF(E317,D317^2,0)</f>
        <v>0</v>
      </c>
      <c r="H317" s="3"/>
    </row>
    <row r="318" customFormat="false" ht="15" hidden="false" customHeight="true" outlineLevel="0" collapsed="false">
      <c r="A318" s="16"/>
      <c r="B318" s="16"/>
      <c r="C318" s="15"/>
      <c r="D318" s="19"/>
      <c r="E318" s="20" t="b">
        <f aca="false">AND(A318&lt;&gt;"",C318&lt;&gt;"",D318&lt;&gt;"",C318&gt;='Read Me'!$B$5)</f>
        <v>0</v>
      </c>
      <c r="F318" s="23" t="str">
        <f aca="false">IF(E318,D318,"")</f>
        <v/>
      </c>
      <c r="G318" s="21" t="n">
        <f aca="false">IF(E318,D318^2,0)</f>
        <v>0</v>
      </c>
      <c r="H318" s="3"/>
    </row>
    <row r="319" customFormat="false" ht="15" hidden="false" customHeight="true" outlineLevel="0" collapsed="false">
      <c r="A319" s="16"/>
      <c r="B319" s="16"/>
      <c r="C319" s="15"/>
      <c r="D319" s="19"/>
      <c r="E319" s="20" t="b">
        <f aca="false">AND(A319&lt;&gt;"",C319&lt;&gt;"",D319&lt;&gt;"",C319&gt;='Read Me'!$B$5)</f>
        <v>0</v>
      </c>
      <c r="F319" s="23" t="str">
        <f aca="false">IF(E319,D319,"")</f>
        <v/>
      </c>
      <c r="G319" s="21" t="n">
        <f aca="false">IF(E319,D319^2,0)</f>
        <v>0</v>
      </c>
      <c r="H319" s="3"/>
    </row>
    <row r="320" customFormat="false" ht="15" hidden="false" customHeight="true" outlineLevel="0" collapsed="false">
      <c r="A320" s="16"/>
      <c r="B320" s="16"/>
      <c r="C320" s="15"/>
      <c r="D320" s="19"/>
      <c r="E320" s="20" t="b">
        <f aca="false">AND(A320&lt;&gt;"",C320&lt;&gt;"",D320&lt;&gt;"",C320&gt;='Read Me'!$B$5)</f>
        <v>0</v>
      </c>
      <c r="F320" s="23" t="str">
        <f aca="false">IF(E320,D320,"")</f>
        <v/>
      </c>
      <c r="G320" s="21" t="n">
        <f aca="false">IF(E320,D320^2,0)</f>
        <v>0</v>
      </c>
      <c r="H320" s="3"/>
    </row>
    <row r="321" customFormat="false" ht="15" hidden="false" customHeight="true" outlineLevel="0" collapsed="false">
      <c r="A321" s="16"/>
      <c r="B321" s="16"/>
      <c r="C321" s="15"/>
      <c r="D321" s="19"/>
      <c r="E321" s="20" t="b">
        <f aca="false">AND(A321&lt;&gt;"",C321&lt;&gt;"",D321&lt;&gt;"",C321&gt;='Read Me'!$B$5)</f>
        <v>0</v>
      </c>
      <c r="F321" s="23" t="str">
        <f aca="false">IF(E321,D321,"")</f>
        <v/>
      </c>
      <c r="G321" s="21" t="n">
        <f aca="false">IF(E321,D321^2,0)</f>
        <v>0</v>
      </c>
      <c r="H321" s="3"/>
    </row>
    <row r="322" customFormat="false" ht="15" hidden="false" customHeight="true" outlineLevel="0" collapsed="false">
      <c r="A322" s="16"/>
      <c r="B322" s="16"/>
      <c r="C322" s="15"/>
      <c r="D322" s="19"/>
      <c r="E322" s="20" t="b">
        <f aca="false">AND(A322&lt;&gt;"",C322&lt;&gt;"",D322&lt;&gt;"",C322&gt;='Read Me'!$B$5)</f>
        <v>0</v>
      </c>
      <c r="F322" s="23" t="str">
        <f aca="false">IF(E322,D322,"")</f>
        <v/>
      </c>
      <c r="G322" s="21" t="n">
        <f aca="false">IF(E322,D322^2,0)</f>
        <v>0</v>
      </c>
      <c r="H322" s="3"/>
    </row>
    <row r="323" customFormat="false" ht="15" hidden="false" customHeight="true" outlineLevel="0" collapsed="false">
      <c r="A323" s="16"/>
      <c r="B323" s="16"/>
      <c r="C323" s="15"/>
      <c r="D323" s="19"/>
      <c r="E323" s="20" t="b">
        <f aca="false">AND(A323&lt;&gt;"",C323&lt;&gt;"",D323&lt;&gt;"",C323&gt;='Read Me'!$B$5)</f>
        <v>0</v>
      </c>
      <c r="F323" s="23" t="str">
        <f aca="false">IF(E323,D323,"")</f>
        <v/>
      </c>
      <c r="G323" s="21" t="n">
        <f aca="false">IF(E323,D323^2,0)</f>
        <v>0</v>
      </c>
      <c r="H323" s="3"/>
    </row>
    <row r="324" customFormat="false" ht="15" hidden="false" customHeight="true" outlineLevel="0" collapsed="false">
      <c r="A324" s="16"/>
      <c r="B324" s="16"/>
      <c r="C324" s="15"/>
      <c r="D324" s="19"/>
      <c r="E324" s="20" t="b">
        <f aca="false">AND(A324&lt;&gt;"",C324&lt;&gt;"",D324&lt;&gt;"",C324&gt;='Read Me'!$B$5)</f>
        <v>0</v>
      </c>
      <c r="F324" s="23" t="str">
        <f aca="false">IF(E324,D324,"")</f>
        <v/>
      </c>
      <c r="G324" s="21" t="n">
        <f aca="false">IF(E324,D324^2,0)</f>
        <v>0</v>
      </c>
      <c r="H324" s="3"/>
    </row>
    <row r="325" customFormat="false" ht="15" hidden="false" customHeight="true" outlineLevel="0" collapsed="false">
      <c r="A325" s="16"/>
      <c r="B325" s="16"/>
      <c r="C325" s="15"/>
      <c r="D325" s="19"/>
      <c r="E325" s="20" t="b">
        <f aca="false">AND(A325&lt;&gt;"",C325&lt;&gt;"",D325&lt;&gt;"",C325&gt;='Read Me'!$B$5)</f>
        <v>0</v>
      </c>
      <c r="F325" s="23" t="str">
        <f aca="false">IF(E325,D325,"")</f>
        <v/>
      </c>
      <c r="G325" s="21" t="n">
        <f aca="false">IF(E325,D325^2,0)</f>
        <v>0</v>
      </c>
      <c r="H325" s="3"/>
    </row>
    <row r="326" customFormat="false" ht="15" hidden="false" customHeight="true" outlineLevel="0" collapsed="false">
      <c r="A326" s="16"/>
      <c r="B326" s="16"/>
      <c r="C326" s="15"/>
      <c r="D326" s="19"/>
      <c r="E326" s="20" t="b">
        <f aca="false">AND(A326&lt;&gt;"",C326&lt;&gt;"",D326&lt;&gt;"",C326&gt;='Read Me'!$B$5)</f>
        <v>0</v>
      </c>
      <c r="F326" s="23" t="str">
        <f aca="false">IF(E326,D326,"")</f>
        <v/>
      </c>
      <c r="G326" s="21" t="n">
        <f aca="false">IF(E326,D326^2,0)</f>
        <v>0</v>
      </c>
      <c r="H326" s="3"/>
    </row>
    <row r="327" customFormat="false" ht="15" hidden="false" customHeight="true" outlineLevel="0" collapsed="false">
      <c r="A327" s="16"/>
      <c r="B327" s="16"/>
      <c r="C327" s="15"/>
      <c r="D327" s="19"/>
      <c r="E327" s="20" t="b">
        <f aca="false">AND(A327&lt;&gt;"",C327&lt;&gt;"",D327&lt;&gt;"",C327&gt;='Read Me'!$B$5)</f>
        <v>0</v>
      </c>
      <c r="F327" s="23" t="str">
        <f aca="false">IF(E327,D327,"")</f>
        <v/>
      </c>
      <c r="G327" s="21" t="n">
        <f aca="false">IF(E327,D327^2,0)</f>
        <v>0</v>
      </c>
      <c r="H327" s="3"/>
    </row>
    <row r="328" customFormat="false" ht="15" hidden="false" customHeight="true" outlineLevel="0" collapsed="false">
      <c r="A328" s="16"/>
      <c r="B328" s="16"/>
      <c r="C328" s="15"/>
      <c r="D328" s="19"/>
      <c r="E328" s="20" t="b">
        <f aca="false">AND(A328&lt;&gt;"",C328&lt;&gt;"",D328&lt;&gt;"",C328&gt;='Read Me'!$B$5)</f>
        <v>0</v>
      </c>
      <c r="F328" s="23" t="str">
        <f aca="false">IF(E328,D328,"")</f>
        <v/>
      </c>
      <c r="G328" s="21" t="n">
        <f aca="false">IF(E328,D328^2,0)</f>
        <v>0</v>
      </c>
      <c r="H328" s="3"/>
    </row>
    <row r="329" customFormat="false" ht="15" hidden="false" customHeight="true" outlineLevel="0" collapsed="false">
      <c r="A329" s="16"/>
      <c r="B329" s="16"/>
      <c r="C329" s="15"/>
      <c r="D329" s="19"/>
      <c r="E329" s="20" t="b">
        <f aca="false">AND(A329&lt;&gt;"",C329&lt;&gt;"",D329&lt;&gt;"",C329&gt;='Read Me'!$B$5)</f>
        <v>0</v>
      </c>
      <c r="F329" s="23" t="str">
        <f aca="false">IF(E329,D329,"")</f>
        <v/>
      </c>
      <c r="G329" s="21" t="n">
        <f aca="false">IF(E329,D329^2,0)</f>
        <v>0</v>
      </c>
      <c r="H329" s="3"/>
    </row>
    <row r="330" customFormat="false" ht="15" hidden="false" customHeight="true" outlineLevel="0" collapsed="false">
      <c r="A330" s="16"/>
      <c r="B330" s="16"/>
      <c r="C330" s="15"/>
      <c r="D330" s="19"/>
      <c r="E330" s="20" t="b">
        <f aca="false">AND(A330&lt;&gt;"",C330&lt;&gt;"",D330&lt;&gt;"",C330&gt;='Read Me'!$B$5)</f>
        <v>0</v>
      </c>
      <c r="F330" s="23" t="str">
        <f aca="false">IF(E330,D330,"")</f>
        <v/>
      </c>
      <c r="G330" s="21" t="n">
        <f aca="false">IF(E330,D330^2,0)</f>
        <v>0</v>
      </c>
      <c r="H330" s="3"/>
    </row>
    <row r="331" customFormat="false" ht="15" hidden="false" customHeight="true" outlineLevel="0" collapsed="false">
      <c r="A331" s="16"/>
      <c r="B331" s="16"/>
      <c r="C331" s="15"/>
      <c r="D331" s="19"/>
      <c r="E331" s="20" t="b">
        <f aca="false">AND(A331&lt;&gt;"",C331&lt;&gt;"",D331&lt;&gt;"",C331&gt;='Read Me'!$B$5)</f>
        <v>0</v>
      </c>
      <c r="F331" s="23" t="str">
        <f aca="false">IF(E331,D331,"")</f>
        <v/>
      </c>
      <c r="G331" s="21" t="n">
        <f aca="false">IF(E331,D331^2,0)</f>
        <v>0</v>
      </c>
      <c r="H331" s="3"/>
    </row>
    <row r="332" customFormat="false" ht="15" hidden="false" customHeight="true" outlineLevel="0" collapsed="false">
      <c r="A332" s="16"/>
      <c r="B332" s="16"/>
      <c r="C332" s="15"/>
      <c r="D332" s="19"/>
      <c r="E332" s="20" t="b">
        <f aca="false">AND(A332&lt;&gt;"",C332&lt;&gt;"",D332&lt;&gt;"",C332&gt;='Read Me'!$B$5)</f>
        <v>0</v>
      </c>
      <c r="F332" s="23" t="str">
        <f aca="false">IF(E332,D332,"")</f>
        <v/>
      </c>
      <c r="G332" s="21" t="n">
        <f aca="false">IF(E332,D332^2,0)</f>
        <v>0</v>
      </c>
      <c r="H332" s="3"/>
    </row>
    <row r="333" customFormat="false" ht="15" hidden="false" customHeight="true" outlineLevel="0" collapsed="false">
      <c r="A333" s="16"/>
      <c r="B333" s="16"/>
      <c r="C333" s="15"/>
      <c r="D333" s="19"/>
      <c r="E333" s="20" t="b">
        <f aca="false">AND(A333&lt;&gt;"",C333&lt;&gt;"",D333&lt;&gt;"",C333&gt;='Read Me'!$B$5)</f>
        <v>0</v>
      </c>
      <c r="F333" s="23" t="str">
        <f aca="false">IF(E333,D333,"")</f>
        <v/>
      </c>
      <c r="G333" s="21" t="n">
        <f aca="false">IF(E333,D333^2,0)</f>
        <v>0</v>
      </c>
      <c r="H333" s="3"/>
    </row>
    <row r="334" customFormat="false" ht="15" hidden="false" customHeight="true" outlineLevel="0" collapsed="false">
      <c r="A334" s="16"/>
      <c r="B334" s="16"/>
      <c r="C334" s="15"/>
      <c r="D334" s="19"/>
      <c r="E334" s="20" t="b">
        <f aca="false">AND(A334&lt;&gt;"",C334&lt;&gt;"",D334&lt;&gt;"",C334&gt;='Read Me'!$B$5)</f>
        <v>0</v>
      </c>
      <c r="F334" s="23" t="str">
        <f aca="false">IF(E334,D334,"")</f>
        <v/>
      </c>
      <c r="G334" s="21" t="n">
        <f aca="false">IF(E334,D334^2,0)</f>
        <v>0</v>
      </c>
      <c r="H334" s="3"/>
    </row>
    <row r="335" customFormat="false" ht="15" hidden="false" customHeight="true" outlineLevel="0" collapsed="false">
      <c r="A335" s="16"/>
      <c r="B335" s="16"/>
      <c r="C335" s="15"/>
      <c r="D335" s="19"/>
      <c r="E335" s="20" t="b">
        <f aca="false">AND(A335&lt;&gt;"",C335&lt;&gt;"",D335&lt;&gt;"",C335&gt;='Read Me'!$B$5)</f>
        <v>0</v>
      </c>
      <c r="F335" s="23" t="str">
        <f aca="false">IF(E335,D335,"")</f>
        <v/>
      </c>
      <c r="G335" s="21" t="n">
        <f aca="false">IF(E335,D335^2,0)</f>
        <v>0</v>
      </c>
      <c r="H335" s="3"/>
    </row>
    <row r="336" customFormat="false" ht="15" hidden="false" customHeight="true" outlineLevel="0" collapsed="false">
      <c r="A336" s="16"/>
      <c r="B336" s="16"/>
      <c r="C336" s="15"/>
      <c r="D336" s="19"/>
      <c r="E336" s="20" t="b">
        <f aca="false">AND(A336&lt;&gt;"",C336&lt;&gt;"",D336&lt;&gt;"",C336&gt;='Read Me'!$B$5)</f>
        <v>0</v>
      </c>
      <c r="F336" s="23" t="str">
        <f aca="false">IF(E336,D336,"")</f>
        <v/>
      </c>
      <c r="G336" s="21" t="n">
        <f aca="false">IF(E336,D336^2,0)</f>
        <v>0</v>
      </c>
      <c r="H336" s="3"/>
    </row>
    <row r="337" customFormat="false" ht="15" hidden="false" customHeight="true" outlineLevel="0" collapsed="false">
      <c r="A337" s="16"/>
      <c r="B337" s="16"/>
      <c r="C337" s="15"/>
      <c r="D337" s="19"/>
      <c r="E337" s="20" t="b">
        <f aca="false">AND(A337&lt;&gt;"",C337&lt;&gt;"",D337&lt;&gt;"",C337&gt;='Read Me'!$B$5)</f>
        <v>0</v>
      </c>
      <c r="F337" s="23" t="str">
        <f aca="false">IF(E337,D337,"")</f>
        <v/>
      </c>
      <c r="G337" s="21" t="n">
        <f aca="false">IF(E337,D337^2,0)</f>
        <v>0</v>
      </c>
      <c r="H337" s="3"/>
    </row>
    <row r="338" customFormat="false" ht="15" hidden="false" customHeight="true" outlineLevel="0" collapsed="false">
      <c r="A338" s="16"/>
      <c r="B338" s="16"/>
      <c r="C338" s="15"/>
      <c r="D338" s="19"/>
      <c r="E338" s="20" t="b">
        <f aca="false">AND(A338&lt;&gt;"",C338&lt;&gt;"",D338&lt;&gt;"",C338&gt;='Read Me'!$B$5)</f>
        <v>0</v>
      </c>
      <c r="F338" s="23" t="str">
        <f aca="false">IF(E338,D338,"")</f>
        <v/>
      </c>
      <c r="G338" s="21" t="n">
        <f aca="false">IF(E338,D338^2,0)</f>
        <v>0</v>
      </c>
      <c r="H338" s="3"/>
    </row>
    <row r="339" customFormat="false" ht="15" hidden="false" customHeight="true" outlineLevel="0" collapsed="false">
      <c r="A339" s="16"/>
      <c r="B339" s="16"/>
      <c r="C339" s="15"/>
      <c r="D339" s="19"/>
      <c r="E339" s="20" t="b">
        <f aca="false">AND(A339&lt;&gt;"",C339&lt;&gt;"",D339&lt;&gt;"",C339&gt;='Read Me'!$B$5)</f>
        <v>0</v>
      </c>
      <c r="F339" s="23" t="str">
        <f aca="false">IF(E339,D339,"")</f>
        <v/>
      </c>
      <c r="G339" s="21" t="n">
        <f aca="false">IF(E339,D339^2,0)</f>
        <v>0</v>
      </c>
      <c r="H339" s="3"/>
    </row>
    <row r="340" customFormat="false" ht="15" hidden="false" customHeight="true" outlineLevel="0" collapsed="false">
      <c r="A340" s="16"/>
      <c r="B340" s="16"/>
      <c r="C340" s="15"/>
      <c r="D340" s="19"/>
      <c r="E340" s="20" t="b">
        <f aca="false">AND(A340&lt;&gt;"",C340&lt;&gt;"",D340&lt;&gt;"",C340&gt;='Read Me'!$B$5)</f>
        <v>0</v>
      </c>
      <c r="F340" s="23" t="str">
        <f aca="false">IF(E340,D340,"")</f>
        <v/>
      </c>
      <c r="G340" s="21" t="n">
        <f aca="false">IF(E340,D340^2,0)</f>
        <v>0</v>
      </c>
      <c r="H340" s="3"/>
    </row>
    <row r="341" customFormat="false" ht="15" hidden="false" customHeight="true" outlineLevel="0" collapsed="false">
      <c r="A341" s="16"/>
      <c r="B341" s="16"/>
      <c r="C341" s="15"/>
      <c r="D341" s="19"/>
      <c r="E341" s="20" t="b">
        <f aca="false">AND(A341&lt;&gt;"",C341&lt;&gt;"",D341&lt;&gt;"",C341&gt;='Read Me'!$B$5)</f>
        <v>0</v>
      </c>
      <c r="F341" s="23" t="str">
        <f aca="false">IF(E341,D341,"")</f>
        <v/>
      </c>
      <c r="G341" s="21" t="n">
        <f aca="false">IF(E341,D341^2,0)</f>
        <v>0</v>
      </c>
      <c r="H341" s="3"/>
    </row>
    <row r="342" customFormat="false" ht="15" hidden="false" customHeight="true" outlineLevel="0" collapsed="false">
      <c r="A342" s="16"/>
      <c r="B342" s="16"/>
      <c r="C342" s="15"/>
      <c r="D342" s="19"/>
      <c r="E342" s="20" t="b">
        <f aca="false">AND(A342&lt;&gt;"",C342&lt;&gt;"",D342&lt;&gt;"",C342&gt;='Read Me'!$B$5)</f>
        <v>0</v>
      </c>
      <c r="F342" s="23" t="str">
        <f aca="false">IF(E342,D342,"")</f>
        <v/>
      </c>
      <c r="G342" s="21" t="n">
        <f aca="false">IF(E342,D342^2,0)</f>
        <v>0</v>
      </c>
      <c r="H342" s="3"/>
    </row>
    <row r="343" customFormat="false" ht="15" hidden="false" customHeight="true" outlineLevel="0" collapsed="false">
      <c r="A343" s="16"/>
      <c r="B343" s="16"/>
      <c r="C343" s="15"/>
      <c r="D343" s="19"/>
      <c r="E343" s="20" t="b">
        <f aca="false">AND(A343&lt;&gt;"",C343&lt;&gt;"",D343&lt;&gt;"",C343&gt;='Read Me'!$B$5)</f>
        <v>0</v>
      </c>
      <c r="F343" s="23" t="str">
        <f aca="false">IF(E343,D343,"")</f>
        <v/>
      </c>
      <c r="G343" s="21" t="n">
        <f aca="false">IF(E343,D343^2,0)</f>
        <v>0</v>
      </c>
      <c r="H343" s="3"/>
    </row>
    <row r="344" customFormat="false" ht="15" hidden="false" customHeight="true" outlineLevel="0" collapsed="false">
      <c r="A344" s="16"/>
      <c r="B344" s="16"/>
      <c r="C344" s="15"/>
      <c r="D344" s="19"/>
      <c r="E344" s="20" t="b">
        <f aca="false">AND(A344&lt;&gt;"",C344&lt;&gt;"",D344&lt;&gt;"",C344&gt;='Read Me'!$B$5)</f>
        <v>0</v>
      </c>
      <c r="F344" s="23" t="str">
        <f aca="false">IF(E344,D344,"")</f>
        <v/>
      </c>
      <c r="G344" s="21" t="n">
        <f aca="false">IF(E344,D344^2,0)</f>
        <v>0</v>
      </c>
      <c r="H344" s="3"/>
    </row>
    <row r="345" customFormat="false" ht="15" hidden="false" customHeight="true" outlineLevel="0" collapsed="false">
      <c r="A345" s="16"/>
      <c r="B345" s="16"/>
      <c r="C345" s="15"/>
      <c r="D345" s="19"/>
      <c r="E345" s="20" t="b">
        <f aca="false">AND(A345&lt;&gt;"",C345&lt;&gt;"",D345&lt;&gt;"",C345&gt;='Read Me'!$B$5)</f>
        <v>0</v>
      </c>
      <c r="F345" s="23" t="str">
        <f aca="false">IF(E345,D345,"")</f>
        <v/>
      </c>
      <c r="G345" s="21" t="n">
        <f aca="false">IF(E345,D345^2,0)</f>
        <v>0</v>
      </c>
      <c r="H345" s="3"/>
    </row>
    <row r="346" customFormat="false" ht="15" hidden="false" customHeight="true" outlineLevel="0" collapsed="false">
      <c r="A346" s="16"/>
      <c r="B346" s="16"/>
      <c r="C346" s="15"/>
      <c r="D346" s="19"/>
      <c r="E346" s="20" t="b">
        <f aca="false">AND(A346&lt;&gt;"",C346&lt;&gt;"",D346&lt;&gt;"",C346&gt;='Read Me'!$B$5)</f>
        <v>0</v>
      </c>
      <c r="F346" s="23" t="str">
        <f aca="false">IF(E346,D346,"")</f>
        <v/>
      </c>
      <c r="G346" s="21" t="n">
        <f aca="false">IF(E346,D346^2,0)</f>
        <v>0</v>
      </c>
      <c r="H346" s="3"/>
    </row>
    <row r="347" customFormat="false" ht="15" hidden="false" customHeight="true" outlineLevel="0" collapsed="false">
      <c r="A347" s="16"/>
      <c r="B347" s="16"/>
      <c r="C347" s="15"/>
      <c r="D347" s="19"/>
      <c r="E347" s="20" t="b">
        <f aca="false">AND(A347&lt;&gt;"",C347&lt;&gt;"",D347&lt;&gt;"",C347&gt;='Read Me'!$B$5)</f>
        <v>0</v>
      </c>
      <c r="F347" s="23" t="str">
        <f aca="false">IF(E347,D347,"")</f>
        <v/>
      </c>
      <c r="G347" s="21" t="n">
        <f aca="false">IF(E347,D347^2,0)</f>
        <v>0</v>
      </c>
      <c r="H347" s="3"/>
    </row>
    <row r="348" customFormat="false" ht="15" hidden="false" customHeight="true" outlineLevel="0" collapsed="false">
      <c r="A348" s="16"/>
      <c r="B348" s="16"/>
      <c r="C348" s="15"/>
      <c r="D348" s="19"/>
      <c r="E348" s="20" t="b">
        <f aca="false">AND(A348&lt;&gt;"",C348&lt;&gt;"",D348&lt;&gt;"",C348&gt;='Read Me'!$B$5)</f>
        <v>0</v>
      </c>
      <c r="F348" s="23" t="str">
        <f aca="false">IF(E348,D348,"")</f>
        <v/>
      </c>
      <c r="G348" s="21" t="n">
        <f aca="false">IF(E348,D348^2,0)</f>
        <v>0</v>
      </c>
      <c r="H348" s="3"/>
    </row>
    <row r="349" customFormat="false" ht="15" hidden="false" customHeight="true" outlineLevel="0" collapsed="false">
      <c r="A349" s="16"/>
      <c r="B349" s="16"/>
      <c r="C349" s="15"/>
      <c r="D349" s="19"/>
      <c r="E349" s="20" t="b">
        <f aca="false">AND(A349&lt;&gt;"",C349&lt;&gt;"",D349&lt;&gt;"",C349&gt;='Read Me'!$B$5)</f>
        <v>0</v>
      </c>
      <c r="F349" s="23" t="str">
        <f aca="false">IF(E349,D349,"")</f>
        <v/>
      </c>
      <c r="G349" s="21" t="n">
        <f aca="false">IF(E349,D349^2,0)</f>
        <v>0</v>
      </c>
      <c r="H349" s="3"/>
    </row>
    <row r="350" customFormat="false" ht="15" hidden="false" customHeight="true" outlineLevel="0" collapsed="false">
      <c r="A350" s="16"/>
      <c r="B350" s="16"/>
      <c r="C350" s="15"/>
      <c r="D350" s="19"/>
      <c r="E350" s="20" t="b">
        <f aca="false">AND(A350&lt;&gt;"",C350&lt;&gt;"",D350&lt;&gt;"",C350&gt;='Read Me'!$B$5)</f>
        <v>0</v>
      </c>
      <c r="F350" s="23" t="str">
        <f aca="false">IF(E350,D350,"")</f>
        <v/>
      </c>
      <c r="G350" s="21" t="n">
        <f aca="false">IF(E350,D350^2,0)</f>
        <v>0</v>
      </c>
      <c r="H350" s="3"/>
    </row>
    <row r="351" customFormat="false" ht="15" hidden="false" customHeight="true" outlineLevel="0" collapsed="false">
      <c r="A351" s="16"/>
      <c r="B351" s="16"/>
      <c r="C351" s="15"/>
      <c r="D351" s="19"/>
      <c r="E351" s="20" t="b">
        <f aca="false">AND(A351&lt;&gt;"",C351&lt;&gt;"",D351&lt;&gt;"",C351&gt;='Read Me'!$B$5)</f>
        <v>0</v>
      </c>
      <c r="F351" s="23" t="str">
        <f aca="false">IF(E351,D351,"")</f>
        <v/>
      </c>
      <c r="G351" s="21" t="n">
        <f aca="false">IF(E351,D351^2,0)</f>
        <v>0</v>
      </c>
      <c r="H351" s="3"/>
    </row>
    <row r="352" customFormat="false" ht="15" hidden="false" customHeight="true" outlineLevel="0" collapsed="false">
      <c r="A352" s="16"/>
      <c r="B352" s="16"/>
      <c r="C352" s="15"/>
      <c r="D352" s="19"/>
      <c r="E352" s="20" t="b">
        <f aca="false">AND(A352&lt;&gt;"",C352&lt;&gt;"",D352&lt;&gt;"",C352&gt;='Read Me'!$B$5)</f>
        <v>0</v>
      </c>
      <c r="F352" s="23" t="str">
        <f aca="false">IF(E352,D352,"")</f>
        <v/>
      </c>
      <c r="G352" s="21" t="n">
        <f aca="false">IF(E352,D352^2,0)</f>
        <v>0</v>
      </c>
      <c r="H352" s="3"/>
    </row>
    <row r="353" customFormat="false" ht="15" hidden="false" customHeight="true" outlineLevel="0" collapsed="false">
      <c r="A353" s="16"/>
      <c r="B353" s="16"/>
      <c r="C353" s="15"/>
      <c r="D353" s="19"/>
      <c r="E353" s="20" t="b">
        <f aca="false">AND(A353&lt;&gt;"",C353&lt;&gt;"",D353&lt;&gt;"",C353&gt;='Read Me'!$B$5)</f>
        <v>0</v>
      </c>
      <c r="F353" s="23" t="str">
        <f aca="false">IF(E353,D353,"")</f>
        <v/>
      </c>
      <c r="G353" s="21" t="n">
        <f aca="false">IF(E353,D353^2,0)</f>
        <v>0</v>
      </c>
      <c r="H353" s="3"/>
    </row>
    <row r="354" customFormat="false" ht="15" hidden="false" customHeight="true" outlineLevel="0" collapsed="false">
      <c r="A354" s="16"/>
      <c r="B354" s="16"/>
      <c r="C354" s="15"/>
      <c r="D354" s="19"/>
      <c r="E354" s="20" t="b">
        <f aca="false">AND(A354&lt;&gt;"",C354&lt;&gt;"",D354&lt;&gt;"",C354&gt;='Read Me'!$B$5)</f>
        <v>0</v>
      </c>
      <c r="F354" s="23" t="str">
        <f aca="false">IF(E354,D354,"")</f>
        <v/>
      </c>
      <c r="G354" s="21" t="n">
        <f aca="false">IF(E354,D354^2,0)</f>
        <v>0</v>
      </c>
      <c r="H354" s="3"/>
    </row>
    <row r="355" customFormat="false" ht="15" hidden="false" customHeight="true" outlineLevel="0" collapsed="false">
      <c r="A355" s="16"/>
      <c r="B355" s="16"/>
      <c r="C355" s="15"/>
      <c r="D355" s="19"/>
      <c r="E355" s="20" t="b">
        <f aca="false">AND(A355&lt;&gt;"",C355&lt;&gt;"",D355&lt;&gt;"",C355&gt;='Read Me'!$B$5)</f>
        <v>0</v>
      </c>
      <c r="F355" s="23" t="str">
        <f aca="false">IF(E355,D355,"")</f>
        <v/>
      </c>
      <c r="G355" s="21" t="n">
        <f aca="false">IF(E355,D355^2,0)</f>
        <v>0</v>
      </c>
      <c r="H355" s="3"/>
    </row>
    <row r="356" customFormat="false" ht="15" hidden="false" customHeight="true" outlineLevel="0" collapsed="false">
      <c r="A356" s="16"/>
      <c r="B356" s="16"/>
      <c r="C356" s="15"/>
      <c r="D356" s="19"/>
      <c r="E356" s="20" t="b">
        <f aca="false">AND(A356&lt;&gt;"",C356&lt;&gt;"",D356&lt;&gt;"",C356&gt;='Read Me'!$B$5)</f>
        <v>0</v>
      </c>
      <c r="F356" s="23" t="str">
        <f aca="false">IF(E356,D356,"")</f>
        <v/>
      </c>
      <c r="G356" s="21" t="n">
        <f aca="false">IF(E356,D356^2,0)</f>
        <v>0</v>
      </c>
      <c r="H356" s="3"/>
    </row>
    <row r="357" customFormat="false" ht="15" hidden="false" customHeight="true" outlineLevel="0" collapsed="false">
      <c r="A357" s="16"/>
      <c r="B357" s="16"/>
      <c r="C357" s="15"/>
      <c r="D357" s="19"/>
      <c r="E357" s="20" t="b">
        <f aca="false">AND(A357&lt;&gt;"",C357&lt;&gt;"",D357&lt;&gt;"",C357&gt;='Read Me'!$B$5)</f>
        <v>0</v>
      </c>
      <c r="F357" s="23" t="str">
        <f aca="false">IF(E357,D357,"")</f>
        <v/>
      </c>
      <c r="G357" s="21" t="n">
        <f aca="false">IF(E357,D357^2,0)</f>
        <v>0</v>
      </c>
      <c r="H357" s="3"/>
    </row>
    <row r="358" customFormat="false" ht="15" hidden="false" customHeight="true" outlineLevel="0" collapsed="false">
      <c r="A358" s="16"/>
      <c r="B358" s="16"/>
      <c r="C358" s="15"/>
      <c r="D358" s="19"/>
      <c r="E358" s="20" t="b">
        <f aca="false">AND(A358&lt;&gt;"",C358&lt;&gt;"",D358&lt;&gt;"",C358&gt;='Read Me'!$B$5)</f>
        <v>0</v>
      </c>
      <c r="F358" s="23" t="str">
        <f aca="false">IF(E358,D358,"")</f>
        <v/>
      </c>
      <c r="G358" s="21" t="n">
        <f aca="false">IF(E358,D358^2,0)</f>
        <v>0</v>
      </c>
      <c r="H358" s="3"/>
    </row>
    <row r="359" customFormat="false" ht="15" hidden="false" customHeight="true" outlineLevel="0" collapsed="false">
      <c r="A359" s="16"/>
      <c r="B359" s="16"/>
      <c r="C359" s="15"/>
      <c r="D359" s="19"/>
      <c r="E359" s="20" t="b">
        <f aca="false">AND(A359&lt;&gt;"",C359&lt;&gt;"",D359&lt;&gt;"",C359&gt;='Read Me'!$B$5)</f>
        <v>0</v>
      </c>
      <c r="F359" s="23" t="str">
        <f aca="false">IF(E359,D359,"")</f>
        <v/>
      </c>
      <c r="G359" s="21" t="n">
        <f aca="false">IF(E359,D359^2,0)</f>
        <v>0</v>
      </c>
      <c r="H359" s="3"/>
    </row>
    <row r="360" customFormat="false" ht="15" hidden="false" customHeight="true" outlineLevel="0" collapsed="false">
      <c r="A360" s="16"/>
      <c r="B360" s="16"/>
      <c r="C360" s="15"/>
      <c r="D360" s="19"/>
      <c r="E360" s="20" t="b">
        <f aca="false">AND(A360&lt;&gt;"",C360&lt;&gt;"",D360&lt;&gt;"",C360&gt;='Read Me'!$B$5)</f>
        <v>0</v>
      </c>
      <c r="F360" s="23" t="str">
        <f aca="false">IF(E360,D360,"")</f>
        <v/>
      </c>
      <c r="G360" s="21" t="n">
        <f aca="false">IF(E360,D360^2,0)</f>
        <v>0</v>
      </c>
      <c r="H360" s="3"/>
    </row>
    <row r="361" customFormat="false" ht="15" hidden="false" customHeight="true" outlineLevel="0" collapsed="false">
      <c r="A361" s="16"/>
      <c r="B361" s="16"/>
      <c r="C361" s="15"/>
      <c r="D361" s="19"/>
      <c r="E361" s="20" t="b">
        <f aca="false">AND(A361&lt;&gt;"",C361&lt;&gt;"",D361&lt;&gt;"",C361&gt;='Read Me'!$B$5)</f>
        <v>0</v>
      </c>
      <c r="F361" s="23" t="str">
        <f aca="false">IF(E361,D361,"")</f>
        <v/>
      </c>
      <c r="G361" s="21" t="n">
        <f aca="false">IF(E361,D361^2,0)</f>
        <v>0</v>
      </c>
      <c r="H361" s="3"/>
    </row>
    <row r="362" customFormat="false" ht="15" hidden="false" customHeight="true" outlineLevel="0" collapsed="false">
      <c r="A362" s="16"/>
      <c r="B362" s="16"/>
      <c r="C362" s="15"/>
      <c r="D362" s="19"/>
      <c r="E362" s="20" t="b">
        <f aca="false">AND(A362&lt;&gt;"",C362&lt;&gt;"",D362&lt;&gt;"",C362&gt;='Read Me'!$B$5)</f>
        <v>0</v>
      </c>
      <c r="F362" s="23" t="str">
        <f aca="false">IF(E362,D362,"")</f>
        <v/>
      </c>
      <c r="G362" s="21" t="n">
        <f aca="false">IF(E362,D362^2,0)</f>
        <v>0</v>
      </c>
      <c r="H362" s="3"/>
    </row>
    <row r="363" customFormat="false" ht="15" hidden="false" customHeight="true" outlineLevel="0" collapsed="false">
      <c r="A363" s="16"/>
      <c r="B363" s="16"/>
      <c r="C363" s="15"/>
      <c r="D363" s="19"/>
      <c r="E363" s="20" t="b">
        <f aca="false">AND(A363&lt;&gt;"",C363&lt;&gt;"",D363&lt;&gt;"",C363&gt;='Read Me'!$B$5)</f>
        <v>0</v>
      </c>
      <c r="F363" s="23" t="str">
        <f aca="false">IF(E363,D363,"")</f>
        <v/>
      </c>
      <c r="G363" s="21" t="n">
        <f aca="false">IF(E363,D363^2,0)</f>
        <v>0</v>
      </c>
      <c r="H363" s="3"/>
    </row>
    <row r="364" customFormat="false" ht="15" hidden="false" customHeight="true" outlineLevel="0" collapsed="false">
      <c r="A364" s="16"/>
      <c r="B364" s="16"/>
      <c r="C364" s="15"/>
      <c r="D364" s="19"/>
      <c r="E364" s="20" t="b">
        <f aca="false">AND(A364&lt;&gt;"",C364&lt;&gt;"",D364&lt;&gt;"",C364&gt;='Read Me'!$B$5)</f>
        <v>0</v>
      </c>
      <c r="F364" s="23" t="str">
        <f aca="false">IF(E364,D364,"")</f>
        <v/>
      </c>
      <c r="G364" s="21" t="n">
        <f aca="false">IF(E364,D364^2,0)</f>
        <v>0</v>
      </c>
      <c r="H364" s="3"/>
    </row>
    <row r="365" customFormat="false" ht="15" hidden="false" customHeight="true" outlineLevel="0" collapsed="false">
      <c r="A365" s="16"/>
      <c r="B365" s="16"/>
      <c r="C365" s="15"/>
      <c r="D365" s="19"/>
      <c r="E365" s="20" t="b">
        <f aca="false">AND(A365&lt;&gt;"",C365&lt;&gt;"",D365&lt;&gt;"",C365&gt;='Read Me'!$B$5)</f>
        <v>0</v>
      </c>
      <c r="F365" s="23" t="str">
        <f aca="false">IF(E365,D365,"")</f>
        <v/>
      </c>
      <c r="G365" s="21" t="n">
        <f aca="false">IF(E365,D365^2,0)</f>
        <v>0</v>
      </c>
      <c r="H365" s="3"/>
    </row>
    <row r="366" customFormat="false" ht="15" hidden="false" customHeight="true" outlineLevel="0" collapsed="false">
      <c r="A366" s="16"/>
      <c r="B366" s="16"/>
      <c r="C366" s="15"/>
      <c r="D366" s="19"/>
      <c r="E366" s="20" t="b">
        <f aca="false">AND(A366&lt;&gt;"",C366&lt;&gt;"",D366&lt;&gt;"",C366&gt;='Read Me'!$B$5)</f>
        <v>0</v>
      </c>
      <c r="F366" s="23" t="str">
        <f aca="false">IF(E366,D366,"")</f>
        <v/>
      </c>
      <c r="G366" s="21" t="n">
        <f aca="false">IF(E366,D366^2,0)</f>
        <v>0</v>
      </c>
      <c r="H366" s="3"/>
    </row>
    <row r="367" customFormat="false" ht="15" hidden="false" customHeight="true" outlineLevel="0" collapsed="false">
      <c r="A367" s="16"/>
      <c r="B367" s="16"/>
      <c r="C367" s="15"/>
      <c r="D367" s="19"/>
      <c r="E367" s="20" t="b">
        <f aca="false">AND(A367&lt;&gt;"",C367&lt;&gt;"",D367&lt;&gt;"",C367&gt;='Read Me'!$B$5)</f>
        <v>0</v>
      </c>
      <c r="F367" s="23" t="str">
        <f aca="false">IF(E367,D367,"")</f>
        <v/>
      </c>
      <c r="G367" s="21" t="n">
        <f aca="false">IF(E367,D367^2,0)</f>
        <v>0</v>
      </c>
      <c r="H367" s="3"/>
    </row>
    <row r="368" customFormat="false" ht="15" hidden="false" customHeight="true" outlineLevel="0" collapsed="false">
      <c r="A368" s="16"/>
      <c r="B368" s="16"/>
      <c r="C368" s="15"/>
      <c r="D368" s="19"/>
      <c r="E368" s="20" t="b">
        <f aca="false">AND(A368&lt;&gt;"",C368&lt;&gt;"",D368&lt;&gt;"",C368&gt;='Read Me'!$B$5)</f>
        <v>0</v>
      </c>
      <c r="F368" s="23" t="str">
        <f aca="false">IF(E368,D368,"")</f>
        <v/>
      </c>
      <c r="G368" s="21" t="n">
        <f aca="false">IF(E368,D368^2,0)</f>
        <v>0</v>
      </c>
      <c r="H368" s="3"/>
    </row>
    <row r="369" customFormat="false" ht="15" hidden="false" customHeight="true" outlineLevel="0" collapsed="false">
      <c r="A369" s="16"/>
      <c r="B369" s="16"/>
      <c r="C369" s="15"/>
      <c r="D369" s="19"/>
      <c r="E369" s="20" t="b">
        <f aca="false">AND(A369&lt;&gt;"",C369&lt;&gt;"",D369&lt;&gt;"",C369&gt;='Read Me'!$B$5)</f>
        <v>0</v>
      </c>
      <c r="F369" s="23" t="str">
        <f aca="false">IF(E369,D369,"")</f>
        <v/>
      </c>
      <c r="G369" s="21" t="n">
        <f aca="false">IF(E369,D369^2,0)</f>
        <v>0</v>
      </c>
      <c r="H369" s="3"/>
    </row>
    <row r="370" customFormat="false" ht="15" hidden="false" customHeight="true" outlineLevel="0" collapsed="false">
      <c r="A370" s="16"/>
      <c r="B370" s="16"/>
      <c r="C370" s="15"/>
      <c r="D370" s="19"/>
      <c r="E370" s="20" t="b">
        <f aca="false">AND(A370&lt;&gt;"",C370&lt;&gt;"",D370&lt;&gt;"",C370&gt;='Read Me'!$B$5)</f>
        <v>0</v>
      </c>
      <c r="F370" s="23" t="str">
        <f aca="false">IF(E370,D370,"")</f>
        <v/>
      </c>
      <c r="G370" s="21" t="n">
        <f aca="false">IF(E370,D370^2,0)</f>
        <v>0</v>
      </c>
      <c r="H370" s="3"/>
    </row>
    <row r="371" customFormat="false" ht="15" hidden="false" customHeight="true" outlineLevel="0" collapsed="false">
      <c r="A371" s="16"/>
      <c r="B371" s="16"/>
      <c r="C371" s="15"/>
      <c r="D371" s="19"/>
      <c r="E371" s="20" t="b">
        <f aca="false">AND(A371&lt;&gt;"",C371&lt;&gt;"",D371&lt;&gt;"",C371&gt;='Read Me'!$B$5)</f>
        <v>0</v>
      </c>
      <c r="F371" s="23" t="str">
        <f aca="false">IF(E371,D371,"")</f>
        <v/>
      </c>
      <c r="G371" s="21" t="n">
        <f aca="false">IF(E371,D371^2,0)</f>
        <v>0</v>
      </c>
      <c r="H371" s="3"/>
    </row>
    <row r="372" customFormat="false" ht="15" hidden="false" customHeight="true" outlineLevel="0" collapsed="false">
      <c r="A372" s="16"/>
      <c r="B372" s="16"/>
      <c r="C372" s="15"/>
      <c r="D372" s="19"/>
      <c r="E372" s="20" t="b">
        <f aca="false">AND(A372&lt;&gt;"",C372&lt;&gt;"",D372&lt;&gt;"",C372&gt;='Read Me'!$B$5)</f>
        <v>0</v>
      </c>
      <c r="F372" s="23" t="str">
        <f aca="false">IF(E372,D372,"")</f>
        <v/>
      </c>
      <c r="G372" s="21" t="n">
        <f aca="false">IF(E372,D372^2,0)</f>
        <v>0</v>
      </c>
      <c r="H372" s="3"/>
    </row>
    <row r="373" customFormat="false" ht="15" hidden="false" customHeight="true" outlineLevel="0" collapsed="false">
      <c r="A373" s="16"/>
      <c r="B373" s="16"/>
      <c r="C373" s="15"/>
      <c r="D373" s="19"/>
      <c r="E373" s="20" t="b">
        <f aca="false">AND(A373&lt;&gt;"",C373&lt;&gt;"",D373&lt;&gt;"",C373&gt;='Read Me'!$B$5)</f>
        <v>0</v>
      </c>
      <c r="F373" s="23" t="str">
        <f aca="false">IF(E373,D373,"")</f>
        <v/>
      </c>
      <c r="G373" s="21" t="n">
        <f aca="false">IF(E373,D373^2,0)</f>
        <v>0</v>
      </c>
      <c r="H373" s="3"/>
    </row>
    <row r="374" customFormat="false" ht="15" hidden="false" customHeight="true" outlineLevel="0" collapsed="false">
      <c r="A374" s="16"/>
      <c r="B374" s="16"/>
      <c r="C374" s="15"/>
      <c r="D374" s="19"/>
      <c r="E374" s="20" t="b">
        <f aca="false">AND(A374&lt;&gt;"",C374&lt;&gt;"",D374&lt;&gt;"",C374&gt;='Read Me'!$B$5)</f>
        <v>0</v>
      </c>
      <c r="F374" s="23" t="str">
        <f aca="false">IF(E374,D374,"")</f>
        <v/>
      </c>
      <c r="G374" s="21" t="n">
        <f aca="false">IF(E374,D374^2,0)</f>
        <v>0</v>
      </c>
      <c r="H374" s="3"/>
    </row>
    <row r="375" customFormat="false" ht="15" hidden="false" customHeight="true" outlineLevel="0" collapsed="false">
      <c r="A375" s="16"/>
      <c r="B375" s="16"/>
      <c r="C375" s="15"/>
      <c r="D375" s="19"/>
      <c r="E375" s="20" t="b">
        <f aca="false">AND(A375&lt;&gt;"",C375&lt;&gt;"",D375&lt;&gt;"",C375&gt;='Read Me'!$B$5)</f>
        <v>0</v>
      </c>
      <c r="F375" s="23" t="str">
        <f aca="false">IF(E375,D375,"")</f>
        <v/>
      </c>
      <c r="G375" s="21" t="n">
        <f aca="false">IF(E375,D375^2,0)</f>
        <v>0</v>
      </c>
      <c r="H375" s="3"/>
    </row>
    <row r="376" customFormat="false" ht="15" hidden="false" customHeight="true" outlineLevel="0" collapsed="false">
      <c r="A376" s="16"/>
      <c r="B376" s="16"/>
      <c r="C376" s="15"/>
      <c r="D376" s="19"/>
      <c r="E376" s="20" t="b">
        <f aca="false">AND(A376&lt;&gt;"",C376&lt;&gt;"",D376&lt;&gt;"",C376&gt;='Read Me'!$B$5)</f>
        <v>0</v>
      </c>
      <c r="F376" s="23" t="str">
        <f aca="false">IF(E376,D376,"")</f>
        <v/>
      </c>
      <c r="G376" s="21" t="n">
        <f aca="false">IF(E376,D376^2,0)</f>
        <v>0</v>
      </c>
      <c r="H376" s="3"/>
    </row>
    <row r="377" customFormat="false" ht="15" hidden="false" customHeight="true" outlineLevel="0" collapsed="false">
      <c r="A377" s="16"/>
      <c r="B377" s="16"/>
      <c r="C377" s="15"/>
      <c r="D377" s="19"/>
      <c r="E377" s="20" t="b">
        <f aca="false">AND(A377&lt;&gt;"",C377&lt;&gt;"",D377&lt;&gt;"",C377&gt;='Read Me'!$B$5)</f>
        <v>0</v>
      </c>
      <c r="F377" s="23" t="str">
        <f aca="false">IF(E377,D377,"")</f>
        <v/>
      </c>
      <c r="G377" s="21" t="n">
        <f aca="false">IF(E377,D377^2,0)</f>
        <v>0</v>
      </c>
      <c r="H377" s="3"/>
    </row>
    <row r="378" customFormat="false" ht="15" hidden="false" customHeight="true" outlineLevel="0" collapsed="false">
      <c r="A378" s="16"/>
      <c r="B378" s="16"/>
      <c r="C378" s="15"/>
      <c r="D378" s="19"/>
      <c r="E378" s="20" t="b">
        <f aca="false">AND(A378&lt;&gt;"",C378&lt;&gt;"",D378&lt;&gt;"",C378&gt;='Read Me'!$B$5)</f>
        <v>0</v>
      </c>
      <c r="F378" s="23" t="str">
        <f aca="false">IF(E378,D378,"")</f>
        <v/>
      </c>
      <c r="G378" s="21" t="n">
        <f aca="false">IF(E378,D378^2,0)</f>
        <v>0</v>
      </c>
      <c r="H378" s="3"/>
    </row>
    <row r="379" customFormat="false" ht="15" hidden="false" customHeight="true" outlineLevel="0" collapsed="false">
      <c r="A379" s="16"/>
      <c r="B379" s="16"/>
      <c r="C379" s="15"/>
      <c r="D379" s="19"/>
      <c r="E379" s="20" t="b">
        <f aca="false">AND(A379&lt;&gt;"",C379&lt;&gt;"",D379&lt;&gt;"",C379&gt;='Read Me'!$B$5)</f>
        <v>0</v>
      </c>
      <c r="F379" s="23" t="str">
        <f aca="false">IF(E379,D379,"")</f>
        <v/>
      </c>
      <c r="G379" s="21" t="n">
        <f aca="false">IF(E379,D379^2,0)</f>
        <v>0</v>
      </c>
      <c r="H379" s="3"/>
    </row>
    <row r="380" customFormat="false" ht="15" hidden="false" customHeight="true" outlineLevel="0" collapsed="false">
      <c r="A380" s="16"/>
      <c r="B380" s="16"/>
      <c r="C380" s="15"/>
      <c r="D380" s="19"/>
      <c r="E380" s="20" t="b">
        <f aca="false">AND(A380&lt;&gt;"",C380&lt;&gt;"",D380&lt;&gt;"",C380&gt;='Read Me'!$B$5)</f>
        <v>0</v>
      </c>
      <c r="F380" s="23" t="str">
        <f aca="false">IF(E380,D380,"")</f>
        <v/>
      </c>
      <c r="G380" s="21" t="n">
        <f aca="false">IF(E380,D380^2,0)</f>
        <v>0</v>
      </c>
      <c r="H380" s="3"/>
    </row>
    <row r="381" customFormat="false" ht="15" hidden="false" customHeight="true" outlineLevel="0" collapsed="false">
      <c r="A381" s="16"/>
      <c r="B381" s="16"/>
      <c r="C381" s="15"/>
      <c r="D381" s="19"/>
      <c r="E381" s="20" t="b">
        <f aca="false">AND(A381&lt;&gt;"",C381&lt;&gt;"",D381&lt;&gt;"",C381&gt;='Read Me'!$B$5)</f>
        <v>0</v>
      </c>
      <c r="F381" s="23" t="str">
        <f aca="false">IF(E381,D381,"")</f>
        <v/>
      </c>
      <c r="G381" s="21" t="n">
        <f aca="false">IF(E381,D381^2,0)</f>
        <v>0</v>
      </c>
      <c r="H381" s="3"/>
    </row>
    <row r="382" customFormat="false" ht="15" hidden="false" customHeight="true" outlineLevel="0" collapsed="false">
      <c r="A382" s="16"/>
      <c r="B382" s="16"/>
      <c r="C382" s="15"/>
      <c r="D382" s="19"/>
      <c r="E382" s="20" t="b">
        <f aca="false">AND(A382&lt;&gt;"",C382&lt;&gt;"",D382&lt;&gt;"",C382&gt;='Read Me'!$B$5)</f>
        <v>0</v>
      </c>
      <c r="F382" s="23" t="str">
        <f aca="false">IF(E382,D382,"")</f>
        <v/>
      </c>
      <c r="G382" s="21" t="n">
        <f aca="false">IF(E382,D382^2,0)</f>
        <v>0</v>
      </c>
      <c r="H382" s="3"/>
    </row>
    <row r="383" customFormat="false" ht="15" hidden="false" customHeight="true" outlineLevel="0" collapsed="false">
      <c r="A383" s="16"/>
      <c r="B383" s="16"/>
      <c r="C383" s="15"/>
      <c r="D383" s="19"/>
      <c r="E383" s="20" t="b">
        <f aca="false">AND(A383&lt;&gt;"",C383&lt;&gt;"",D383&lt;&gt;"",C383&gt;='Read Me'!$B$5)</f>
        <v>0</v>
      </c>
      <c r="F383" s="23" t="str">
        <f aca="false">IF(E383,D383,"")</f>
        <v/>
      </c>
      <c r="G383" s="21" t="n">
        <f aca="false">IF(E383,D383^2,0)</f>
        <v>0</v>
      </c>
      <c r="H383" s="3"/>
    </row>
    <row r="384" customFormat="false" ht="15" hidden="false" customHeight="true" outlineLevel="0" collapsed="false">
      <c r="A384" s="16"/>
      <c r="B384" s="16"/>
      <c r="C384" s="15"/>
      <c r="D384" s="19"/>
      <c r="E384" s="20" t="b">
        <f aca="false">AND(A384&lt;&gt;"",C384&lt;&gt;"",D384&lt;&gt;"",C384&gt;='Read Me'!$B$5)</f>
        <v>0</v>
      </c>
      <c r="F384" s="23" t="str">
        <f aca="false">IF(E384,D384,"")</f>
        <v/>
      </c>
      <c r="G384" s="21" t="n">
        <f aca="false">IF(E384,D384^2,0)</f>
        <v>0</v>
      </c>
      <c r="H384" s="3"/>
    </row>
    <row r="385" customFormat="false" ht="15" hidden="false" customHeight="true" outlineLevel="0" collapsed="false">
      <c r="A385" s="16"/>
      <c r="B385" s="16"/>
      <c r="C385" s="15"/>
      <c r="D385" s="19"/>
      <c r="E385" s="20" t="b">
        <f aca="false">AND(A385&lt;&gt;"",C385&lt;&gt;"",D385&lt;&gt;"",C385&gt;='Read Me'!$B$5)</f>
        <v>0</v>
      </c>
      <c r="F385" s="23" t="str">
        <f aca="false">IF(E385,D385,"")</f>
        <v/>
      </c>
      <c r="G385" s="21" t="n">
        <f aca="false">IF(E385,D385^2,0)</f>
        <v>0</v>
      </c>
      <c r="H385" s="3"/>
    </row>
    <row r="386" customFormat="false" ht="15" hidden="false" customHeight="true" outlineLevel="0" collapsed="false">
      <c r="A386" s="16"/>
      <c r="B386" s="16"/>
      <c r="C386" s="15"/>
      <c r="D386" s="19"/>
      <c r="E386" s="20" t="b">
        <f aca="false">AND(A386&lt;&gt;"",C386&lt;&gt;"",D386&lt;&gt;"",C386&gt;='Read Me'!$B$5)</f>
        <v>0</v>
      </c>
      <c r="F386" s="23" t="str">
        <f aca="false">IF(E386,D386,"")</f>
        <v/>
      </c>
      <c r="G386" s="21" t="n">
        <f aca="false">IF(E386,D386^2,0)</f>
        <v>0</v>
      </c>
      <c r="H386" s="3"/>
    </row>
    <row r="387" customFormat="false" ht="15" hidden="false" customHeight="true" outlineLevel="0" collapsed="false">
      <c r="A387" s="16"/>
      <c r="B387" s="16"/>
      <c r="C387" s="15"/>
      <c r="D387" s="19"/>
      <c r="E387" s="20" t="b">
        <f aca="false">AND(A387&lt;&gt;"",C387&lt;&gt;"",D387&lt;&gt;"",C387&gt;='Read Me'!$B$5)</f>
        <v>0</v>
      </c>
      <c r="F387" s="23" t="str">
        <f aca="false">IF(E387,D387,"")</f>
        <v/>
      </c>
      <c r="G387" s="21" t="n">
        <f aca="false">IF(E387,D387^2,0)</f>
        <v>0</v>
      </c>
      <c r="H387" s="3"/>
    </row>
    <row r="388" customFormat="false" ht="15" hidden="false" customHeight="true" outlineLevel="0" collapsed="false">
      <c r="A388" s="16"/>
      <c r="B388" s="16"/>
      <c r="C388" s="15"/>
      <c r="D388" s="19"/>
      <c r="E388" s="20" t="b">
        <f aca="false">AND(A388&lt;&gt;"",C388&lt;&gt;"",D388&lt;&gt;"",C388&gt;='Read Me'!$B$5)</f>
        <v>0</v>
      </c>
      <c r="F388" s="23" t="str">
        <f aca="false">IF(E388,D388,"")</f>
        <v/>
      </c>
      <c r="G388" s="21" t="n">
        <f aca="false">IF(E388,D388^2,0)</f>
        <v>0</v>
      </c>
      <c r="H388" s="3"/>
    </row>
    <row r="389" customFormat="false" ht="15" hidden="false" customHeight="true" outlineLevel="0" collapsed="false">
      <c r="A389" s="16"/>
      <c r="B389" s="16"/>
      <c r="C389" s="15"/>
      <c r="D389" s="19"/>
      <c r="E389" s="20" t="b">
        <f aca="false">AND(A389&lt;&gt;"",C389&lt;&gt;"",D389&lt;&gt;"",C389&gt;='Read Me'!$B$5)</f>
        <v>0</v>
      </c>
      <c r="F389" s="23" t="str">
        <f aca="false">IF(E389,D389,"")</f>
        <v/>
      </c>
      <c r="G389" s="21" t="n">
        <f aca="false">IF(E389,D389^2,0)</f>
        <v>0</v>
      </c>
      <c r="H389" s="3"/>
    </row>
    <row r="390" customFormat="false" ht="15" hidden="false" customHeight="true" outlineLevel="0" collapsed="false">
      <c r="A390" s="16"/>
      <c r="B390" s="16"/>
      <c r="C390" s="15"/>
      <c r="D390" s="19"/>
      <c r="E390" s="20" t="b">
        <f aca="false">AND(A390&lt;&gt;"",C390&lt;&gt;"",D390&lt;&gt;"",C390&gt;='Read Me'!$B$5)</f>
        <v>0</v>
      </c>
      <c r="F390" s="23" t="str">
        <f aca="false">IF(E390,D390,"")</f>
        <v/>
      </c>
      <c r="G390" s="21" t="n">
        <f aca="false">IF(E390,D390^2,0)</f>
        <v>0</v>
      </c>
      <c r="H390" s="3"/>
    </row>
    <row r="391" customFormat="false" ht="15" hidden="false" customHeight="true" outlineLevel="0" collapsed="false">
      <c r="A391" s="16"/>
      <c r="B391" s="16"/>
      <c r="C391" s="15"/>
      <c r="D391" s="19"/>
      <c r="E391" s="20" t="b">
        <f aca="false">AND(A391&lt;&gt;"",C391&lt;&gt;"",D391&lt;&gt;"",C391&gt;='Read Me'!$B$5)</f>
        <v>0</v>
      </c>
      <c r="F391" s="23" t="str">
        <f aca="false">IF(E391,D391,"")</f>
        <v/>
      </c>
      <c r="G391" s="21" t="n">
        <f aca="false">IF(E391,D391^2,0)</f>
        <v>0</v>
      </c>
      <c r="H391" s="3"/>
    </row>
    <row r="392" customFormat="false" ht="15" hidden="false" customHeight="true" outlineLevel="0" collapsed="false">
      <c r="A392" s="16"/>
      <c r="B392" s="16"/>
      <c r="C392" s="15"/>
      <c r="D392" s="19"/>
      <c r="E392" s="20" t="b">
        <f aca="false">AND(A392&lt;&gt;"",C392&lt;&gt;"",D392&lt;&gt;"",C392&gt;='Read Me'!$B$5)</f>
        <v>0</v>
      </c>
      <c r="F392" s="23" t="str">
        <f aca="false">IF(E392,D392,"")</f>
        <v/>
      </c>
      <c r="G392" s="21" t="n">
        <f aca="false">IF(E392,D392^2,0)</f>
        <v>0</v>
      </c>
      <c r="H392" s="3"/>
    </row>
    <row r="393" customFormat="false" ht="15" hidden="false" customHeight="true" outlineLevel="0" collapsed="false">
      <c r="A393" s="16"/>
      <c r="B393" s="16"/>
      <c r="C393" s="15"/>
      <c r="D393" s="19"/>
      <c r="E393" s="20" t="b">
        <f aca="false">AND(A393&lt;&gt;"",C393&lt;&gt;"",D393&lt;&gt;"",C393&gt;='Read Me'!$B$5)</f>
        <v>0</v>
      </c>
      <c r="F393" s="23" t="str">
        <f aca="false">IF(E393,D393,"")</f>
        <v/>
      </c>
      <c r="G393" s="21" t="n">
        <f aca="false">IF(E393,D393^2,0)</f>
        <v>0</v>
      </c>
      <c r="H393" s="3"/>
    </row>
    <row r="394" customFormat="false" ht="15" hidden="false" customHeight="true" outlineLevel="0" collapsed="false">
      <c r="A394" s="16"/>
      <c r="B394" s="16"/>
      <c r="C394" s="15"/>
      <c r="D394" s="19"/>
      <c r="E394" s="20" t="b">
        <f aca="false">AND(A394&lt;&gt;"",C394&lt;&gt;"",D394&lt;&gt;"",C394&gt;='Read Me'!$B$5)</f>
        <v>0</v>
      </c>
      <c r="F394" s="23" t="str">
        <f aca="false">IF(E394,D394,"")</f>
        <v/>
      </c>
      <c r="G394" s="21" t="n">
        <f aca="false">IF(E394,D394^2,0)</f>
        <v>0</v>
      </c>
      <c r="H394" s="3"/>
    </row>
    <row r="395" customFormat="false" ht="15" hidden="false" customHeight="true" outlineLevel="0" collapsed="false">
      <c r="A395" s="16"/>
      <c r="B395" s="16"/>
      <c r="C395" s="15"/>
      <c r="D395" s="19"/>
      <c r="E395" s="20" t="b">
        <f aca="false">AND(A395&lt;&gt;"",C395&lt;&gt;"",D395&lt;&gt;"",C395&gt;='Read Me'!$B$5)</f>
        <v>0</v>
      </c>
      <c r="F395" s="23" t="str">
        <f aca="false">IF(E395,D395,"")</f>
        <v/>
      </c>
      <c r="G395" s="21" t="n">
        <f aca="false">IF(E395,D395^2,0)</f>
        <v>0</v>
      </c>
      <c r="H395" s="3"/>
    </row>
    <row r="396" customFormat="false" ht="15" hidden="false" customHeight="true" outlineLevel="0" collapsed="false">
      <c r="A396" s="16"/>
      <c r="B396" s="16"/>
      <c r="C396" s="15"/>
      <c r="D396" s="19"/>
      <c r="E396" s="20" t="b">
        <f aca="false">AND(A396&lt;&gt;"",C396&lt;&gt;"",D396&lt;&gt;"",C396&gt;='Read Me'!$B$5)</f>
        <v>0</v>
      </c>
      <c r="F396" s="23" t="str">
        <f aca="false">IF(E396,D396,"")</f>
        <v/>
      </c>
      <c r="G396" s="21" t="n">
        <f aca="false">IF(E396,D396^2,0)</f>
        <v>0</v>
      </c>
      <c r="H396" s="3"/>
    </row>
    <row r="397" customFormat="false" ht="15" hidden="false" customHeight="true" outlineLevel="0" collapsed="false">
      <c r="A397" s="16"/>
      <c r="B397" s="16"/>
      <c r="C397" s="15"/>
      <c r="D397" s="19"/>
      <c r="E397" s="20" t="b">
        <f aca="false">AND(A397&lt;&gt;"",C397&lt;&gt;"",D397&lt;&gt;"",C397&gt;='Read Me'!$B$5)</f>
        <v>0</v>
      </c>
      <c r="F397" s="23" t="str">
        <f aca="false">IF(E397,D397,"")</f>
        <v/>
      </c>
      <c r="G397" s="21" t="n">
        <f aca="false">IF(E397,D397^2,0)</f>
        <v>0</v>
      </c>
      <c r="H397" s="3"/>
    </row>
    <row r="398" customFormat="false" ht="15" hidden="false" customHeight="true" outlineLevel="0" collapsed="false">
      <c r="A398" s="16"/>
      <c r="B398" s="16"/>
      <c r="C398" s="15"/>
      <c r="D398" s="19"/>
      <c r="E398" s="20" t="b">
        <f aca="false">AND(A398&lt;&gt;"",C398&lt;&gt;"",D398&lt;&gt;"",C398&gt;='Read Me'!$B$5)</f>
        <v>0</v>
      </c>
      <c r="F398" s="23" t="str">
        <f aca="false">IF(E398,D398,"")</f>
        <v/>
      </c>
      <c r="G398" s="21" t="n">
        <f aca="false">IF(E398,D398^2,0)</f>
        <v>0</v>
      </c>
      <c r="H398" s="3"/>
    </row>
    <row r="399" customFormat="false" ht="15" hidden="false" customHeight="true" outlineLevel="0" collapsed="false">
      <c r="A399" s="16"/>
      <c r="B399" s="16"/>
      <c r="C399" s="15"/>
      <c r="D399" s="19"/>
      <c r="E399" s="20" t="b">
        <f aca="false">AND(A399&lt;&gt;"",C399&lt;&gt;"",D399&lt;&gt;"",C399&gt;='Read Me'!$B$5)</f>
        <v>0</v>
      </c>
      <c r="F399" s="23" t="str">
        <f aca="false">IF(E399,D399,"")</f>
        <v/>
      </c>
      <c r="G399" s="21" t="n">
        <f aca="false">IF(E399,D399^2,0)</f>
        <v>0</v>
      </c>
      <c r="H399" s="3"/>
    </row>
    <row r="400" customFormat="false" ht="15" hidden="false" customHeight="true" outlineLevel="0" collapsed="false">
      <c r="A400" s="16"/>
      <c r="B400" s="16"/>
      <c r="C400" s="15"/>
      <c r="D400" s="19"/>
      <c r="E400" s="20" t="b">
        <f aca="false">AND(A400&lt;&gt;"",C400&lt;&gt;"",D400&lt;&gt;"",C400&gt;='Read Me'!$B$5)</f>
        <v>0</v>
      </c>
      <c r="F400" s="23" t="str">
        <f aca="false">IF(E400,D400,"")</f>
        <v/>
      </c>
      <c r="G400" s="21" t="n">
        <f aca="false">IF(E400,D400^2,0)</f>
        <v>0</v>
      </c>
      <c r="H400" s="3"/>
    </row>
    <row r="401" customFormat="false" ht="15" hidden="false" customHeight="true" outlineLevel="0" collapsed="false">
      <c r="A401" s="16"/>
      <c r="B401" s="16"/>
      <c r="C401" s="15"/>
      <c r="D401" s="19"/>
      <c r="E401" s="20" t="b">
        <f aca="false">AND(A401&lt;&gt;"",C401&lt;&gt;"",D401&lt;&gt;"",C401&gt;='Read Me'!$B$5)</f>
        <v>0</v>
      </c>
      <c r="F401" s="23" t="str">
        <f aca="false">IF(E401,D401,"")</f>
        <v/>
      </c>
      <c r="G401" s="21" t="n">
        <f aca="false">IF(E401,D401^2,0)</f>
        <v>0</v>
      </c>
      <c r="H401" s="3"/>
    </row>
    <row r="402" customFormat="false" ht="15" hidden="false" customHeight="true" outlineLevel="0" collapsed="false">
      <c r="A402" s="16"/>
      <c r="B402" s="16"/>
      <c r="C402" s="15"/>
      <c r="D402" s="19"/>
      <c r="E402" s="20" t="b">
        <f aca="false">AND(A402&lt;&gt;"",C402&lt;&gt;"",D402&lt;&gt;"",C402&gt;='Read Me'!$B$5)</f>
        <v>0</v>
      </c>
      <c r="F402" s="23" t="str">
        <f aca="false">IF(E402,D402,"")</f>
        <v/>
      </c>
      <c r="G402" s="21" t="n">
        <f aca="false">IF(E402,D402^2,0)</f>
        <v>0</v>
      </c>
      <c r="H402" s="3"/>
    </row>
    <row r="403" customFormat="false" ht="15" hidden="false" customHeight="true" outlineLevel="0" collapsed="false">
      <c r="A403" s="16"/>
      <c r="B403" s="16"/>
      <c r="C403" s="15"/>
      <c r="D403" s="19"/>
      <c r="E403" s="20" t="b">
        <f aca="false">AND(A403&lt;&gt;"",C403&lt;&gt;"",D403&lt;&gt;"",C403&gt;='Read Me'!$B$5)</f>
        <v>0</v>
      </c>
      <c r="F403" s="23" t="str">
        <f aca="false">IF(E403,D403,"")</f>
        <v/>
      </c>
      <c r="G403" s="21" t="n">
        <f aca="false">IF(E403,D403^2,0)</f>
        <v>0</v>
      </c>
      <c r="H403" s="3"/>
    </row>
    <row r="404" customFormat="false" ht="15" hidden="false" customHeight="true" outlineLevel="0" collapsed="false">
      <c r="A404" s="16"/>
      <c r="B404" s="16"/>
      <c r="C404" s="15"/>
      <c r="D404" s="19"/>
      <c r="E404" s="20" t="b">
        <f aca="false">AND(A404&lt;&gt;"",C404&lt;&gt;"",D404&lt;&gt;"",C404&gt;='Read Me'!$B$5)</f>
        <v>0</v>
      </c>
      <c r="F404" s="23" t="str">
        <f aca="false">IF(E404,D404,"")</f>
        <v/>
      </c>
      <c r="G404" s="21" t="n">
        <f aca="false">IF(E404,D404^2,0)</f>
        <v>0</v>
      </c>
      <c r="H404" s="3"/>
    </row>
    <row r="405" customFormat="false" ht="15" hidden="false" customHeight="true" outlineLevel="0" collapsed="false">
      <c r="A405" s="16"/>
      <c r="B405" s="16"/>
      <c r="C405" s="15"/>
      <c r="D405" s="19"/>
      <c r="E405" s="20" t="b">
        <f aca="false">AND(A405&lt;&gt;"",C405&lt;&gt;"",D405&lt;&gt;"",C405&gt;='Read Me'!$B$5)</f>
        <v>0</v>
      </c>
      <c r="F405" s="23" t="str">
        <f aca="false">IF(E405,D405,"")</f>
        <v/>
      </c>
      <c r="G405" s="21" t="n">
        <f aca="false">IF(E405,D405^2,0)</f>
        <v>0</v>
      </c>
      <c r="H405" s="3"/>
    </row>
    <row r="406" customFormat="false" ht="15" hidden="false" customHeight="true" outlineLevel="0" collapsed="false">
      <c r="A406" s="16"/>
      <c r="B406" s="16"/>
      <c r="C406" s="15"/>
      <c r="D406" s="19"/>
      <c r="E406" s="20" t="b">
        <f aca="false">AND(A406&lt;&gt;"",C406&lt;&gt;"",D406&lt;&gt;"",C406&gt;='Read Me'!$B$5)</f>
        <v>0</v>
      </c>
      <c r="F406" s="23" t="str">
        <f aca="false">IF(E406,D406,"")</f>
        <v/>
      </c>
      <c r="G406" s="21" t="n">
        <f aca="false">IF(E406,D406^2,0)</f>
        <v>0</v>
      </c>
      <c r="H406" s="3"/>
    </row>
    <row r="407" customFormat="false" ht="15" hidden="false" customHeight="true" outlineLevel="0" collapsed="false">
      <c r="A407" s="16"/>
      <c r="B407" s="16"/>
      <c r="C407" s="15"/>
      <c r="D407" s="19"/>
      <c r="E407" s="20" t="b">
        <f aca="false">AND(A407&lt;&gt;"",C407&lt;&gt;"",D407&lt;&gt;"",C407&gt;='Read Me'!$B$5)</f>
        <v>0</v>
      </c>
      <c r="F407" s="23" t="str">
        <f aca="false">IF(E407,D407,"")</f>
        <v/>
      </c>
      <c r="G407" s="21" t="n">
        <f aca="false">IF(E407,D407^2,0)</f>
        <v>0</v>
      </c>
      <c r="H407" s="3"/>
    </row>
    <row r="408" customFormat="false" ht="15" hidden="false" customHeight="true" outlineLevel="0" collapsed="false">
      <c r="A408" s="16"/>
      <c r="B408" s="16"/>
      <c r="C408" s="15"/>
      <c r="D408" s="19"/>
      <c r="E408" s="20" t="b">
        <f aca="false">AND(A408&lt;&gt;"",C408&lt;&gt;"",D408&lt;&gt;"",C408&gt;='Read Me'!$B$5)</f>
        <v>0</v>
      </c>
      <c r="F408" s="23" t="str">
        <f aca="false">IF(E408,D408,"")</f>
        <v/>
      </c>
      <c r="G408" s="21" t="n">
        <f aca="false">IF(E408,D408^2,0)</f>
        <v>0</v>
      </c>
      <c r="H408" s="3"/>
    </row>
    <row r="409" customFormat="false" ht="15" hidden="false" customHeight="true" outlineLevel="0" collapsed="false">
      <c r="A409" s="16"/>
      <c r="B409" s="16"/>
      <c r="C409" s="15"/>
      <c r="D409" s="19"/>
      <c r="E409" s="20" t="b">
        <f aca="false">AND(A409&lt;&gt;"",C409&lt;&gt;"",D409&lt;&gt;"",C409&gt;='Read Me'!$B$5)</f>
        <v>0</v>
      </c>
      <c r="F409" s="23" t="str">
        <f aca="false">IF(E409,D409,"")</f>
        <v/>
      </c>
      <c r="G409" s="21" t="n">
        <f aca="false">IF(E409,D409^2,0)</f>
        <v>0</v>
      </c>
      <c r="H409" s="3"/>
    </row>
    <row r="410" customFormat="false" ht="15" hidden="false" customHeight="true" outlineLevel="0" collapsed="false">
      <c r="A410" s="16"/>
      <c r="B410" s="16"/>
      <c r="C410" s="15"/>
      <c r="D410" s="19"/>
      <c r="E410" s="20" t="b">
        <f aca="false">AND(A410&lt;&gt;"",C410&lt;&gt;"",D410&lt;&gt;"",C410&gt;='Read Me'!$B$5)</f>
        <v>0</v>
      </c>
      <c r="F410" s="23" t="str">
        <f aca="false">IF(E410,D410,"")</f>
        <v/>
      </c>
      <c r="G410" s="21" t="n">
        <f aca="false">IF(E410,D410^2,0)</f>
        <v>0</v>
      </c>
      <c r="H410" s="3"/>
    </row>
    <row r="411" customFormat="false" ht="15" hidden="false" customHeight="true" outlineLevel="0" collapsed="false">
      <c r="A411" s="16"/>
      <c r="B411" s="16"/>
      <c r="C411" s="15"/>
      <c r="D411" s="19"/>
      <c r="E411" s="20" t="b">
        <f aca="false">AND(A411&lt;&gt;"",C411&lt;&gt;"",D411&lt;&gt;"",C411&gt;='Read Me'!$B$5)</f>
        <v>0</v>
      </c>
      <c r="F411" s="23" t="str">
        <f aca="false">IF(E411,D411,"")</f>
        <v/>
      </c>
      <c r="G411" s="21" t="n">
        <f aca="false">IF(E411,D411^2,0)</f>
        <v>0</v>
      </c>
      <c r="H411" s="3"/>
    </row>
    <row r="412" customFormat="false" ht="15" hidden="false" customHeight="true" outlineLevel="0" collapsed="false">
      <c r="A412" s="16"/>
      <c r="B412" s="16"/>
      <c r="C412" s="15"/>
      <c r="D412" s="19"/>
      <c r="E412" s="20" t="b">
        <f aca="false">AND(A412&lt;&gt;"",C412&lt;&gt;"",D412&lt;&gt;"",C412&gt;='Read Me'!$B$5)</f>
        <v>0</v>
      </c>
      <c r="F412" s="23" t="str">
        <f aca="false">IF(E412,D412,"")</f>
        <v/>
      </c>
      <c r="G412" s="21" t="n">
        <f aca="false">IF(E412,D412^2,0)</f>
        <v>0</v>
      </c>
      <c r="H412" s="3"/>
    </row>
    <row r="413" customFormat="false" ht="15" hidden="false" customHeight="true" outlineLevel="0" collapsed="false">
      <c r="A413" s="16"/>
      <c r="B413" s="16"/>
      <c r="C413" s="15"/>
      <c r="D413" s="19"/>
      <c r="E413" s="20" t="b">
        <f aca="false">AND(A413&lt;&gt;"",C413&lt;&gt;"",D413&lt;&gt;"",C413&gt;='Read Me'!$B$5)</f>
        <v>0</v>
      </c>
      <c r="F413" s="23" t="str">
        <f aca="false">IF(E413,D413,"")</f>
        <v/>
      </c>
      <c r="G413" s="21" t="n">
        <f aca="false">IF(E413,D413^2,0)</f>
        <v>0</v>
      </c>
      <c r="H413" s="3"/>
    </row>
    <row r="414" customFormat="false" ht="15" hidden="false" customHeight="true" outlineLevel="0" collapsed="false">
      <c r="A414" s="16"/>
      <c r="B414" s="16"/>
      <c r="C414" s="15"/>
      <c r="D414" s="19"/>
      <c r="E414" s="20" t="b">
        <f aca="false">AND(A414&lt;&gt;"",C414&lt;&gt;"",D414&lt;&gt;"",C414&gt;='Read Me'!$B$5)</f>
        <v>0</v>
      </c>
      <c r="F414" s="23" t="str">
        <f aca="false">IF(E414,D414,"")</f>
        <v/>
      </c>
      <c r="G414" s="21" t="n">
        <f aca="false">IF(E414,D414^2,0)</f>
        <v>0</v>
      </c>
      <c r="H414" s="3"/>
    </row>
    <row r="415" customFormat="false" ht="15" hidden="false" customHeight="true" outlineLevel="0" collapsed="false">
      <c r="A415" s="16"/>
      <c r="B415" s="16"/>
      <c r="C415" s="15"/>
      <c r="D415" s="19"/>
      <c r="E415" s="20" t="b">
        <f aca="false">AND(A415&lt;&gt;"",C415&lt;&gt;"",D415&lt;&gt;"",C415&gt;='Read Me'!$B$5)</f>
        <v>0</v>
      </c>
      <c r="F415" s="23" t="str">
        <f aca="false">IF(E415,D415,"")</f>
        <v/>
      </c>
      <c r="G415" s="21" t="n">
        <f aca="false">IF(E415,D415^2,0)</f>
        <v>0</v>
      </c>
      <c r="H415" s="3"/>
    </row>
    <row r="416" customFormat="false" ht="15" hidden="false" customHeight="true" outlineLevel="0" collapsed="false">
      <c r="A416" s="16"/>
      <c r="B416" s="16"/>
      <c r="C416" s="15"/>
      <c r="D416" s="19"/>
      <c r="E416" s="20" t="b">
        <f aca="false">AND(A416&lt;&gt;"",C416&lt;&gt;"",D416&lt;&gt;"",C416&gt;='Read Me'!$B$5)</f>
        <v>0</v>
      </c>
      <c r="F416" s="23" t="str">
        <f aca="false">IF(E416,D416,"")</f>
        <v/>
      </c>
      <c r="G416" s="21" t="n">
        <f aca="false">IF(E416,D416^2,0)</f>
        <v>0</v>
      </c>
      <c r="H416" s="3"/>
    </row>
    <row r="417" customFormat="false" ht="15" hidden="false" customHeight="true" outlineLevel="0" collapsed="false">
      <c r="A417" s="16"/>
      <c r="B417" s="16"/>
      <c r="C417" s="15"/>
      <c r="D417" s="19"/>
      <c r="E417" s="20" t="b">
        <f aca="false">AND(A417&lt;&gt;"",C417&lt;&gt;"",D417&lt;&gt;"",C417&gt;='Read Me'!$B$5)</f>
        <v>0</v>
      </c>
      <c r="F417" s="23" t="str">
        <f aca="false">IF(E417,D417,"")</f>
        <v/>
      </c>
      <c r="G417" s="21" t="n">
        <f aca="false">IF(E417,D417^2,0)</f>
        <v>0</v>
      </c>
      <c r="H417" s="3"/>
    </row>
    <row r="418" customFormat="false" ht="15" hidden="false" customHeight="true" outlineLevel="0" collapsed="false">
      <c r="A418" s="16"/>
      <c r="B418" s="16"/>
      <c r="C418" s="15"/>
      <c r="D418" s="19"/>
      <c r="E418" s="20" t="b">
        <f aca="false">AND(A418&lt;&gt;"",C418&lt;&gt;"",D418&lt;&gt;"",C418&gt;='Read Me'!$B$5)</f>
        <v>0</v>
      </c>
      <c r="F418" s="23" t="str">
        <f aca="false">IF(E418,D418,"")</f>
        <v/>
      </c>
      <c r="G418" s="21" t="n">
        <f aca="false">IF(E418,D418^2,0)</f>
        <v>0</v>
      </c>
      <c r="H418" s="3"/>
    </row>
    <row r="419" customFormat="false" ht="15" hidden="false" customHeight="true" outlineLevel="0" collapsed="false">
      <c r="A419" s="16"/>
      <c r="B419" s="16"/>
      <c r="C419" s="15"/>
      <c r="D419" s="19"/>
      <c r="E419" s="20" t="b">
        <f aca="false">AND(A419&lt;&gt;"",C419&lt;&gt;"",D419&lt;&gt;"",C419&gt;='Read Me'!$B$5)</f>
        <v>0</v>
      </c>
      <c r="F419" s="23" t="str">
        <f aca="false">IF(E419,D419,"")</f>
        <v/>
      </c>
      <c r="G419" s="21" t="n">
        <f aca="false">IF(E419,D419^2,0)</f>
        <v>0</v>
      </c>
      <c r="H419" s="3"/>
    </row>
    <row r="420" customFormat="false" ht="15" hidden="false" customHeight="true" outlineLevel="0" collapsed="false">
      <c r="A420" s="16"/>
      <c r="B420" s="16"/>
      <c r="C420" s="15"/>
      <c r="D420" s="19"/>
      <c r="E420" s="20" t="b">
        <f aca="false">AND(A420&lt;&gt;"",C420&lt;&gt;"",D420&lt;&gt;"",C420&gt;='Read Me'!$B$5)</f>
        <v>0</v>
      </c>
      <c r="F420" s="23" t="str">
        <f aca="false">IF(E420,D420,"")</f>
        <v/>
      </c>
      <c r="G420" s="21" t="n">
        <f aca="false">IF(E420,D420^2,0)</f>
        <v>0</v>
      </c>
      <c r="H420" s="3"/>
    </row>
    <row r="421" customFormat="false" ht="15" hidden="false" customHeight="true" outlineLevel="0" collapsed="false">
      <c r="A421" s="16"/>
      <c r="B421" s="16"/>
      <c r="C421" s="15"/>
      <c r="D421" s="19"/>
      <c r="E421" s="20" t="b">
        <f aca="false">AND(A421&lt;&gt;"",C421&lt;&gt;"",D421&lt;&gt;"",C421&gt;='Read Me'!$B$5)</f>
        <v>0</v>
      </c>
      <c r="F421" s="23" t="str">
        <f aca="false">IF(E421,D421,"")</f>
        <v/>
      </c>
      <c r="G421" s="21" t="n">
        <f aca="false">IF(E421,D421^2,0)</f>
        <v>0</v>
      </c>
      <c r="H421" s="3"/>
    </row>
    <row r="422" customFormat="false" ht="15" hidden="false" customHeight="true" outlineLevel="0" collapsed="false">
      <c r="A422" s="16"/>
      <c r="B422" s="16"/>
      <c r="C422" s="15"/>
      <c r="D422" s="19"/>
      <c r="E422" s="20" t="b">
        <f aca="false">AND(A422&lt;&gt;"",C422&lt;&gt;"",D422&lt;&gt;"",C422&gt;='Read Me'!$B$5)</f>
        <v>0</v>
      </c>
      <c r="F422" s="23" t="str">
        <f aca="false">IF(E422,D422,"")</f>
        <v/>
      </c>
      <c r="G422" s="21" t="n">
        <f aca="false">IF(E422,D422^2,0)</f>
        <v>0</v>
      </c>
      <c r="H422" s="3"/>
    </row>
    <row r="423" customFormat="false" ht="15" hidden="false" customHeight="true" outlineLevel="0" collapsed="false">
      <c r="A423" s="16"/>
      <c r="B423" s="16"/>
      <c r="C423" s="15"/>
      <c r="D423" s="19"/>
      <c r="E423" s="20" t="b">
        <f aca="false">AND(A423&lt;&gt;"",C423&lt;&gt;"",D423&lt;&gt;"",C423&gt;='Read Me'!$B$5)</f>
        <v>0</v>
      </c>
      <c r="F423" s="23" t="str">
        <f aca="false">IF(E423,D423,"")</f>
        <v/>
      </c>
      <c r="G423" s="21" t="n">
        <f aca="false">IF(E423,D423^2,0)</f>
        <v>0</v>
      </c>
      <c r="H423" s="3"/>
    </row>
    <row r="424" customFormat="false" ht="15" hidden="false" customHeight="true" outlineLevel="0" collapsed="false">
      <c r="A424" s="16"/>
      <c r="B424" s="16"/>
      <c r="C424" s="15"/>
      <c r="D424" s="19"/>
      <c r="E424" s="20" t="b">
        <f aca="false">AND(A424&lt;&gt;"",C424&lt;&gt;"",D424&lt;&gt;"",C424&gt;='Read Me'!$B$5)</f>
        <v>0</v>
      </c>
      <c r="F424" s="23" t="str">
        <f aca="false">IF(E424,D424,"")</f>
        <v/>
      </c>
      <c r="G424" s="21" t="n">
        <f aca="false">IF(E424,D424^2,0)</f>
        <v>0</v>
      </c>
      <c r="H424" s="3"/>
    </row>
    <row r="425" customFormat="false" ht="15" hidden="false" customHeight="true" outlineLevel="0" collapsed="false">
      <c r="A425" s="16"/>
      <c r="B425" s="16"/>
      <c r="C425" s="15"/>
      <c r="D425" s="19"/>
      <c r="E425" s="20" t="b">
        <f aca="false">AND(A425&lt;&gt;"",C425&lt;&gt;"",D425&lt;&gt;"",C425&gt;='Read Me'!$B$5)</f>
        <v>0</v>
      </c>
      <c r="F425" s="23" t="str">
        <f aca="false">IF(E425,D425,"")</f>
        <v/>
      </c>
      <c r="G425" s="21" t="n">
        <f aca="false">IF(E425,D425^2,0)</f>
        <v>0</v>
      </c>
      <c r="H425" s="3"/>
    </row>
    <row r="426" customFormat="false" ht="15" hidden="false" customHeight="true" outlineLevel="0" collapsed="false">
      <c r="A426" s="16"/>
      <c r="B426" s="16"/>
      <c r="C426" s="15"/>
      <c r="D426" s="19"/>
      <c r="E426" s="20" t="b">
        <f aca="false">AND(A426&lt;&gt;"",C426&lt;&gt;"",D426&lt;&gt;"",C426&gt;='Read Me'!$B$5)</f>
        <v>0</v>
      </c>
      <c r="F426" s="23" t="str">
        <f aca="false">IF(E426,D426,"")</f>
        <v/>
      </c>
      <c r="G426" s="21" t="n">
        <f aca="false">IF(E426,D426^2,0)</f>
        <v>0</v>
      </c>
      <c r="H426" s="3"/>
    </row>
    <row r="427" customFormat="false" ht="15" hidden="false" customHeight="true" outlineLevel="0" collapsed="false">
      <c r="A427" s="16"/>
      <c r="B427" s="16"/>
      <c r="C427" s="15"/>
      <c r="D427" s="19"/>
      <c r="E427" s="20" t="b">
        <f aca="false">AND(A427&lt;&gt;"",C427&lt;&gt;"",D427&lt;&gt;"",C427&gt;='Read Me'!$B$5)</f>
        <v>0</v>
      </c>
      <c r="F427" s="23" t="str">
        <f aca="false">IF(E427,D427,"")</f>
        <v/>
      </c>
      <c r="G427" s="21" t="n">
        <f aca="false">IF(E427,D427^2,0)</f>
        <v>0</v>
      </c>
      <c r="H427" s="3"/>
    </row>
    <row r="428" customFormat="false" ht="15" hidden="false" customHeight="true" outlineLevel="0" collapsed="false">
      <c r="A428" s="16"/>
      <c r="B428" s="16"/>
      <c r="C428" s="15"/>
      <c r="D428" s="19"/>
      <c r="E428" s="20" t="b">
        <f aca="false">AND(A428&lt;&gt;"",C428&lt;&gt;"",D428&lt;&gt;"",C428&gt;='Read Me'!$B$5)</f>
        <v>0</v>
      </c>
      <c r="F428" s="23" t="str">
        <f aca="false">IF(E428,D428,"")</f>
        <v/>
      </c>
      <c r="G428" s="21" t="n">
        <f aca="false">IF(E428,D428^2,0)</f>
        <v>0</v>
      </c>
      <c r="H428" s="3"/>
    </row>
    <row r="429" customFormat="false" ht="15" hidden="false" customHeight="true" outlineLevel="0" collapsed="false">
      <c r="A429" s="16"/>
      <c r="B429" s="16"/>
      <c r="C429" s="15"/>
      <c r="D429" s="19"/>
      <c r="E429" s="20" t="b">
        <f aca="false">AND(A429&lt;&gt;"",C429&lt;&gt;"",D429&lt;&gt;"",C429&gt;='Read Me'!$B$5)</f>
        <v>0</v>
      </c>
      <c r="F429" s="23" t="str">
        <f aca="false">IF(E429,D429,"")</f>
        <v/>
      </c>
      <c r="G429" s="21" t="n">
        <f aca="false">IF(E429,D429^2,0)</f>
        <v>0</v>
      </c>
      <c r="H429" s="3"/>
    </row>
    <row r="430" customFormat="false" ht="15" hidden="false" customHeight="true" outlineLevel="0" collapsed="false">
      <c r="A430" s="16"/>
      <c r="B430" s="16"/>
      <c r="C430" s="15"/>
      <c r="D430" s="19"/>
      <c r="E430" s="20" t="b">
        <f aca="false">AND(A430&lt;&gt;"",C430&lt;&gt;"",D430&lt;&gt;"",C430&gt;='Read Me'!$B$5)</f>
        <v>0</v>
      </c>
      <c r="F430" s="23" t="str">
        <f aca="false">IF(E430,D430,"")</f>
        <v/>
      </c>
      <c r="G430" s="21" t="n">
        <f aca="false">IF(E430,D430^2,0)</f>
        <v>0</v>
      </c>
      <c r="H430" s="3"/>
    </row>
    <row r="431" customFormat="false" ht="15" hidden="false" customHeight="true" outlineLevel="0" collapsed="false">
      <c r="A431" s="16"/>
      <c r="B431" s="16"/>
      <c r="C431" s="15"/>
      <c r="D431" s="19"/>
      <c r="E431" s="20" t="b">
        <f aca="false">AND(A431&lt;&gt;"",C431&lt;&gt;"",D431&lt;&gt;"",C431&gt;='Read Me'!$B$5)</f>
        <v>0</v>
      </c>
      <c r="F431" s="23" t="str">
        <f aca="false">IF(E431,D431,"")</f>
        <v/>
      </c>
      <c r="G431" s="21" t="n">
        <f aca="false">IF(E431,D431^2,0)</f>
        <v>0</v>
      </c>
      <c r="H431" s="3"/>
    </row>
    <row r="432" customFormat="false" ht="15" hidden="false" customHeight="true" outlineLevel="0" collapsed="false">
      <c r="A432" s="16"/>
      <c r="B432" s="16"/>
      <c r="C432" s="15"/>
      <c r="D432" s="19"/>
      <c r="E432" s="20" t="b">
        <f aca="false">AND(A432&lt;&gt;"",C432&lt;&gt;"",D432&lt;&gt;"",C432&gt;='Read Me'!$B$5)</f>
        <v>0</v>
      </c>
      <c r="F432" s="23" t="str">
        <f aca="false">IF(E432,D432,"")</f>
        <v/>
      </c>
      <c r="G432" s="21" t="n">
        <f aca="false">IF(E432,D432^2,0)</f>
        <v>0</v>
      </c>
      <c r="H432" s="3"/>
    </row>
    <row r="433" customFormat="false" ht="15" hidden="false" customHeight="true" outlineLevel="0" collapsed="false">
      <c r="A433" s="16"/>
      <c r="B433" s="16"/>
      <c r="C433" s="15"/>
      <c r="D433" s="19"/>
      <c r="E433" s="20" t="b">
        <f aca="false">AND(A433&lt;&gt;"",C433&lt;&gt;"",D433&lt;&gt;"",C433&gt;='Read Me'!$B$5)</f>
        <v>0</v>
      </c>
      <c r="F433" s="23" t="str">
        <f aca="false">IF(E433,D433,"")</f>
        <v/>
      </c>
      <c r="G433" s="21" t="n">
        <f aca="false">IF(E433,D433^2,0)</f>
        <v>0</v>
      </c>
      <c r="H433" s="3"/>
    </row>
    <row r="434" customFormat="false" ht="15" hidden="false" customHeight="true" outlineLevel="0" collapsed="false">
      <c r="A434" s="16"/>
      <c r="B434" s="16"/>
      <c r="C434" s="15"/>
      <c r="D434" s="19"/>
      <c r="E434" s="20" t="b">
        <f aca="false">AND(A434&lt;&gt;"",C434&lt;&gt;"",D434&lt;&gt;"",C434&gt;='Read Me'!$B$5)</f>
        <v>0</v>
      </c>
      <c r="F434" s="23" t="str">
        <f aca="false">IF(E434,D434,"")</f>
        <v/>
      </c>
      <c r="G434" s="21" t="n">
        <f aca="false">IF(E434,D434^2,0)</f>
        <v>0</v>
      </c>
      <c r="H434" s="3"/>
    </row>
    <row r="435" customFormat="false" ht="15" hidden="false" customHeight="true" outlineLevel="0" collapsed="false">
      <c r="A435" s="16"/>
      <c r="B435" s="16"/>
      <c r="C435" s="15"/>
      <c r="D435" s="19"/>
      <c r="E435" s="20" t="b">
        <f aca="false">AND(A435&lt;&gt;"",C435&lt;&gt;"",D435&lt;&gt;"",C435&gt;='Read Me'!$B$5)</f>
        <v>0</v>
      </c>
      <c r="F435" s="23" t="str">
        <f aca="false">IF(E435,D435,"")</f>
        <v/>
      </c>
      <c r="G435" s="21" t="n">
        <f aca="false">IF(E435,D435^2,0)</f>
        <v>0</v>
      </c>
      <c r="H435" s="3"/>
    </row>
    <row r="436" customFormat="false" ht="15" hidden="false" customHeight="true" outlineLevel="0" collapsed="false">
      <c r="A436" s="16"/>
      <c r="B436" s="16"/>
      <c r="C436" s="15"/>
      <c r="D436" s="19"/>
      <c r="E436" s="20" t="b">
        <f aca="false">AND(A436&lt;&gt;"",C436&lt;&gt;"",D436&lt;&gt;"",C436&gt;='Read Me'!$B$5)</f>
        <v>0</v>
      </c>
      <c r="F436" s="23" t="str">
        <f aca="false">IF(E436,D436,"")</f>
        <v/>
      </c>
      <c r="G436" s="21" t="n">
        <f aca="false">IF(E436,D436^2,0)</f>
        <v>0</v>
      </c>
      <c r="H436" s="3"/>
    </row>
    <row r="437" customFormat="false" ht="15" hidden="false" customHeight="true" outlineLevel="0" collapsed="false">
      <c r="A437" s="16"/>
      <c r="B437" s="16"/>
      <c r="C437" s="15"/>
      <c r="D437" s="19"/>
      <c r="E437" s="20" t="b">
        <f aca="false">AND(A437&lt;&gt;"",C437&lt;&gt;"",D437&lt;&gt;"",C437&gt;='Read Me'!$B$5)</f>
        <v>0</v>
      </c>
      <c r="F437" s="23" t="str">
        <f aca="false">IF(E437,D437,"")</f>
        <v/>
      </c>
      <c r="G437" s="21" t="n">
        <f aca="false">IF(E437,D437^2,0)</f>
        <v>0</v>
      </c>
      <c r="H437" s="3"/>
    </row>
    <row r="438" customFormat="false" ht="15" hidden="false" customHeight="true" outlineLevel="0" collapsed="false">
      <c r="A438" s="16"/>
      <c r="B438" s="16"/>
      <c r="C438" s="15"/>
      <c r="D438" s="19"/>
      <c r="E438" s="20" t="b">
        <f aca="false">AND(A438&lt;&gt;"",C438&lt;&gt;"",D438&lt;&gt;"",C438&gt;='Read Me'!$B$5)</f>
        <v>0</v>
      </c>
      <c r="F438" s="23" t="str">
        <f aca="false">IF(E438,D438,"")</f>
        <v/>
      </c>
      <c r="G438" s="21" t="n">
        <f aca="false">IF(E438,D438^2,0)</f>
        <v>0</v>
      </c>
      <c r="H438" s="3"/>
    </row>
    <row r="439" customFormat="false" ht="15" hidden="false" customHeight="true" outlineLevel="0" collapsed="false">
      <c r="A439" s="16"/>
      <c r="B439" s="16"/>
      <c r="C439" s="15"/>
      <c r="D439" s="19"/>
      <c r="E439" s="20" t="b">
        <f aca="false">AND(A439&lt;&gt;"",C439&lt;&gt;"",D439&lt;&gt;"",C439&gt;='Read Me'!$B$5)</f>
        <v>0</v>
      </c>
      <c r="F439" s="23" t="str">
        <f aca="false">IF(E439,D439,"")</f>
        <v/>
      </c>
      <c r="G439" s="21" t="n">
        <f aca="false">IF(E439,D439^2,0)</f>
        <v>0</v>
      </c>
      <c r="H439" s="3"/>
    </row>
    <row r="440" customFormat="false" ht="15" hidden="false" customHeight="true" outlineLevel="0" collapsed="false">
      <c r="A440" s="16"/>
      <c r="B440" s="16"/>
      <c r="C440" s="15"/>
      <c r="D440" s="19"/>
      <c r="E440" s="20" t="b">
        <f aca="false">AND(A440&lt;&gt;"",C440&lt;&gt;"",D440&lt;&gt;"",C440&gt;='Read Me'!$B$5)</f>
        <v>0</v>
      </c>
      <c r="F440" s="23" t="str">
        <f aca="false">IF(E440,D440,"")</f>
        <v/>
      </c>
      <c r="G440" s="21" t="n">
        <f aca="false">IF(E440,D440^2,0)</f>
        <v>0</v>
      </c>
      <c r="H440" s="3"/>
    </row>
    <row r="441" customFormat="false" ht="15" hidden="false" customHeight="true" outlineLevel="0" collapsed="false">
      <c r="A441" s="16"/>
      <c r="B441" s="16"/>
      <c r="C441" s="15"/>
      <c r="D441" s="19"/>
      <c r="E441" s="20" t="b">
        <f aca="false">AND(A441&lt;&gt;"",C441&lt;&gt;"",D441&lt;&gt;"",C441&gt;='Read Me'!$B$5)</f>
        <v>0</v>
      </c>
      <c r="F441" s="23" t="str">
        <f aca="false">IF(E441,D441,"")</f>
        <v/>
      </c>
      <c r="G441" s="21" t="n">
        <f aca="false">IF(E441,D441^2,0)</f>
        <v>0</v>
      </c>
      <c r="H441" s="3"/>
    </row>
    <row r="442" customFormat="false" ht="15" hidden="false" customHeight="true" outlineLevel="0" collapsed="false">
      <c r="A442" s="16"/>
      <c r="B442" s="16"/>
      <c r="C442" s="15"/>
      <c r="D442" s="19"/>
      <c r="E442" s="20" t="b">
        <f aca="false">AND(A442&lt;&gt;"",C442&lt;&gt;"",D442&lt;&gt;"",C442&gt;='Read Me'!$B$5)</f>
        <v>0</v>
      </c>
      <c r="F442" s="23" t="str">
        <f aca="false">IF(E442,D442,"")</f>
        <v/>
      </c>
      <c r="G442" s="21" t="n">
        <f aca="false">IF(E442,D442^2,0)</f>
        <v>0</v>
      </c>
      <c r="H442" s="3"/>
    </row>
    <row r="443" customFormat="false" ht="15" hidden="false" customHeight="true" outlineLevel="0" collapsed="false">
      <c r="A443" s="16"/>
      <c r="B443" s="16"/>
      <c r="C443" s="15"/>
      <c r="D443" s="19"/>
      <c r="E443" s="20" t="b">
        <f aca="false">AND(A443&lt;&gt;"",C443&lt;&gt;"",D443&lt;&gt;"",C443&gt;='Read Me'!$B$5)</f>
        <v>0</v>
      </c>
      <c r="F443" s="23" t="str">
        <f aca="false">IF(E443,D443,"")</f>
        <v/>
      </c>
      <c r="G443" s="21" t="n">
        <f aca="false">IF(E443,D443^2,0)</f>
        <v>0</v>
      </c>
      <c r="H443" s="3"/>
    </row>
    <row r="444" customFormat="false" ht="15" hidden="false" customHeight="true" outlineLevel="0" collapsed="false">
      <c r="A444" s="16"/>
      <c r="B444" s="16"/>
      <c r="C444" s="15"/>
      <c r="D444" s="19"/>
      <c r="E444" s="20" t="b">
        <f aca="false">AND(A444&lt;&gt;"",C444&lt;&gt;"",D444&lt;&gt;"",C444&gt;='Read Me'!$B$5)</f>
        <v>0</v>
      </c>
      <c r="F444" s="23" t="str">
        <f aca="false">IF(E444,D444,"")</f>
        <v/>
      </c>
      <c r="G444" s="21" t="n">
        <f aca="false">IF(E444,D444^2,0)</f>
        <v>0</v>
      </c>
      <c r="H444" s="3"/>
    </row>
    <row r="445" customFormat="false" ht="15" hidden="false" customHeight="true" outlineLevel="0" collapsed="false">
      <c r="A445" s="16"/>
      <c r="B445" s="16"/>
      <c r="C445" s="15"/>
      <c r="D445" s="19"/>
      <c r="E445" s="20" t="b">
        <f aca="false">AND(A445&lt;&gt;"",C445&lt;&gt;"",D445&lt;&gt;"",C445&gt;='Read Me'!$B$5)</f>
        <v>0</v>
      </c>
      <c r="F445" s="23" t="str">
        <f aca="false">IF(E445,D445,"")</f>
        <v/>
      </c>
      <c r="G445" s="21" t="n">
        <f aca="false">IF(E445,D445^2,0)</f>
        <v>0</v>
      </c>
      <c r="H445" s="3"/>
    </row>
    <row r="446" customFormat="false" ht="15" hidden="false" customHeight="true" outlineLevel="0" collapsed="false">
      <c r="A446" s="16"/>
      <c r="B446" s="16"/>
      <c r="C446" s="15"/>
      <c r="D446" s="19"/>
      <c r="E446" s="20" t="b">
        <f aca="false">AND(A446&lt;&gt;"",C446&lt;&gt;"",D446&lt;&gt;"",C446&gt;='Read Me'!$B$5)</f>
        <v>0</v>
      </c>
      <c r="F446" s="23" t="str">
        <f aca="false">IF(E446,D446,"")</f>
        <v/>
      </c>
      <c r="G446" s="21" t="n">
        <f aca="false">IF(E446,D446^2,0)</f>
        <v>0</v>
      </c>
      <c r="H446" s="3"/>
    </row>
    <row r="447" customFormat="false" ht="15" hidden="false" customHeight="true" outlineLevel="0" collapsed="false">
      <c r="A447" s="16"/>
      <c r="B447" s="16"/>
      <c r="C447" s="15"/>
      <c r="D447" s="19"/>
      <c r="E447" s="20" t="b">
        <f aca="false">AND(A447&lt;&gt;"",C447&lt;&gt;"",D447&lt;&gt;"",C447&gt;='Read Me'!$B$5)</f>
        <v>0</v>
      </c>
      <c r="F447" s="23" t="str">
        <f aca="false">IF(E447,D447,"")</f>
        <v/>
      </c>
      <c r="G447" s="21" t="n">
        <f aca="false">IF(E447,D447^2,0)</f>
        <v>0</v>
      </c>
      <c r="H447" s="3"/>
    </row>
    <row r="448" customFormat="false" ht="15" hidden="false" customHeight="true" outlineLevel="0" collapsed="false">
      <c r="A448" s="16"/>
      <c r="B448" s="16"/>
      <c r="C448" s="15"/>
      <c r="D448" s="19"/>
      <c r="E448" s="20" t="b">
        <f aca="false">AND(A448&lt;&gt;"",C448&lt;&gt;"",D448&lt;&gt;"",C448&gt;='Read Me'!$B$5)</f>
        <v>0</v>
      </c>
      <c r="F448" s="23" t="str">
        <f aca="false">IF(E448,D448,"")</f>
        <v/>
      </c>
      <c r="G448" s="21" t="n">
        <f aca="false">IF(E448,D448^2,0)</f>
        <v>0</v>
      </c>
      <c r="H448" s="3"/>
    </row>
    <row r="449" customFormat="false" ht="15" hidden="false" customHeight="true" outlineLevel="0" collapsed="false">
      <c r="A449" s="16"/>
      <c r="B449" s="16"/>
      <c r="C449" s="15"/>
      <c r="D449" s="19"/>
      <c r="E449" s="20" t="b">
        <f aca="false">AND(A449&lt;&gt;"",C449&lt;&gt;"",D449&lt;&gt;"",C449&gt;='Read Me'!$B$5)</f>
        <v>0</v>
      </c>
      <c r="F449" s="23" t="str">
        <f aca="false">IF(E449,D449,"")</f>
        <v/>
      </c>
      <c r="G449" s="21" t="n">
        <f aca="false">IF(E449,D449^2,0)</f>
        <v>0</v>
      </c>
      <c r="H449" s="3"/>
    </row>
    <row r="450" customFormat="false" ht="15" hidden="false" customHeight="true" outlineLevel="0" collapsed="false">
      <c r="A450" s="16"/>
      <c r="B450" s="16"/>
      <c r="C450" s="15"/>
      <c r="D450" s="19"/>
      <c r="E450" s="20" t="b">
        <f aca="false">AND(A450&lt;&gt;"",C450&lt;&gt;"",D450&lt;&gt;"",C450&gt;='Read Me'!$B$5)</f>
        <v>0</v>
      </c>
      <c r="F450" s="23" t="str">
        <f aca="false">IF(E450,D450,"")</f>
        <v/>
      </c>
      <c r="G450" s="21" t="n">
        <f aca="false">IF(E450,D450^2,0)</f>
        <v>0</v>
      </c>
      <c r="H450" s="3"/>
    </row>
    <row r="451" customFormat="false" ht="15" hidden="false" customHeight="true" outlineLevel="0" collapsed="false">
      <c r="A451" s="16"/>
      <c r="B451" s="16"/>
      <c r="C451" s="15"/>
      <c r="D451" s="19"/>
      <c r="E451" s="20" t="b">
        <f aca="false">AND(A451&lt;&gt;"",C451&lt;&gt;"",D451&lt;&gt;"",C451&gt;='Read Me'!$B$5)</f>
        <v>0</v>
      </c>
      <c r="F451" s="23" t="str">
        <f aca="false">IF(E451,D451,"")</f>
        <v/>
      </c>
      <c r="G451" s="21" t="n">
        <f aca="false">IF(E451,D451^2,0)</f>
        <v>0</v>
      </c>
      <c r="H451" s="3"/>
    </row>
    <row r="452" customFormat="false" ht="15" hidden="false" customHeight="true" outlineLevel="0" collapsed="false">
      <c r="A452" s="16"/>
      <c r="B452" s="16"/>
      <c r="C452" s="15"/>
      <c r="D452" s="19"/>
      <c r="E452" s="20" t="b">
        <f aca="false">AND(A452&lt;&gt;"",C452&lt;&gt;"",D452&lt;&gt;"",C452&gt;='Read Me'!$B$5)</f>
        <v>0</v>
      </c>
      <c r="F452" s="23" t="str">
        <f aca="false">IF(E452,D452,"")</f>
        <v/>
      </c>
      <c r="G452" s="21" t="n">
        <f aca="false">IF(E452,D452^2,0)</f>
        <v>0</v>
      </c>
      <c r="H452" s="3"/>
    </row>
    <row r="453" customFormat="false" ht="15" hidden="false" customHeight="true" outlineLevel="0" collapsed="false">
      <c r="A453" s="16"/>
      <c r="B453" s="16"/>
      <c r="C453" s="15"/>
      <c r="D453" s="19"/>
      <c r="E453" s="20" t="b">
        <f aca="false">AND(A453&lt;&gt;"",C453&lt;&gt;"",D453&lt;&gt;"",C453&gt;='Read Me'!$B$5)</f>
        <v>0</v>
      </c>
      <c r="F453" s="23" t="str">
        <f aca="false">IF(E453,D453,"")</f>
        <v/>
      </c>
      <c r="G453" s="21" t="n">
        <f aca="false">IF(E453,D453^2,0)</f>
        <v>0</v>
      </c>
      <c r="H453" s="3"/>
    </row>
    <row r="454" customFormat="false" ht="15" hidden="false" customHeight="true" outlineLevel="0" collapsed="false">
      <c r="A454" s="16"/>
      <c r="B454" s="16"/>
      <c r="C454" s="15"/>
      <c r="D454" s="19"/>
      <c r="E454" s="20" t="b">
        <f aca="false">AND(A454&lt;&gt;"",C454&lt;&gt;"",D454&lt;&gt;"",C454&gt;='Read Me'!$B$5)</f>
        <v>0</v>
      </c>
      <c r="F454" s="23" t="str">
        <f aca="false">IF(E454,D454,"")</f>
        <v/>
      </c>
      <c r="G454" s="21" t="n">
        <f aca="false">IF(E454,D454^2,0)</f>
        <v>0</v>
      </c>
      <c r="H454" s="3"/>
    </row>
    <row r="455" customFormat="false" ht="15" hidden="false" customHeight="true" outlineLevel="0" collapsed="false">
      <c r="A455" s="16"/>
      <c r="B455" s="16"/>
      <c r="C455" s="15"/>
      <c r="D455" s="19"/>
      <c r="E455" s="20" t="b">
        <f aca="false">AND(A455&lt;&gt;"",C455&lt;&gt;"",D455&lt;&gt;"",C455&gt;='Read Me'!$B$5)</f>
        <v>0</v>
      </c>
      <c r="F455" s="23" t="str">
        <f aca="false">IF(E455,D455,"")</f>
        <v/>
      </c>
      <c r="G455" s="21" t="n">
        <f aca="false">IF(E455,D455^2,0)</f>
        <v>0</v>
      </c>
      <c r="H455" s="3"/>
    </row>
    <row r="456" customFormat="false" ht="15" hidden="false" customHeight="true" outlineLevel="0" collapsed="false">
      <c r="A456" s="16"/>
      <c r="B456" s="16"/>
      <c r="C456" s="15"/>
      <c r="D456" s="19"/>
      <c r="E456" s="20" t="b">
        <f aca="false">AND(A456&lt;&gt;"",C456&lt;&gt;"",D456&lt;&gt;"",C456&gt;='Read Me'!$B$5)</f>
        <v>0</v>
      </c>
      <c r="F456" s="23" t="str">
        <f aca="false">IF(E456,D456,"")</f>
        <v/>
      </c>
      <c r="G456" s="21" t="n">
        <f aca="false">IF(E456,D456^2,0)</f>
        <v>0</v>
      </c>
      <c r="H456" s="3"/>
    </row>
    <row r="457" customFormat="false" ht="15" hidden="false" customHeight="true" outlineLevel="0" collapsed="false">
      <c r="A457" s="16"/>
      <c r="B457" s="16"/>
      <c r="C457" s="15"/>
      <c r="D457" s="19"/>
      <c r="E457" s="20" t="b">
        <f aca="false">AND(A457&lt;&gt;"",C457&lt;&gt;"",D457&lt;&gt;"",C457&gt;='Read Me'!$B$5)</f>
        <v>0</v>
      </c>
      <c r="F457" s="23" t="str">
        <f aca="false">IF(E457,D457,"")</f>
        <v/>
      </c>
      <c r="G457" s="21" t="n">
        <f aca="false">IF(E457,D457^2,0)</f>
        <v>0</v>
      </c>
      <c r="H457" s="3"/>
    </row>
    <row r="458" customFormat="false" ht="15" hidden="false" customHeight="true" outlineLevel="0" collapsed="false">
      <c r="A458" s="16"/>
      <c r="B458" s="16"/>
      <c r="C458" s="15"/>
      <c r="D458" s="19"/>
      <c r="E458" s="20" t="b">
        <f aca="false">AND(A458&lt;&gt;"",C458&lt;&gt;"",D458&lt;&gt;"",C458&gt;='Read Me'!$B$5)</f>
        <v>0</v>
      </c>
      <c r="F458" s="23" t="str">
        <f aca="false">IF(E458,D458,"")</f>
        <v/>
      </c>
      <c r="G458" s="21" t="n">
        <f aca="false">IF(E458,D458^2,0)</f>
        <v>0</v>
      </c>
      <c r="H458" s="3"/>
    </row>
    <row r="459" customFormat="false" ht="15" hidden="false" customHeight="true" outlineLevel="0" collapsed="false">
      <c r="A459" s="16"/>
      <c r="B459" s="16"/>
      <c r="C459" s="15"/>
      <c r="D459" s="19"/>
      <c r="E459" s="20" t="b">
        <f aca="false">AND(A459&lt;&gt;"",C459&lt;&gt;"",D459&lt;&gt;"",C459&gt;='Read Me'!$B$5)</f>
        <v>0</v>
      </c>
      <c r="F459" s="23" t="str">
        <f aca="false">IF(E459,D459,"")</f>
        <v/>
      </c>
      <c r="G459" s="21" t="n">
        <f aca="false">IF(E459,D459^2,0)</f>
        <v>0</v>
      </c>
      <c r="H459" s="3"/>
    </row>
    <row r="460" customFormat="false" ht="15" hidden="false" customHeight="true" outlineLevel="0" collapsed="false">
      <c r="A460" s="16"/>
      <c r="B460" s="16"/>
      <c r="C460" s="15"/>
      <c r="D460" s="19"/>
      <c r="E460" s="20" t="b">
        <f aca="false">AND(A460&lt;&gt;"",C460&lt;&gt;"",D460&lt;&gt;"",C460&gt;='Read Me'!$B$5)</f>
        <v>0</v>
      </c>
      <c r="F460" s="23" t="str">
        <f aca="false">IF(E460,D460,"")</f>
        <v/>
      </c>
      <c r="G460" s="21" t="n">
        <f aca="false">IF(E460,D460^2,0)</f>
        <v>0</v>
      </c>
      <c r="H460" s="3"/>
    </row>
    <row r="461" customFormat="false" ht="15" hidden="false" customHeight="true" outlineLevel="0" collapsed="false">
      <c r="A461" s="16"/>
      <c r="B461" s="16"/>
      <c r="C461" s="15"/>
      <c r="D461" s="19"/>
      <c r="E461" s="20" t="b">
        <f aca="false">AND(A461&lt;&gt;"",C461&lt;&gt;"",D461&lt;&gt;"",C461&gt;='Read Me'!$B$5)</f>
        <v>0</v>
      </c>
      <c r="F461" s="23" t="str">
        <f aca="false">IF(E461,D461,"")</f>
        <v/>
      </c>
      <c r="G461" s="21" t="n">
        <f aca="false">IF(E461,D461^2,0)</f>
        <v>0</v>
      </c>
      <c r="H461" s="3"/>
    </row>
    <row r="462" customFormat="false" ht="15" hidden="false" customHeight="true" outlineLevel="0" collapsed="false">
      <c r="A462" s="16"/>
      <c r="B462" s="16"/>
      <c r="C462" s="15"/>
      <c r="D462" s="19"/>
      <c r="E462" s="20" t="b">
        <f aca="false">AND(A462&lt;&gt;"",C462&lt;&gt;"",D462&lt;&gt;"",C462&gt;='Read Me'!$B$5)</f>
        <v>0</v>
      </c>
      <c r="F462" s="23" t="str">
        <f aca="false">IF(E462,D462,"")</f>
        <v/>
      </c>
      <c r="G462" s="21" t="n">
        <f aca="false">IF(E462,D462^2,0)</f>
        <v>0</v>
      </c>
      <c r="H462" s="3"/>
    </row>
    <row r="463" customFormat="false" ht="15" hidden="false" customHeight="true" outlineLevel="0" collapsed="false">
      <c r="A463" s="16"/>
      <c r="B463" s="16"/>
      <c r="C463" s="15"/>
      <c r="D463" s="19"/>
      <c r="E463" s="20" t="b">
        <f aca="false">AND(A463&lt;&gt;"",C463&lt;&gt;"",D463&lt;&gt;"",C463&gt;='Read Me'!$B$5)</f>
        <v>0</v>
      </c>
      <c r="F463" s="23" t="str">
        <f aca="false">IF(E463,D463,"")</f>
        <v/>
      </c>
      <c r="G463" s="21" t="n">
        <f aca="false">IF(E463,D463^2,0)</f>
        <v>0</v>
      </c>
      <c r="H463" s="3"/>
    </row>
    <row r="464" customFormat="false" ht="15" hidden="false" customHeight="true" outlineLevel="0" collapsed="false">
      <c r="A464" s="16"/>
      <c r="B464" s="16"/>
      <c r="C464" s="15"/>
      <c r="D464" s="19"/>
      <c r="E464" s="20" t="b">
        <f aca="false">AND(A464&lt;&gt;"",C464&lt;&gt;"",D464&lt;&gt;"",C464&gt;='Read Me'!$B$5)</f>
        <v>0</v>
      </c>
      <c r="F464" s="23" t="str">
        <f aca="false">IF(E464,D464,"")</f>
        <v/>
      </c>
      <c r="G464" s="21" t="n">
        <f aca="false">IF(E464,D464^2,0)</f>
        <v>0</v>
      </c>
      <c r="H464" s="3"/>
    </row>
    <row r="465" customFormat="false" ht="15" hidden="false" customHeight="true" outlineLevel="0" collapsed="false">
      <c r="A465" s="16"/>
      <c r="B465" s="16"/>
      <c r="C465" s="15"/>
      <c r="D465" s="19"/>
      <c r="E465" s="20" t="b">
        <f aca="false">AND(A465&lt;&gt;"",C465&lt;&gt;"",D465&lt;&gt;"",C465&gt;='Read Me'!$B$5)</f>
        <v>0</v>
      </c>
      <c r="F465" s="23" t="str">
        <f aca="false">IF(E465,D465,"")</f>
        <v/>
      </c>
      <c r="G465" s="21" t="n">
        <f aca="false">IF(E465,D465^2,0)</f>
        <v>0</v>
      </c>
      <c r="H465" s="3"/>
    </row>
    <row r="466" customFormat="false" ht="15" hidden="false" customHeight="true" outlineLevel="0" collapsed="false">
      <c r="A466" s="16"/>
      <c r="B466" s="16"/>
      <c r="C466" s="15"/>
      <c r="D466" s="19"/>
      <c r="E466" s="20" t="b">
        <f aca="false">AND(A466&lt;&gt;"",C466&lt;&gt;"",D466&lt;&gt;"",C466&gt;='Read Me'!$B$5)</f>
        <v>0</v>
      </c>
      <c r="F466" s="23" t="str">
        <f aca="false">IF(E466,D466,"")</f>
        <v/>
      </c>
      <c r="G466" s="21" t="n">
        <f aca="false">IF(E466,D466^2,0)</f>
        <v>0</v>
      </c>
      <c r="H466" s="3"/>
    </row>
    <row r="467" customFormat="false" ht="15" hidden="false" customHeight="true" outlineLevel="0" collapsed="false">
      <c r="A467" s="16"/>
      <c r="B467" s="16"/>
      <c r="C467" s="15"/>
      <c r="D467" s="19"/>
      <c r="E467" s="20" t="b">
        <f aca="false">AND(A467&lt;&gt;"",C467&lt;&gt;"",D467&lt;&gt;"",C467&gt;='Read Me'!$B$5)</f>
        <v>0</v>
      </c>
      <c r="F467" s="23" t="str">
        <f aca="false">IF(E467,D467,"")</f>
        <v/>
      </c>
      <c r="G467" s="21" t="n">
        <f aca="false">IF(E467,D467^2,0)</f>
        <v>0</v>
      </c>
      <c r="H467" s="3"/>
    </row>
    <row r="468" customFormat="false" ht="15" hidden="false" customHeight="true" outlineLevel="0" collapsed="false">
      <c r="A468" s="16"/>
      <c r="B468" s="16"/>
      <c r="C468" s="15"/>
      <c r="D468" s="19"/>
      <c r="E468" s="20" t="b">
        <f aca="false">AND(A468&lt;&gt;"",C468&lt;&gt;"",D468&lt;&gt;"",C468&gt;='Read Me'!$B$5)</f>
        <v>0</v>
      </c>
      <c r="F468" s="23" t="str">
        <f aca="false">IF(E468,D468,"")</f>
        <v/>
      </c>
      <c r="G468" s="21" t="n">
        <f aca="false">IF(E468,D468^2,0)</f>
        <v>0</v>
      </c>
      <c r="H468" s="3"/>
    </row>
    <row r="469" customFormat="false" ht="15" hidden="false" customHeight="true" outlineLevel="0" collapsed="false">
      <c r="A469" s="16"/>
      <c r="B469" s="16"/>
      <c r="C469" s="15"/>
      <c r="D469" s="19"/>
      <c r="E469" s="20" t="b">
        <f aca="false">AND(A469&lt;&gt;"",C469&lt;&gt;"",D469&lt;&gt;"",C469&gt;='Read Me'!$B$5)</f>
        <v>0</v>
      </c>
      <c r="F469" s="23" t="str">
        <f aca="false">IF(E469,D469,"")</f>
        <v/>
      </c>
      <c r="G469" s="21" t="n">
        <f aca="false">IF(E469,D469^2,0)</f>
        <v>0</v>
      </c>
      <c r="H469" s="3"/>
    </row>
    <row r="470" customFormat="false" ht="15" hidden="false" customHeight="true" outlineLevel="0" collapsed="false">
      <c r="A470" s="16"/>
      <c r="B470" s="16"/>
      <c r="C470" s="15"/>
      <c r="D470" s="19"/>
      <c r="E470" s="20" t="b">
        <f aca="false">AND(A470&lt;&gt;"",C470&lt;&gt;"",D470&lt;&gt;"",C470&gt;='Read Me'!$B$5)</f>
        <v>0</v>
      </c>
      <c r="F470" s="23" t="str">
        <f aca="false">IF(E470,D470,"")</f>
        <v/>
      </c>
      <c r="G470" s="21" t="n">
        <f aca="false">IF(E470,D470^2,0)</f>
        <v>0</v>
      </c>
      <c r="H470" s="3"/>
    </row>
    <row r="471" customFormat="false" ht="15" hidden="false" customHeight="true" outlineLevel="0" collapsed="false">
      <c r="A471" s="16"/>
      <c r="B471" s="16"/>
      <c r="C471" s="15"/>
      <c r="D471" s="19"/>
      <c r="E471" s="20" t="b">
        <f aca="false">AND(A471&lt;&gt;"",C471&lt;&gt;"",D471&lt;&gt;"",C471&gt;='Read Me'!$B$5)</f>
        <v>0</v>
      </c>
      <c r="F471" s="23" t="str">
        <f aca="false">IF(E471,D471,"")</f>
        <v/>
      </c>
      <c r="G471" s="21" t="n">
        <f aca="false">IF(E471,D471^2,0)</f>
        <v>0</v>
      </c>
      <c r="H471" s="3"/>
    </row>
    <row r="472" customFormat="false" ht="15" hidden="false" customHeight="true" outlineLevel="0" collapsed="false">
      <c r="A472" s="16"/>
      <c r="B472" s="16"/>
      <c r="C472" s="15"/>
      <c r="D472" s="19"/>
      <c r="E472" s="20" t="b">
        <f aca="false">AND(A472&lt;&gt;"",C472&lt;&gt;"",D472&lt;&gt;"",C472&gt;='Read Me'!$B$5)</f>
        <v>0</v>
      </c>
      <c r="F472" s="23" t="str">
        <f aca="false">IF(E472,D472,"")</f>
        <v/>
      </c>
      <c r="G472" s="21" t="n">
        <f aca="false">IF(E472,D472^2,0)</f>
        <v>0</v>
      </c>
      <c r="H472" s="3"/>
    </row>
    <row r="473" customFormat="false" ht="15" hidden="false" customHeight="true" outlineLevel="0" collapsed="false">
      <c r="A473" s="16"/>
      <c r="B473" s="16"/>
      <c r="C473" s="15"/>
      <c r="D473" s="19"/>
      <c r="E473" s="20" t="b">
        <f aca="false">AND(A473&lt;&gt;"",C473&lt;&gt;"",D473&lt;&gt;"",C473&gt;='Read Me'!$B$5)</f>
        <v>0</v>
      </c>
      <c r="F473" s="23" t="str">
        <f aca="false">IF(E473,D473,"")</f>
        <v/>
      </c>
      <c r="G473" s="21" t="n">
        <f aca="false">IF(E473,D473^2,0)</f>
        <v>0</v>
      </c>
      <c r="H473" s="3"/>
    </row>
    <row r="474" customFormat="false" ht="15" hidden="false" customHeight="true" outlineLevel="0" collapsed="false">
      <c r="A474" s="16"/>
      <c r="B474" s="16"/>
      <c r="C474" s="15"/>
      <c r="D474" s="19"/>
      <c r="E474" s="20" t="b">
        <f aca="false">AND(A474&lt;&gt;"",C474&lt;&gt;"",D474&lt;&gt;"",C474&gt;='Read Me'!$B$5)</f>
        <v>0</v>
      </c>
      <c r="F474" s="23" t="str">
        <f aca="false">IF(E474,D474,"")</f>
        <v/>
      </c>
      <c r="G474" s="21" t="n">
        <f aca="false">IF(E474,D474^2,0)</f>
        <v>0</v>
      </c>
      <c r="H474" s="3"/>
    </row>
    <row r="475" customFormat="false" ht="15" hidden="false" customHeight="true" outlineLevel="0" collapsed="false">
      <c r="A475" s="16"/>
      <c r="B475" s="16"/>
      <c r="C475" s="15"/>
      <c r="D475" s="19"/>
      <c r="E475" s="20" t="b">
        <f aca="false">AND(A475&lt;&gt;"",C475&lt;&gt;"",D475&lt;&gt;"",C475&gt;='Read Me'!$B$5)</f>
        <v>0</v>
      </c>
      <c r="F475" s="23" t="str">
        <f aca="false">IF(E475,D475,"")</f>
        <v/>
      </c>
      <c r="G475" s="21" t="n">
        <f aca="false">IF(E475,D475^2,0)</f>
        <v>0</v>
      </c>
      <c r="H475" s="3"/>
    </row>
    <row r="476" customFormat="false" ht="15" hidden="false" customHeight="true" outlineLevel="0" collapsed="false">
      <c r="A476" s="16"/>
      <c r="B476" s="16"/>
      <c r="C476" s="15"/>
      <c r="D476" s="19"/>
      <c r="E476" s="20" t="b">
        <f aca="false">AND(A476&lt;&gt;"",C476&lt;&gt;"",D476&lt;&gt;"",C476&gt;='Read Me'!$B$5)</f>
        <v>0</v>
      </c>
      <c r="F476" s="23" t="str">
        <f aca="false">IF(E476,D476,"")</f>
        <v/>
      </c>
      <c r="G476" s="21" t="n">
        <f aca="false">IF(E476,D476^2,0)</f>
        <v>0</v>
      </c>
      <c r="H476" s="3"/>
    </row>
    <row r="477" customFormat="false" ht="15" hidden="false" customHeight="true" outlineLevel="0" collapsed="false">
      <c r="A477" s="16"/>
      <c r="B477" s="16"/>
      <c r="C477" s="15"/>
      <c r="D477" s="19"/>
      <c r="E477" s="20" t="b">
        <f aca="false">AND(A477&lt;&gt;"",C477&lt;&gt;"",D477&lt;&gt;"",C477&gt;='Read Me'!$B$5)</f>
        <v>0</v>
      </c>
      <c r="F477" s="23" t="str">
        <f aca="false">IF(E477,D477,"")</f>
        <v/>
      </c>
      <c r="G477" s="21" t="n">
        <f aca="false">IF(E477,D477^2,0)</f>
        <v>0</v>
      </c>
      <c r="H477" s="3"/>
    </row>
    <row r="478" customFormat="false" ht="15" hidden="false" customHeight="true" outlineLevel="0" collapsed="false">
      <c r="A478" s="16"/>
      <c r="B478" s="16"/>
      <c r="C478" s="15"/>
      <c r="D478" s="19"/>
      <c r="E478" s="20" t="b">
        <f aca="false">AND(A478&lt;&gt;"",C478&lt;&gt;"",D478&lt;&gt;"",C478&gt;='Read Me'!$B$5)</f>
        <v>0</v>
      </c>
      <c r="F478" s="23" t="str">
        <f aca="false">IF(E478,D478,"")</f>
        <v/>
      </c>
      <c r="G478" s="21" t="n">
        <f aca="false">IF(E478,D478^2,0)</f>
        <v>0</v>
      </c>
      <c r="H478" s="3"/>
    </row>
    <row r="479" customFormat="false" ht="15" hidden="false" customHeight="true" outlineLevel="0" collapsed="false">
      <c r="A479" s="16"/>
      <c r="B479" s="16"/>
      <c r="C479" s="15"/>
      <c r="D479" s="19"/>
      <c r="E479" s="20" t="b">
        <f aca="false">AND(A479&lt;&gt;"",C479&lt;&gt;"",D479&lt;&gt;"",C479&gt;='Read Me'!$B$5)</f>
        <v>0</v>
      </c>
      <c r="F479" s="23" t="str">
        <f aca="false">IF(E479,D479,"")</f>
        <v/>
      </c>
      <c r="G479" s="21" t="n">
        <f aca="false">IF(E479,D479^2,0)</f>
        <v>0</v>
      </c>
      <c r="H479" s="3"/>
    </row>
    <row r="480" customFormat="false" ht="15" hidden="false" customHeight="true" outlineLevel="0" collapsed="false">
      <c r="A480" s="16"/>
      <c r="B480" s="16"/>
      <c r="C480" s="15"/>
      <c r="D480" s="19"/>
      <c r="E480" s="20" t="b">
        <f aca="false">AND(A480&lt;&gt;"",C480&lt;&gt;"",D480&lt;&gt;"",C480&gt;='Read Me'!$B$5)</f>
        <v>0</v>
      </c>
      <c r="F480" s="23" t="str">
        <f aca="false">IF(E480,D480,"")</f>
        <v/>
      </c>
      <c r="G480" s="21" t="n">
        <f aca="false">IF(E480,D480^2,0)</f>
        <v>0</v>
      </c>
      <c r="H480" s="3"/>
    </row>
    <row r="481" customFormat="false" ht="15" hidden="false" customHeight="true" outlineLevel="0" collapsed="false">
      <c r="A481" s="16"/>
      <c r="B481" s="16"/>
      <c r="C481" s="15"/>
      <c r="D481" s="19"/>
      <c r="E481" s="20" t="b">
        <f aca="false">AND(A481&lt;&gt;"",C481&lt;&gt;"",D481&lt;&gt;"",C481&gt;='Read Me'!$B$5)</f>
        <v>0</v>
      </c>
      <c r="F481" s="23" t="str">
        <f aca="false">IF(E481,D481,"")</f>
        <v/>
      </c>
      <c r="G481" s="21" t="n">
        <f aca="false">IF(E481,D481^2,0)</f>
        <v>0</v>
      </c>
      <c r="H481" s="3"/>
    </row>
    <row r="482" customFormat="false" ht="15" hidden="false" customHeight="true" outlineLevel="0" collapsed="false">
      <c r="A482" s="16"/>
      <c r="B482" s="16"/>
      <c r="C482" s="15"/>
      <c r="D482" s="19"/>
      <c r="E482" s="20" t="b">
        <f aca="false">AND(A482&lt;&gt;"",C482&lt;&gt;"",D482&lt;&gt;"",C482&gt;='Read Me'!$B$5)</f>
        <v>0</v>
      </c>
      <c r="F482" s="23" t="str">
        <f aca="false">IF(E482,D482,"")</f>
        <v/>
      </c>
      <c r="G482" s="21" t="n">
        <f aca="false">IF(E482,D482^2,0)</f>
        <v>0</v>
      </c>
      <c r="H482" s="3"/>
    </row>
    <row r="483" customFormat="false" ht="15" hidden="false" customHeight="true" outlineLevel="0" collapsed="false">
      <c r="A483" s="16"/>
      <c r="B483" s="16"/>
      <c r="C483" s="15"/>
      <c r="D483" s="19"/>
      <c r="E483" s="20" t="b">
        <f aca="false">AND(A483&lt;&gt;"",C483&lt;&gt;"",D483&lt;&gt;"",C483&gt;='Read Me'!$B$5)</f>
        <v>0</v>
      </c>
      <c r="F483" s="23" t="str">
        <f aca="false">IF(E483,D483,"")</f>
        <v/>
      </c>
      <c r="G483" s="21" t="n">
        <f aca="false">IF(E483,D483^2,0)</f>
        <v>0</v>
      </c>
      <c r="H483" s="3"/>
    </row>
    <row r="484" customFormat="false" ht="15" hidden="false" customHeight="true" outlineLevel="0" collapsed="false">
      <c r="A484" s="16"/>
      <c r="B484" s="16"/>
      <c r="C484" s="15"/>
      <c r="D484" s="19"/>
      <c r="E484" s="20" t="b">
        <f aca="false">AND(A484&lt;&gt;"",C484&lt;&gt;"",D484&lt;&gt;"",C484&gt;='Read Me'!$B$5)</f>
        <v>0</v>
      </c>
      <c r="F484" s="23" t="str">
        <f aca="false">IF(E484,D484,"")</f>
        <v/>
      </c>
      <c r="G484" s="21" t="n">
        <f aca="false">IF(E484,D484^2,0)</f>
        <v>0</v>
      </c>
      <c r="H484" s="3"/>
    </row>
    <row r="485" customFormat="false" ht="15" hidden="false" customHeight="true" outlineLevel="0" collapsed="false">
      <c r="A485" s="16"/>
      <c r="B485" s="16"/>
      <c r="C485" s="15"/>
      <c r="D485" s="19"/>
      <c r="E485" s="20" t="b">
        <f aca="false">AND(A485&lt;&gt;"",C485&lt;&gt;"",D485&lt;&gt;"",C485&gt;='Read Me'!$B$5)</f>
        <v>0</v>
      </c>
      <c r="F485" s="23" t="str">
        <f aca="false">IF(E485,D485,"")</f>
        <v/>
      </c>
      <c r="G485" s="21" t="n">
        <f aca="false">IF(E485,D485^2,0)</f>
        <v>0</v>
      </c>
      <c r="H485" s="3"/>
    </row>
    <row r="486" customFormat="false" ht="15" hidden="false" customHeight="true" outlineLevel="0" collapsed="false">
      <c r="A486" s="16"/>
      <c r="B486" s="16"/>
      <c r="C486" s="15"/>
      <c r="D486" s="19"/>
      <c r="E486" s="20" t="b">
        <f aca="false">AND(A486&lt;&gt;"",C486&lt;&gt;"",D486&lt;&gt;"",C486&gt;='Read Me'!$B$5)</f>
        <v>0</v>
      </c>
      <c r="F486" s="23" t="str">
        <f aca="false">IF(E486,D486,"")</f>
        <v/>
      </c>
      <c r="G486" s="21" t="n">
        <f aca="false">IF(E486,D486^2,0)</f>
        <v>0</v>
      </c>
      <c r="H486" s="3"/>
    </row>
    <row r="487" customFormat="false" ht="15" hidden="false" customHeight="true" outlineLevel="0" collapsed="false">
      <c r="A487" s="16"/>
      <c r="B487" s="16"/>
      <c r="C487" s="15"/>
      <c r="D487" s="19"/>
      <c r="E487" s="20" t="b">
        <f aca="false">AND(A487&lt;&gt;"",C487&lt;&gt;"",D487&lt;&gt;"",C487&gt;='Read Me'!$B$5)</f>
        <v>0</v>
      </c>
      <c r="F487" s="23" t="str">
        <f aca="false">IF(E487,D487,"")</f>
        <v/>
      </c>
      <c r="G487" s="21" t="n">
        <f aca="false">IF(E487,D487^2,0)</f>
        <v>0</v>
      </c>
      <c r="H487" s="3"/>
    </row>
    <row r="488" customFormat="false" ht="15" hidden="false" customHeight="true" outlineLevel="0" collapsed="false">
      <c r="A488" s="16"/>
      <c r="B488" s="16"/>
      <c r="C488" s="15"/>
      <c r="D488" s="19"/>
      <c r="E488" s="20" t="b">
        <f aca="false">AND(A488&lt;&gt;"",C488&lt;&gt;"",D488&lt;&gt;"",C488&gt;='Read Me'!$B$5)</f>
        <v>0</v>
      </c>
      <c r="F488" s="23" t="str">
        <f aca="false">IF(E488,D488,"")</f>
        <v/>
      </c>
      <c r="G488" s="21" t="n">
        <f aca="false">IF(E488,D488^2,0)</f>
        <v>0</v>
      </c>
      <c r="H488" s="3"/>
    </row>
    <row r="489" customFormat="false" ht="15" hidden="false" customHeight="true" outlineLevel="0" collapsed="false">
      <c r="A489" s="16"/>
      <c r="B489" s="16"/>
      <c r="C489" s="15"/>
      <c r="D489" s="19"/>
      <c r="E489" s="20" t="b">
        <f aca="false">AND(A489&lt;&gt;"",C489&lt;&gt;"",D489&lt;&gt;"",C489&gt;='Read Me'!$B$5)</f>
        <v>0</v>
      </c>
      <c r="F489" s="23" t="str">
        <f aca="false">IF(E489,D489,"")</f>
        <v/>
      </c>
      <c r="G489" s="21" t="n">
        <f aca="false">IF(E489,D489^2,0)</f>
        <v>0</v>
      </c>
      <c r="H489" s="3"/>
    </row>
    <row r="490" customFormat="false" ht="15" hidden="false" customHeight="true" outlineLevel="0" collapsed="false">
      <c r="A490" s="16"/>
      <c r="B490" s="16"/>
      <c r="C490" s="15"/>
      <c r="D490" s="19"/>
      <c r="E490" s="20" t="b">
        <f aca="false">AND(A490&lt;&gt;"",C490&lt;&gt;"",D490&lt;&gt;"",C490&gt;='Read Me'!$B$5)</f>
        <v>0</v>
      </c>
      <c r="F490" s="23" t="str">
        <f aca="false">IF(E490,D490,"")</f>
        <v/>
      </c>
      <c r="G490" s="21" t="n">
        <f aca="false">IF(E490,D490^2,0)</f>
        <v>0</v>
      </c>
      <c r="H490" s="3"/>
    </row>
    <row r="491" customFormat="false" ht="15" hidden="false" customHeight="true" outlineLevel="0" collapsed="false">
      <c r="A491" s="16"/>
      <c r="B491" s="16"/>
      <c r="C491" s="15"/>
      <c r="D491" s="19"/>
      <c r="E491" s="20" t="b">
        <f aca="false">AND(A491&lt;&gt;"",C491&lt;&gt;"",D491&lt;&gt;"",C491&gt;='Read Me'!$B$5)</f>
        <v>0</v>
      </c>
      <c r="F491" s="23" t="str">
        <f aca="false">IF(E491,D491,"")</f>
        <v/>
      </c>
      <c r="G491" s="21" t="n">
        <f aca="false">IF(E491,D491^2,0)</f>
        <v>0</v>
      </c>
      <c r="H491" s="3"/>
    </row>
    <row r="492" customFormat="false" ht="15" hidden="false" customHeight="true" outlineLevel="0" collapsed="false">
      <c r="A492" s="16"/>
      <c r="B492" s="16"/>
      <c r="C492" s="15"/>
      <c r="D492" s="19"/>
      <c r="E492" s="20" t="b">
        <f aca="false">AND(A492&lt;&gt;"",C492&lt;&gt;"",D492&lt;&gt;"",C492&gt;='Read Me'!$B$5)</f>
        <v>0</v>
      </c>
      <c r="F492" s="23" t="str">
        <f aca="false">IF(E492,D492,"")</f>
        <v/>
      </c>
      <c r="G492" s="21" t="n">
        <f aca="false">IF(E492,D492^2,0)</f>
        <v>0</v>
      </c>
      <c r="H492" s="3"/>
    </row>
    <row r="493" customFormat="false" ht="15" hidden="false" customHeight="true" outlineLevel="0" collapsed="false">
      <c r="A493" s="16"/>
      <c r="B493" s="16"/>
      <c r="C493" s="15"/>
      <c r="D493" s="19"/>
      <c r="E493" s="20" t="b">
        <f aca="false">AND(A493&lt;&gt;"",C493&lt;&gt;"",D493&lt;&gt;"",C493&gt;='Read Me'!$B$5)</f>
        <v>0</v>
      </c>
      <c r="F493" s="23" t="str">
        <f aca="false">IF(E493,D493,"")</f>
        <v/>
      </c>
      <c r="G493" s="21" t="n">
        <f aca="false">IF(E493,D493^2,0)</f>
        <v>0</v>
      </c>
      <c r="H493" s="3"/>
    </row>
    <row r="494" customFormat="false" ht="15" hidden="false" customHeight="true" outlineLevel="0" collapsed="false">
      <c r="A494" s="16"/>
      <c r="B494" s="16"/>
      <c r="C494" s="15"/>
      <c r="D494" s="19"/>
      <c r="E494" s="20" t="b">
        <f aca="false">AND(A494&lt;&gt;"",C494&lt;&gt;"",D494&lt;&gt;"",C494&gt;='Read Me'!$B$5)</f>
        <v>0</v>
      </c>
      <c r="F494" s="23" t="str">
        <f aca="false">IF(E494,D494,"")</f>
        <v/>
      </c>
      <c r="G494" s="21" t="n">
        <f aca="false">IF(E494,D494^2,0)</f>
        <v>0</v>
      </c>
      <c r="H494" s="3"/>
    </row>
    <row r="495" customFormat="false" ht="15" hidden="false" customHeight="true" outlineLevel="0" collapsed="false">
      <c r="A495" s="16"/>
      <c r="B495" s="16"/>
      <c r="C495" s="15"/>
      <c r="D495" s="19"/>
      <c r="E495" s="20" t="b">
        <f aca="false">AND(A495&lt;&gt;"",C495&lt;&gt;"",D495&lt;&gt;"",C495&gt;='Read Me'!$B$5)</f>
        <v>0</v>
      </c>
      <c r="F495" s="23" t="str">
        <f aca="false">IF(E495,D495,"")</f>
        <v/>
      </c>
      <c r="G495" s="21" t="n">
        <f aca="false">IF(E495,D495^2,0)</f>
        <v>0</v>
      </c>
      <c r="H495" s="3"/>
    </row>
    <row r="496" customFormat="false" ht="15" hidden="false" customHeight="true" outlineLevel="0" collapsed="false">
      <c r="A496" s="16"/>
      <c r="B496" s="16"/>
      <c r="C496" s="15"/>
      <c r="D496" s="19"/>
      <c r="E496" s="20" t="b">
        <f aca="false">AND(A496&lt;&gt;"",C496&lt;&gt;"",D496&lt;&gt;"",C496&gt;='Read Me'!$B$5)</f>
        <v>0</v>
      </c>
      <c r="F496" s="23" t="str">
        <f aca="false">IF(E496,D496,"")</f>
        <v/>
      </c>
      <c r="G496" s="21" t="n">
        <f aca="false">IF(E496,D496^2,0)</f>
        <v>0</v>
      </c>
      <c r="H496" s="3"/>
    </row>
    <row r="497" customFormat="false" ht="15" hidden="false" customHeight="true" outlineLevel="0" collapsed="false">
      <c r="A497" s="16"/>
      <c r="B497" s="16"/>
      <c r="C497" s="15"/>
      <c r="D497" s="19"/>
      <c r="E497" s="20" t="b">
        <f aca="false">AND(A497&lt;&gt;"",C497&lt;&gt;"",D497&lt;&gt;"",C497&gt;='Read Me'!$B$5)</f>
        <v>0</v>
      </c>
      <c r="F497" s="23" t="str">
        <f aca="false">IF(E497,D497,"")</f>
        <v/>
      </c>
      <c r="G497" s="21" t="n">
        <f aca="false">IF(E497,D497^2,0)</f>
        <v>0</v>
      </c>
      <c r="H497" s="3"/>
    </row>
    <row r="498" customFormat="false" ht="15" hidden="false" customHeight="true" outlineLevel="0" collapsed="false">
      <c r="A498" s="16"/>
      <c r="B498" s="16"/>
      <c r="C498" s="15"/>
      <c r="D498" s="19"/>
      <c r="E498" s="20" t="b">
        <f aca="false">AND(A498&lt;&gt;"",C498&lt;&gt;"",D498&lt;&gt;"",C498&gt;='Read Me'!$B$5)</f>
        <v>0</v>
      </c>
      <c r="F498" s="23" t="str">
        <f aca="false">IF(E498,D498,"")</f>
        <v/>
      </c>
      <c r="G498" s="21" t="n">
        <f aca="false">IF(E498,D498^2,0)</f>
        <v>0</v>
      </c>
      <c r="H498" s="3"/>
    </row>
    <row r="499" customFormat="false" ht="15" hidden="false" customHeight="true" outlineLevel="0" collapsed="false">
      <c r="A499" s="16"/>
      <c r="B499" s="16"/>
      <c r="C499" s="15"/>
      <c r="D499" s="19"/>
      <c r="E499" s="20" t="b">
        <f aca="false">AND(A499&lt;&gt;"",C499&lt;&gt;"",D499&lt;&gt;"",C499&gt;='Read Me'!$B$5)</f>
        <v>0</v>
      </c>
      <c r="F499" s="23" t="str">
        <f aca="false">IF(E499,D499,"")</f>
        <v/>
      </c>
      <c r="G499" s="21" t="n">
        <f aca="false">IF(E499,D499^2,0)</f>
        <v>0</v>
      </c>
      <c r="H499" s="3"/>
    </row>
    <row r="500" customFormat="false" ht="15" hidden="false" customHeight="true" outlineLevel="0" collapsed="false">
      <c r="A500" s="16"/>
      <c r="B500" s="16"/>
      <c r="C500" s="15"/>
      <c r="D500" s="19"/>
      <c r="E500" s="20" t="b">
        <f aca="false">AND(A500&lt;&gt;"",C500&lt;&gt;"",D500&lt;&gt;"",C500&gt;='Read Me'!$B$5)</f>
        <v>0</v>
      </c>
      <c r="F500" s="23" t="str">
        <f aca="false">IF(E500,D500,"")</f>
        <v/>
      </c>
      <c r="G500" s="21" t="n">
        <f aca="false">IF(E500,D500^2,0)</f>
        <v>0</v>
      </c>
      <c r="H500" s="3"/>
    </row>
    <row r="501" customFormat="false" ht="15" hidden="false" customHeight="true" outlineLevel="0" collapsed="false">
      <c r="A501" s="16"/>
      <c r="B501" s="16"/>
      <c r="C501" s="15"/>
      <c r="D501" s="19"/>
      <c r="E501" s="20" t="b">
        <f aca="false">AND(A501&lt;&gt;"",C501&lt;&gt;"",D501&lt;&gt;"",C501&gt;='Read Me'!$B$5)</f>
        <v>0</v>
      </c>
      <c r="F501" s="23" t="str">
        <f aca="false">IF(E501,D501,"")</f>
        <v/>
      </c>
      <c r="G501" s="21" t="n">
        <f aca="false">IF(E501,D501^2,0)</f>
        <v>0</v>
      </c>
      <c r="H501" s="3"/>
    </row>
    <row r="502" customFormat="false" ht="15" hidden="false" customHeight="true" outlineLevel="0" collapsed="false">
      <c r="A502" s="16"/>
      <c r="B502" s="16"/>
      <c r="C502" s="15"/>
      <c r="D502" s="19"/>
      <c r="E502" s="20" t="b">
        <f aca="false">AND(A502&lt;&gt;"",C502&lt;&gt;"",D502&lt;&gt;"",C502&gt;='Read Me'!$B$5)</f>
        <v>0</v>
      </c>
      <c r="F502" s="23" t="str">
        <f aca="false">IF(E502,D502,"")</f>
        <v/>
      </c>
      <c r="G502" s="21" t="n">
        <f aca="false">IF(E502,D502^2,0)</f>
        <v>0</v>
      </c>
      <c r="H502" s="3"/>
    </row>
    <row r="503" customFormat="false" ht="15" hidden="false" customHeight="true" outlineLevel="0" collapsed="false">
      <c r="A503" s="16"/>
      <c r="B503" s="16"/>
      <c r="C503" s="15"/>
      <c r="D503" s="19"/>
      <c r="E503" s="20" t="b">
        <f aca="false">AND(A503&lt;&gt;"",C503&lt;&gt;"",D503&lt;&gt;"",C503&gt;='Read Me'!$B$5)</f>
        <v>0</v>
      </c>
      <c r="F503" s="23" t="str">
        <f aca="false">IF(E503,D503,"")</f>
        <v/>
      </c>
      <c r="G503" s="21" t="n">
        <f aca="false">IF(E503,D503^2,0)</f>
        <v>0</v>
      </c>
      <c r="H503" s="3"/>
    </row>
    <row r="504" customFormat="false" ht="15" hidden="false" customHeight="true" outlineLevel="0" collapsed="false">
      <c r="A504" s="16"/>
      <c r="B504" s="16"/>
      <c r="C504" s="15"/>
      <c r="D504" s="19"/>
      <c r="E504" s="20" t="b">
        <f aca="false">AND(A504&lt;&gt;"",C504&lt;&gt;"",D504&lt;&gt;"",C504&gt;='Read Me'!$B$5)</f>
        <v>0</v>
      </c>
      <c r="F504" s="23" t="str">
        <f aca="false">IF(E504,D504,"")</f>
        <v/>
      </c>
      <c r="G504" s="21" t="n">
        <f aca="false">IF(E504,D504^2,0)</f>
        <v>0</v>
      </c>
      <c r="H504" s="3"/>
    </row>
    <row r="505" customFormat="false" ht="15" hidden="false" customHeight="true" outlineLevel="0" collapsed="false">
      <c r="A505" s="16"/>
      <c r="B505" s="16"/>
      <c r="C505" s="15"/>
      <c r="D505" s="19"/>
      <c r="E505" s="20" t="b">
        <f aca="false">AND(A505&lt;&gt;"",C505&lt;&gt;"",D505&lt;&gt;"",C505&gt;='Read Me'!$B$5)</f>
        <v>0</v>
      </c>
      <c r="F505" s="23" t="str">
        <f aca="false">IF(E505,D505,"")</f>
        <v/>
      </c>
      <c r="G505" s="21" t="n">
        <f aca="false">IF(E505,D505^2,0)</f>
        <v>0</v>
      </c>
      <c r="H505" s="3"/>
    </row>
    <row r="506" customFormat="false" ht="15" hidden="false" customHeight="true" outlineLevel="0" collapsed="false">
      <c r="A506" s="16"/>
      <c r="B506" s="16"/>
      <c r="C506" s="15"/>
      <c r="D506" s="19"/>
      <c r="E506" s="20" t="b">
        <f aca="false">AND(A506&lt;&gt;"",C506&lt;&gt;"",D506&lt;&gt;"",C506&gt;='Read Me'!$B$5)</f>
        <v>0</v>
      </c>
      <c r="F506" s="23" t="str">
        <f aca="false">IF(E506,D506,"")</f>
        <v/>
      </c>
      <c r="G506" s="21" t="n">
        <f aca="false">IF(E506,D506^2,0)</f>
        <v>0</v>
      </c>
      <c r="H506" s="3"/>
    </row>
    <row r="507" customFormat="false" ht="15" hidden="false" customHeight="true" outlineLevel="0" collapsed="false">
      <c r="A507" s="16"/>
      <c r="B507" s="16"/>
      <c r="C507" s="15"/>
      <c r="D507" s="19"/>
      <c r="E507" s="20" t="b">
        <f aca="false">AND(A507&lt;&gt;"",C507&lt;&gt;"",D507&lt;&gt;"",C507&gt;='Read Me'!$B$5)</f>
        <v>0</v>
      </c>
      <c r="F507" s="23" t="str">
        <f aca="false">IF(E507,D507,"")</f>
        <v/>
      </c>
      <c r="G507" s="21" t="n">
        <f aca="false">IF(E507,D507^2,0)</f>
        <v>0</v>
      </c>
      <c r="H507" s="3"/>
    </row>
    <row r="508" customFormat="false" ht="15" hidden="false" customHeight="true" outlineLevel="0" collapsed="false">
      <c r="A508" s="16"/>
      <c r="B508" s="16"/>
      <c r="C508" s="15"/>
      <c r="D508" s="19"/>
      <c r="E508" s="20" t="b">
        <f aca="false">AND(A508&lt;&gt;"",C508&lt;&gt;"",D508&lt;&gt;"",C508&gt;='Read Me'!$B$5)</f>
        <v>0</v>
      </c>
      <c r="F508" s="23" t="str">
        <f aca="false">IF(E508,D508,"")</f>
        <v/>
      </c>
      <c r="G508" s="21" t="n">
        <f aca="false">IF(E508,D508^2,0)</f>
        <v>0</v>
      </c>
      <c r="H508" s="3"/>
    </row>
    <row r="509" customFormat="false" ht="15" hidden="false" customHeight="true" outlineLevel="0" collapsed="false">
      <c r="A509" s="16"/>
      <c r="B509" s="16"/>
      <c r="C509" s="15"/>
      <c r="D509" s="19"/>
      <c r="E509" s="20" t="b">
        <f aca="false">AND(A509&lt;&gt;"",C509&lt;&gt;"",D509&lt;&gt;"",C509&gt;='Read Me'!$B$5)</f>
        <v>0</v>
      </c>
      <c r="F509" s="23" t="str">
        <f aca="false">IF(E509,D509,"")</f>
        <v/>
      </c>
      <c r="G509" s="21" t="n">
        <f aca="false">IF(E509,D509^2,0)</f>
        <v>0</v>
      </c>
      <c r="H509" s="3"/>
    </row>
    <row r="510" customFormat="false" ht="15" hidden="false" customHeight="true" outlineLevel="0" collapsed="false">
      <c r="A510" s="16"/>
      <c r="B510" s="16"/>
      <c r="C510" s="15"/>
      <c r="D510" s="19"/>
      <c r="E510" s="20" t="b">
        <f aca="false">AND(A510&lt;&gt;"",C510&lt;&gt;"",D510&lt;&gt;"",C510&gt;='Read Me'!$B$5)</f>
        <v>0</v>
      </c>
      <c r="F510" s="23" t="str">
        <f aca="false">IF(E510,D510,"")</f>
        <v/>
      </c>
      <c r="G510" s="21" t="n">
        <f aca="false">IF(E510,D510^2,0)</f>
        <v>0</v>
      </c>
      <c r="H510" s="3"/>
    </row>
    <row r="511" customFormat="false" ht="15" hidden="false" customHeight="true" outlineLevel="0" collapsed="false">
      <c r="A511" s="16"/>
      <c r="B511" s="16"/>
      <c r="C511" s="15"/>
      <c r="D511" s="19"/>
      <c r="E511" s="20" t="b">
        <f aca="false">AND(A511&lt;&gt;"",C511&lt;&gt;"",D511&lt;&gt;"",C511&gt;='Read Me'!$B$5)</f>
        <v>0</v>
      </c>
      <c r="F511" s="23" t="str">
        <f aca="false">IF(E511,D511,"")</f>
        <v/>
      </c>
      <c r="G511" s="21" t="n">
        <f aca="false">IF(E511,D511^2,0)</f>
        <v>0</v>
      </c>
      <c r="H511" s="3"/>
    </row>
    <row r="512" customFormat="false" ht="15" hidden="false" customHeight="true" outlineLevel="0" collapsed="false">
      <c r="A512" s="16"/>
      <c r="B512" s="16"/>
      <c r="C512" s="15"/>
      <c r="D512" s="19"/>
      <c r="E512" s="20" t="b">
        <f aca="false">AND(A512&lt;&gt;"",C512&lt;&gt;"",D512&lt;&gt;"",C512&gt;='Read Me'!$B$5)</f>
        <v>0</v>
      </c>
      <c r="F512" s="23" t="str">
        <f aca="false">IF(E512,D512,"")</f>
        <v/>
      </c>
      <c r="G512" s="21" t="n">
        <f aca="false">IF(E512,D512^2,0)</f>
        <v>0</v>
      </c>
      <c r="H512" s="3"/>
    </row>
    <row r="513" customFormat="false" ht="15" hidden="false" customHeight="true" outlineLevel="0" collapsed="false">
      <c r="A513" s="16"/>
      <c r="B513" s="16"/>
      <c r="C513" s="15"/>
      <c r="D513" s="19"/>
      <c r="E513" s="20" t="b">
        <f aca="false">AND(A513&lt;&gt;"",C513&lt;&gt;"",D513&lt;&gt;"",C513&gt;='Read Me'!$B$5)</f>
        <v>0</v>
      </c>
      <c r="F513" s="23" t="str">
        <f aca="false">IF(E513,D513,"")</f>
        <v/>
      </c>
      <c r="G513" s="21" t="n">
        <f aca="false">IF(E513,D513^2,0)</f>
        <v>0</v>
      </c>
      <c r="H513" s="3"/>
    </row>
    <row r="514" customFormat="false" ht="15" hidden="false" customHeight="true" outlineLevel="0" collapsed="false">
      <c r="A514" s="16"/>
      <c r="B514" s="16"/>
      <c r="C514" s="15"/>
      <c r="D514" s="19"/>
      <c r="E514" s="20" t="b">
        <f aca="false">AND(A514&lt;&gt;"",C514&lt;&gt;"",D514&lt;&gt;"",C514&gt;='Read Me'!$B$5)</f>
        <v>0</v>
      </c>
      <c r="F514" s="23" t="str">
        <f aca="false">IF(E514,D514,"")</f>
        <v/>
      </c>
      <c r="G514" s="21" t="n">
        <f aca="false">IF(E514,D514^2,0)</f>
        <v>0</v>
      </c>
      <c r="H514" s="3"/>
    </row>
    <row r="515" customFormat="false" ht="15" hidden="false" customHeight="true" outlineLevel="0" collapsed="false">
      <c r="A515" s="16"/>
      <c r="B515" s="16"/>
      <c r="C515" s="15"/>
      <c r="D515" s="19"/>
      <c r="E515" s="20" t="b">
        <f aca="false">AND(A515&lt;&gt;"",C515&lt;&gt;"",D515&lt;&gt;"",C515&gt;='Read Me'!$B$5)</f>
        <v>0</v>
      </c>
      <c r="F515" s="23" t="str">
        <f aca="false">IF(E515,D515,"")</f>
        <v/>
      </c>
      <c r="G515" s="21" t="n">
        <f aca="false">IF(E515,D515^2,0)</f>
        <v>0</v>
      </c>
      <c r="H515" s="3"/>
    </row>
    <row r="516" customFormat="false" ht="15" hidden="false" customHeight="true" outlineLevel="0" collapsed="false">
      <c r="A516" s="16"/>
      <c r="B516" s="16"/>
      <c r="C516" s="15"/>
      <c r="D516" s="19"/>
      <c r="E516" s="20" t="b">
        <f aca="false">AND(A516&lt;&gt;"",C516&lt;&gt;"",D516&lt;&gt;"",C516&gt;='Read Me'!$B$5)</f>
        <v>0</v>
      </c>
      <c r="F516" s="23" t="str">
        <f aca="false">IF(E516,D516,"")</f>
        <v/>
      </c>
      <c r="G516" s="21" t="n">
        <f aca="false">IF(E516,D516^2,0)</f>
        <v>0</v>
      </c>
      <c r="H516" s="3"/>
    </row>
    <row r="517" customFormat="false" ht="15" hidden="false" customHeight="true" outlineLevel="0" collapsed="false">
      <c r="A517" s="16"/>
      <c r="B517" s="16"/>
      <c r="C517" s="15"/>
      <c r="D517" s="19"/>
      <c r="E517" s="20" t="b">
        <f aca="false">AND(A517&lt;&gt;"",C517&lt;&gt;"",D517&lt;&gt;"",C517&gt;='Read Me'!$B$5)</f>
        <v>0</v>
      </c>
      <c r="F517" s="23" t="str">
        <f aca="false">IF(E517,D517,"")</f>
        <v/>
      </c>
      <c r="G517" s="21" t="n">
        <f aca="false">IF(E517,D517^2,0)</f>
        <v>0</v>
      </c>
      <c r="H517" s="3"/>
    </row>
    <row r="518" customFormat="false" ht="15" hidden="false" customHeight="true" outlineLevel="0" collapsed="false">
      <c r="A518" s="16"/>
      <c r="B518" s="16"/>
      <c r="C518" s="15"/>
      <c r="D518" s="19"/>
      <c r="E518" s="20" t="b">
        <f aca="false">AND(A518&lt;&gt;"",C518&lt;&gt;"",D518&lt;&gt;"",C518&gt;='Read Me'!$B$5)</f>
        <v>0</v>
      </c>
      <c r="F518" s="23" t="str">
        <f aca="false">IF(E518,D518,"")</f>
        <v/>
      </c>
      <c r="G518" s="21" t="n">
        <f aca="false">IF(E518,D518^2,0)</f>
        <v>0</v>
      </c>
      <c r="H518" s="3"/>
    </row>
    <row r="519" customFormat="false" ht="15" hidden="false" customHeight="true" outlineLevel="0" collapsed="false">
      <c r="A519" s="16"/>
      <c r="B519" s="16"/>
      <c r="C519" s="15"/>
      <c r="D519" s="19"/>
      <c r="E519" s="20" t="b">
        <f aca="false">AND(A519&lt;&gt;"",C519&lt;&gt;"",D519&lt;&gt;"",C519&gt;='Read Me'!$B$5)</f>
        <v>0</v>
      </c>
      <c r="F519" s="23" t="str">
        <f aca="false">IF(E519,D519,"")</f>
        <v/>
      </c>
      <c r="G519" s="21" t="n">
        <f aca="false">IF(E519,D519^2,0)</f>
        <v>0</v>
      </c>
      <c r="H519" s="3"/>
    </row>
    <row r="520" customFormat="false" ht="15" hidden="false" customHeight="true" outlineLevel="0" collapsed="false">
      <c r="A520" s="16"/>
      <c r="B520" s="16"/>
      <c r="C520" s="15"/>
      <c r="D520" s="19"/>
      <c r="E520" s="20" t="b">
        <f aca="false">AND(A520&lt;&gt;"",C520&lt;&gt;"",D520&lt;&gt;"",C520&gt;='Read Me'!$B$5)</f>
        <v>0</v>
      </c>
      <c r="F520" s="23" t="str">
        <f aca="false">IF(E520,D520,"")</f>
        <v/>
      </c>
      <c r="G520" s="21" t="n">
        <f aca="false">IF(E520,D520^2,0)</f>
        <v>0</v>
      </c>
      <c r="H520" s="3"/>
    </row>
    <row r="521" customFormat="false" ht="15" hidden="false" customHeight="true" outlineLevel="0" collapsed="false">
      <c r="A521" s="16"/>
      <c r="B521" s="16"/>
      <c r="C521" s="15"/>
      <c r="D521" s="19"/>
      <c r="E521" s="20" t="b">
        <f aca="false">AND(A521&lt;&gt;"",C521&lt;&gt;"",D521&lt;&gt;"",C521&gt;='Read Me'!$B$5)</f>
        <v>0</v>
      </c>
      <c r="F521" s="23" t="str">
        <f aca="false">IF(E521,D521,"")</f>
        <v/>
      </c>
      <c r="G521" s="21" t="n">
        <f aca="false">IF(E521,D521^2,0)</f>
        <v>0</v>
      </c>
      <c r="H521" s="3"/>
    </row>
    <row r="522" customFormat="false" ht="15" hidden="false" customHeight="true" outlineLevel="0" collapsed="false">
      <c r="A522" s="16"/>
      <c r="B522" s="16"/>
      <c r="C522" s="15"/>
      <c r="D522" s="19"/>
      <c r="E522" s="20" t="b">
        <f aca="false">AND(A522&lt;&gt;"",C522&lt;&gt;"",D522&lt;&gt;"",C522&gt;='Read Me'!$B$5)</f>
        <v>0</v>
      </c>
      <c r="F522" s="23" t="str">
        <f aca="false">IF(E522,D522,"")</f>
        <v/>
      </c>
      <c r="G522" s="21" t="n">
        <f aca="false">IF(E522,D522^2,0)</f>
        <v>0</v>
      </c>
      <c r="H522" s="3"/>
    </row>
    <row r="523" customFormat="false" ht="15" hidden="false" customHeight="true" outlineLevel="0" collapsed="false">
      <c r="A523" s="16"/>
      <c r="B523" s="16"/>
      <c r="C523" s="15"/>
      <c r="D523" s="19"/>
      <c r="E523" s="20" t="b">
        <f aca="false">AND(A523&lt;&gt;"",C523&lt;&gt;"",D523&lt;&gt;"",C523&gt;='Read Me'!$B$5)</f>
        <v>0</v>
      </c>
      <c r="F523" s="23" t="str">
        <f aca="false">IF(E523,D523,"")</f>
        <v/>
      </c>
      <c r="G523" s="21" t="n">
        <f aca="false">IF(E523,D523^2,0)</f>
        <v>0</v>
      </c>
      <c r="H523" s="3"/>
    </row>
    <row r="524" customFormat="false" ht="15" hidden="false" customHeight="true" outlineLevel="0" collapsed="false">
      <c r="A524" s="16"/>
      <c r="B524" s="16"/>
      <c r="C524" s="15"/>
      <c r="D524" s="19"/>
      <c r="E524" s="20" t="b">
        <f aca="false">AND(A524&lt;&gt;"",C524&lt;&gt;"",D524&lt;&gt;"",C524&gt;='Read Me'!$B$5)</f>
        <v>0</v>
      </c>
      <c r="F524" s="23" t="str">
        <f aca="false">IF(E524,D524,"")</f>
        <v/>
      </c>
      <c r="G524" s="21" t="n">
        <f aca="false">IF(E524,D524^2,0)</f>
        <v>0</v>
      </c>
      <c r="H524" s="3"/>
    </row>
    <row r="525" customFormat="false" ht="15" hidden="false" customHeight="true" outlineLevel="0" collapsed="false">
      <c r="A525" s="16"/>
      <c r="B525" s="16"/>
      <c r="C525" s="15"/>
      <c r="D525" s="19"/>
      <c r="E525" s="20" t="b">
        <f aca="false">AND(A525&lt;&gt;"",C525&lt;&gt;"",D525&lt;&gt;"",C525&gt;='Read Me'!$B$5)</f>
        <v>0</v>
      </c>
      <c r="F525" s="23" t="str">
        <f aca="false">IF(E525,D525,"")</f>
        <v/>
      </c>
      <c r="G525" s="21" t="n">
        <f aca="false">IF(E525,D525^2,0)</f>
        <v>0</v>
      </c>
      <c r="H525" s="3"/>
    </row>
    <row r="526" customFormat="false" ht="15" hidden="false" customHeight="true" outlineLevel="0" collapsed="false">
      <c r="A526" s="16"/>
      <c r="B526" s="16"/>
      <c r="C526" s="15"/>
      <c r="D526" s="19"/>
      <c r="E526" s="20" t="b">
        <f aca="false">AND(A526&lt;&gt;"",C526&lt;&gt;"",D526&lt;&gt;"",C526&gt;='Read Me'!$B$5)</f>
        <v>0</v>
      </c>
      <c r="F526" s="23" t="str">
        <f aca="false">IF(E526,D526,"")</f>
        <v/>
      </c>
      <c r="G526" s="21" t="n">
        <f aca="false">IF(E526,D526^2,0)</f>
        <v>0</v>
      </c>
      <c r="H526" s="3"/>
    </row>
    <row r="527" customFormat="false" ht="15" hidden="false" customHeight="true" outlineLevel="0" collapsed="false">
      <c r="A527" s="16"/>
      <c r="B527" s="16"/>
      <c r="C527" s="15"/>
      <c r="D527" s="19"/>
      <c r="E527" s="20" t="b">
        <f aca="false">AND(A527&lt;&gt;"",C527&lt;&gt;"",D527&lt;&gt;"",C527&gt;='Read Me'!$B$5)</f>
        <v>0</v>
      </c>
      <c r="F527" s="23" t="str">
        <f aca="false">IF(E527,D527,"")</f>
        <v/>
      </c>
      <c r="G527" s="21" t="n">
        <f aca="false">IF(E527,D527^2,0)</f>
        <v>0</v>
      </c>
      <c r="H527" s="3"/>
    </row>
    <row r="528" customFormat="false" ht="15" hidden="false" customHeight="true" outlineLevel="0" collapsed="false">
      <c r="A528" s="16"/>
      <c r="B528" s="16"/>
      <c r="C528" s="15"/>
      <c r="D528" s="19"/>
      <c r="E528" s="20" t="b">
        <f aca="false">AND(A528&lt;&gt;"",C528&lt;&gt;"",D528&lt;&gt;"",C528&gt;='Read Me'!$B$5)</f>
        <v>0</v>
      </c>
      <c r="F528" s="23" t="str">
        <f aca="false">IF(E528,D528,"")</f>
        <v/>
      </c>
      <c r="G528" s="21" t="n">
        <f aca="false">IF(E528,D528^2,0)</f>
        <v>0</v>
      </c>
      <c r="H528" s="3"/>
    </row>
    <row r="529" customFormat="false" ht="15" hidden="false" customHeight="true" outlineLevel="0" collapsed="false">
      <c r="A529" s="16"/>
      <c r="B529" s="16"/>
      <c r="C529" s="15"/>
      <c r="D529" s="19"/>
      <c r="E529" s="20" t="b">
        <f aca="false">AND(A529&lt;&gt;"",C529&lt;&gt;"",D529&lt;&gt;"",C529&gt;='Read Me'!$B$5)</f>
        <v>0</v>
      </c>
      <c r="F529" s="23" t="str">
        <f aca="false">IF(E529,D529,"")</f>
        <v/>
      </c>
      <c r="G529" s="21" t="n">
        <f aca="false">IF(E529,D529^2,0)</f>
        <v>0</v>
      </c>
      <c r="H529" s="3"/>
    </row>
    <row r="530" customFormat="false" ht="15" hidden="false" customHeight="true" outlineLevel="0" collapsed="false">
      <c r="A530" s="16"/>
      <c r="B530" s="16"/>
      <c r="C530" s="15"/>
      <c r="D530" s="19"/>
      <c r="E530" s="20" t="b">
        <f aca="false">AND(A530&lt;&gt;"",C530&lt;&gt;"",D530&lt;&gt;"",C530&gt;='Read Me'!$B$5)</f>
        <v>0</v>
      </c>
      <c r="F530" s="23" t="str">
        <f aca="false">IF(E530,D530,"")</f>
        <v/>
      </c>
      <c r="G530" s="21" t="n">
        <f aca="false">IF(E530,D530^2,0)</f>
        <v>0</v>
      </c>
      <c r="H530" s="3"/>
    </row>
    <row r="531" customFormat="false" ht="15" hidden="false" customHeight="true" outlineLevel="0" collapsed="false">
      <c r="A531" s="16"/>
      <c r="B531" s="16"/>
      <c r="C531" s="15"/>
      <c r="D531" s="19"/>
      <c r="E531" s="20" t="b">
        <f aca="false">AND(A531&lt;&gt;"",C531&lt;&gt;"",D531&lt;&gt;"",C531&gt;='Read Me'!$B$5)</f>
        <v>0</v>
      </c>
      <c r="F531" s="23" t="str">
        <f aca="false">IF(E531,D531,"")</f>
        <v/>
      </c>
      <c r="G531" s="21" t="n">
        <f aca="false">IF(E531,D531^2,0)</f>
        <v>0</v>
      </c>
      <c r="H531" s="3"/>
    </row>
    <row r="532" customFormat="false" ht="15" hidden="false" customHeight="true" outlineLevel="0" collapsed="false">
      <c r="A532" s="16"/>
      <c r="B532" s="16"/>
      <c r="C532" s="15"/>
      <c r="D532" s="19"/>
      <c r="E532" s="20" t="b">
        <f aca="false">AND(A532&lt;&gt;"",C532&lt;&gt;"",D532&lt;&gt;"",C532&gt;='Read Me'!$B$5)</f>
        <v>0</v>
      </c>
      <c r="F532" s="23" t="str">
        <f aca="false">IF(E532,D532,"")</f>
        <v/>
      </c>
      <c r="G532" s="21" t="n">
        <f aca="false">IF(E532,D532^2,0)</f>
        <v>0</v>
      </c>
      <c r="H532" s="3"/>
    </row>
    <row r="533" customFormat="false" ht="15" hidden="false" customHeight="true" outlineLevel="0" collapsed="false">
      <c r="A533" s="16"/>
      <c r="B533" s="16"/>
      <c r="C533" s="15"/>
      <c r="D533" s="19"/>
      <c r="E533" s="20" t="b">
        <f aca="false">AND(A533&lt;&gt;"",C533&lt;&gt;"",D533&lt;&gt;"",C533&gt;='Read Me'!$B$5)</f>
        <v>0</v>
      </c>
      <c r="F533" s="23" t="str">
        <f aca="false">IF(E533,D533,"")</f>
        <v/>
      </c>
      <c r="G533" s="21" t="n">
        <f aca="false">IF(E533,D533^2,0)</f>
        <v>0</v>
      </c>
      <c r="H533" s="3"/>
    </row>
    <row r="534" customFormat="false" ht="15" hidden="false" customHeight="true" outlineLevel="0" collapsed="false">
      <c r="A534" s="16"/>
      <c r="B534" s="16"/>
      <c r="C534" s="15"/>
      <c r="D534" s="19"/>
      <c r="E534" s="20" t="b">
        <f aca="false">AND(A534&lt;&gt;"",C534&lt;&gt;"",D534&lt;&gt;"",C534&gt;='Read Me'!$B$5)</f>
        <v>0</v>
      </c>
      <c r="F534" s="23" t="str">
        <f aca="false">IF(E534,D534,"")</f>
        <v/>
      </c>
      <c r="G534" s="21" t="n">
        <f aca="false">IF(E534,D534^2,0)</f>
        <v>0</v>
      </c>
      <c r="H534" s="3"/>
    </row>
    <row r="535" customFormat="false" ht="15" hidden="false" customHeight="true" outlineLevel="0" collapsed="false">
      <c r="A535" s="16"/>
      <c r="B535" s="16"/>
      <c r="C535" s="15"/>
      <c r="D535" s="19"/>
      <c r="E535" s="20" t="b">
        <f aca="false">AND(A535&lt;&gt;"",C535&lt;&gt;"",D535&lt;&gt;"",C535&gt;='Read Me'!$B$5)</f>
        <v>0</v>
      </c>
      <c r="F535" s="23" t="str">
        <f aca="false">IF(E535,D535,"")</f>
        <v/>
      </c>
      <c r="G535" s="21" t="n">
        <f aca="false">IF(E535,D535^2,0)</f>
        <v>0</v>
      </c>
      <c r="H535" s="3"/>
    </row>
    <row r="536" customFormat="false" ht="15" hidden="false" customHeight="true" outlineLevel="0" collapsed="false">
      <c r="A536" s="16"/>
      <c r="B536" s="16"/>
      <c r="C536" s="15"/>
      <c r="D536" s="19"/>
      <c r="E536" s="20" t="b">
        <f aca="false">AND(A536&lt;&gt;"",C536&lt;&gt;"",D536&lt;&gt;"",C536&gt;='Read Me'!$B$5)</f>
        <v>0</v>
      </c>
      <c r="F536" s="23" t="str">
        <f aca="false">IF(E536,D536,"")</f>
        <v/>
      </c>
      <c r="G536" s="21" t="n">
        <f aca="false">IF(E536,D536^2,0)</f>
        <v>0</v>
      </c>
      <c r="H536" s="3"/>
    </row>
    <row r="537" customFormat="false" ht="15" hidden="false" customHeight="true" outlineLevel="0" collapsed="false">
      <c r="A537" s="16"/>
      <c r="B537" s="16"/>
      <c r="C537" s="15"/>
      <c r="D537" s="19"/>
      <c r="E537" s="20" t="b">
        <f aca="false">AND(A537&lt;&gt;"",C537&lt;&gt;"",D537&lt;&gt;"",C537&gt;='Read Me'!$B$5)</f>
        <v>0</v>
      </c>
      <c r="F537" s="23" t="str">
        <f aca="false">IF(E537,D537,"")</f>
        <v/>
      </c>
      <c r="G537" s="21" t="n">
        <f aca="false">IF(E537,D537^2,0)</f>
        <v>0</v>
      </c>
      <c r="H537" s="3"/>
    </row>
    <row r="538" customFormat="false" ht="15" hidden="false" customHeight="true" outlineLevel="0" collapsed="false">
      <c r="A538" s="16"/>
      <c r="B538" s="16"/>
      <c r="C538" s="15"/>
      <c r="D538" s="19"/>
      <c r="E538" s="20" t="b">
        <f aca="false">AND(A538&lt;&gt;"",C538&lt;&gt;"",D538&lt;&gt;"",C538&gt;='Read Me'!$B$5)</f>
        <v>0</v>
      </c>
      <c r="F538" s="23" t="str">
        <f aca="false">IF(E538,D538,"")</f>
        <v/>
      </c>
      <c r="G538" s="21" t="n">
        <f aca="false">IF(E538,D538^2,0)</f>
        <v>0</v>
      </c>
      <c r="H538" s="3"/>
    </row>
    <row r="539" customFormat="false" ht="15" hidden="false" customHeight="true" outlineLevel="0" collapsed="false">
      <c r="A539" s="16"/>
      <c r="B539" s="16"/>
      <c r="C539" s="15"/>
      <c r="D539" s="19"/>
      <c r="E539" s="20" t="b">
        <f aca="false">AND(A539&lt;&gt;"",C539&lt;&gt;"",D539&lt;&gt;"",C539&gt;='Read Me'!$B$5)</f>
        <v>0</v>
      </c>
      <c r="F539" s="23" t="str">
        <f aca="false">IF(E539,D539,"")</f>
        <v/>
      </c>
      <c r="G539" s="21" t="n">
        <f aca="false">IF(E539,D539^2,0)</f>
        <v>0</v>
      </c>
      <c r="H539" s="3"/>
    </row>
    <row r="540" customFormat="false" ht="15" hidden="false" customHeight="true" outlineLevel="0" collapsed="false">
      <c r="A540" s="16"/>
      <c r="B540" s="16"/>
      <c r="C540" s="15"/>
      <c r="D540" s="19"/>
      <c r="E540" s="20" t="b">
        <f aca="false">AND(A540&lt;&gt;"",C540&lt;&gt;"",D540&lt;&gt;"",C540&gt;='Read Me'!$B$5)</f>
        <v>0</v>
      </c>
      <c r="F540" s="23" t="str">
        <f aca="false">IF(E540,D540,"")</f>
        <v/>
      </c>
      <c r="G540" s="21" t="n">
        <f aca="false">IF(E540,D540^2,0)</f>
        <v>0</v>
      </c>
      <c r="H540" s="3"/>
    </row>
    <row r="541" customFormat="false" ht="15" hidden="false" customHeight="true" outlineLevel="0" collapsed="false">
      <c r="A541" s="16"/>
      <c r="B541" s="16"/>
      <c r="C541" s="15"/>
      <c r="D541" s="19"/>
      <c r="E541" s="20" t="b">
        <f aca="false">AND(A541&lt;&gt;"",C541&lt;&gt;"",D541&lt;&gt;"",C541&gt;='Read Me'!$B$5)</f>
        <v>0</v>
      </c>
      <c r="F541" s="23" t="str">
        <f aca="false">IF(E541,D541,"")</f>
        <v/>
      </c>
      <c r="G541" s="21" t="n">
        <f aca="false">IF(E541,D541^2,0)</f>
        <v>0</v>
      </c>
      <c r="H541" s="3"/>
    </row>
    <row r="542" customFormat="false" ht="15" hidden="false" customHeight="true" outlineLevel="0" collapsed="false">
      <c r="A542" s="16"/>
      <c r="B542" s="16"/>
      <c r="C542" s="15"/>
      <c r="D542" s="19"/>
      <c r="E542" s="20" t="b">
        <f aca="false">AND(A542&lt;&gt;"",C542&lt;&gt;"",D542&lt;&gt;"",C542&gt;='Read Me'!$B$5)</f>
        <v>0</v>
      </c>
      <c r="F542" s="23" t="str">
        <f aca="false">IF(E542,D542,"")</f>
        <v/>
      </c>
      <c r="G542" s="21" t="n">
        <f aca="false">IF(E542,D542^2,0)</f>
        <v>0</v>
      </c>
      <c r="H542" s="3"/>
    </row>
    <row r="543" customFormat="false" ht="15" hidden="false" customHeight="true" outlineLevel="0" collapsed="false">
      <c r="A543" s="16"/>
      <c r="B543" s="16"/>
      <c r="C543" s="15"/>
      <c r="D543" s="19"/>
      <c r="E543" s="20" t="b">
        <f aca="false">AND(A543&lt;&gt;"",C543&lt;&gt;"",D543&lt;&gt;"",C543&gt;='Read Me'!$B$5)</f>
        <v>0</v>
      </c>
      <c r="F543" s="23" t="str">
        <f aca="false">IF(E543,D543,"")</f>
        <v/>
      </c>
      <c r="G543" s="21" t="n">
        <f aca="false">IF(E543,D543^2,0)</f>
        <v>0</v>
      </c>
      <c r="H543" s="3"/>
    </row>
    <row r="544" customFormat="false" ht="15" hidden="false" customHeight="true" outlineLevel="0" collapsed="false">
      <c r="A544" s="16"/>
      <c r="B544" s="16"/>
      <c r="C544" s="15"/>
      <c r="D544" s="19"/>
      <c r="E544" s="20" t="b">
        <f aca="false">AND(A544&lt;&gt;"",C544&lt;&gt;"",D544&lt;&gt;"",C544&gt;='Read Me'!$B$5)</f>
        <v>0</v>
      </c>
      <c r="F544" s="23" t="str">
        <f aca="false">IF(E544,D544,"")</f>
        <v/>
      </c>
      <c r="G544" s="21" t="n">
        <f aca="false">IF(E544,D544^2,0)</f>
        <v>0</v>
      </c>
      <c r="H544" s="3"/>
    </row>
    <row r="545" customFormat="false" ht="15" hidden="false" customHeight="true" outlineLevel="0" collapsed="false">
      <c r="A545" s="16"/>
      <c r="B545" s="16"/>
      <c r="C545" s="15"/>
      <c r="D545" s="19"/>
      <c r="E545" s="20" t="b">
        <f aca="false">AND(A545&lt;&gt;"",C545&lt;&gt;"",D545&lt;&gt;"",C545&gt;='Read Me'!$B$5)</f>
        <v>0</v>
      </c>
      <c r="F545" s="23" t="str">
        <f aca="false">IF(E545,D545,"")</f>
        <v/>
      </c>
      <c r="G545" s="21" t="n">
        <f aca="false">IF(E545,D545^2,0)</f>
        <v>0</v>
      </c>
      <c r="H545" s="3"/>
    </row>
    <row r="546" customFormat="false" ht="15" hidden="false" customHeight="true" outlineLevel="0" collapsed="false">
      <c r="A546" s="16"/>
      <c r="B546" s="16"/>
      <c r="C546" s="15"/>
      <c r="D546" s="19"/>
      <c r="E546" s="20" t="b">
        <f aca="false">AND(A546&lt;&gt;"",C546&lt;&gt;"",D546&lt;&gt;"",C546&gt;='Read Me'!$B$5)</f>
        <v>0</v>
      </c>
      <c r="F546" s="23" t="str">
        <f aca="false">IF(E546,D546,"")</f>
        <v/>
      </c>
      <c r="G546" s="21" t="n">
        <f aca="false">IF(E546,D546^2,0)</f>
        <v>0</v>
      </c>
      <c r="H546" s="3"/>
    </row>
    <row r="547" customFormat="false" ht="15" hidden="false" customHeight="true" outlineLevel="0" collapsed="false">
      <c r="A547" s="16"/>
      <c r="B547" s="16"/>
      <c r="C547" s="15"/>
      <c r="D547" s="19"/>
      <c r="E547" s="20" t="b">
        <f aca="false">AND(A547&lt;&gt;"",C547&lt;&gt;"",D547&lt;&gt;"",C547&gt;='Read Me'!$B$5)</f>
        <v>0</v>
      </c>
      <c r="F547" s="23" t="str">
        <f aca="false">IF(E547,D547,"")</f>
        <v/>
      </c>
      <c r="G547" s="21" t="n">
        <f aca="false">IF(E547,D547^2,0)</f>
        <v>0</v>
      </c>
      <c r="H547" s="3"/>
    </row>
    <row r="548" customFormat="false" ht="15" hidden="false" customHeight="true" outlineLevel="0" collapsed="false">
      <c r="A548" s="16"/>
      <c r="B548" s="16"/>
      <c r="C548" s="15"/>
      <c r="D548" s="19"/>
      <c r="E548" s="20" t="b">
        <f aca="false">AND(A548&lt;&gt;"",C548&lt;&gt;"",D548&lt;&gt;"",C548&gt;='Read Me'!$B$5)</f>
        <v>0</v>
      </c>
      <c r="F548" s="23" t="str">
        <f aca="false">IF(E548,D548,"")</f>
        <v/>
      </c>
      <c r="G548" s="21" t="n">
        <f aca="false">IF(E548,D548^2,0)</f>
        <v>0</v>
      </c>
      <c r="H548" s="3"/>
    </row>
    <row r="549" customFormat="false" ht="15" hidden="false" customHeight="true" outlineLevel="0" collapsed="false">
      <c r="A549" s="16"/>
      <c r="B549" s="16"/>
      <c r="C549" s="15"/>
      <c r="D549" s="19"/>
      <c r="E549" s="20" t="b">
        <f aca="false">AND(A549&lt;&gt;"",C549&lt;&gt;"",D549&lt;&gt;"",C549&gt;='Read Me'!$B$5)</f>
        <v>0</v>
      </c>
      <c r="F549" s="23" t="str">
        <f aca="false">IF(E549,D549,"")</f>
        <v/>
      </c>
      <c r="G549" s="21" t="n">
        <f aca="false">IF(E549,D549^2,0)</f>
        <v>0</v>
      </c>
      <c r="H549" s="3"/>
    </row>
    <row r="550" customFormat="false" ht="15" hidden="false" customHeight="true" outlineLevel="0" collapsed="false">
      <c r="A550" s="16"/>
      <c r="B550" s="16"/>
      <c r="C550" s="15"/>
      <c r="D550" s="19"/>
      <c r="E550" s="20" t="b">
        <f aca="false">AND(A550&lt;&gt;"",C550&lt;&gt;"",D550&lt;&gt;"",C550&gt;='Read Me'!$B$5)</f>
        <v>0</v>
      </c>
      <c r="F550" s="23" t="str">
        <f aca="false">IF(E550,D550,"")</f>
        <v/>
      </c>
      <c r="G550" s="21" t="n">
        <f aca="false">IF(E550,D550^2,0)</f>
        <v>0</v>
      </c>
      <c r="H550" s="3"/>
    </row>
    <row r="551" customFormat="false" ht="15" hidden="false" customHeight="true" outlineLevel="0" collapsed="false">
      <c r="A551" s="16"/>
      <c r="B551" s="16"/>
      <c r="C551" s="15"/>
      <c r="D551" s="19"/>
      <c r="E551" s="20" t="b">
        <f aca="false">AND(A551&lt;&gt;"",C551&lt;&gt;"",D551&lt;&gt;"",C551&gt;='Read Me'!$B$5)</f>
        <v>0</v>
      </c>
      <c r="F551" s="23" t="str">
        <f aca="false">IF(E551,D551,"")</f>
        <v/>
      </c>
      <c r="G551" s="21" t="n">
        <f aca="false">IF(E551,D551^2,0)</f>
        <v>0</v>
      </c>
      <c r="H551" s="3"/>
    </row>
    <row r="552" customFormat="false" ht="15" hidden="false" customHeight="true" outlineLevel="0" collapsed="false">
      <c r="A552" s="16"/>
      <c r="B552" s="16"/>
      <c r="C552" s="15"/>
      <c r="D552" s="19"/>
      <c r="E552" s="20" t="b">
        <f aca="false">AND(A552&lt;&gt;"",C552&lt;&gt;"",D552&lt;&gt;"",C552&gt;='Read Me'!$B$5)</f>
        <v>0</v>
      </c>
      <c r="F552" s="23" t="str">
        <f aca="false">IF(E552,D552,"")</f>
        <v/>
      </c>
      <c r="G552" s="21" t="n">
        <f aca="false">IF(E552,D552^2,0)</f>
        <v>0</v>
      </c>
      <c r="H552" s="3"/>
    </row>
    <row r="553" customFormat="false" ht="15" hidden="false" customHeight="true" outlineLevel="0" collapsed="false">
      <c r="A553" s="16"/>
      <c r="B553" s="16"/>
      <c r="C553" s="15"/>
      <c r="D553" s="19"/>
      <c r="E553" s="20" t="b">
        <f aca="false">AND(A553&lt;&gt;"",C553&lt;&gt;"",D553&lt;&gt;"",C553&gt;='Read Me'!$B$5)</f>
        <v>0</v>
      </c>
      <c r="F553" s="23" t="str">
        <f aca="false">IF(E553,D553,"")</f>
        <v/>
      </c>
      <c r="G553" s="21" t="n">
        <f aca="false">IF(E553,D553^2,0)</f>
        <v>0</v>
      </c>
      <c r="H553" s="3"/>
    </row>
    <row r="554" customFormat="false" ht="15" hidden="false" customHeight="true" outlineLevel="0" collapsed="false">
      <c r="A554" s="16"/>
      <c r="B554" s="16"/>
      <c r="C554" s="15"/>
      <c r="D554" s="19"/>
      <c r="E554" s="20" t="b">
        <f aca="false">AND(A554&lt;&gt;"",C554&lt;&gt;"",D554&lt;&gt;"",C554&gt;='Read Me'!$B$5)</f>
        <v>0</v>
      </c>
      <c r="F554" s="23" t="str">
        <f aca="false">IF(E554,D554,"")</f>
        <v/>
      </c>
      <c r="G554" s="21" t="n">
        <f aca="false">IF(E554,D554^2,0)</f>
        <v>0</v>
      </c>
      <c r="H554" s="3"/>
    </row>
    <row r="555" customFormat="false" ht="15" hidden="false" customHeight="true" outlineLevel="0" collapsed="false">
      <c r="A555" s="16"/>
      <c r="B555" s="16"/>
      <c r="C555" s="15"/>
      <c r="D555" s="19"/>
      <c r="E555" s="20" t="b">
        <f aca="false">AND(A555&lt;&gt;"",C555&lt;&gt;"",D555&lt;&gt;"",C555&gt;='Read Me'!$B$5)</f>
        <v>0</v>
      </c>
      <c r="F555" s="23" t="str">
        <f aca="false">IF(E555,D555,"")</f>
        <v/>
      </c>
      <c r="G555" s="21" t="n">
        <f aca="false">IF(E555,D555^2,0)</f>
        <v>0</v>
      </c>
      <c r="H555" s="3"/>
    </row>
    <row r="556" customFormat="false" ht="15" hidden="false" customHeight="true" outlineLevel="0" collapsed="false">
      <c r="A556" s="16"/>
      <c r="B556" s="16"/>
      <c r="C556" s="15"/>
      <c r="D556" s="19"/>
      <c r="E556" s="20" t="b">
        <f aca="false">AND(A556&lt;&gt;"",C556&lt;&gt;"",D556&lt;&gt;"",C556&gt;='Read Me'!$B$5)</f>
        <v>0</v>
      </c>
      <c r="F556" s="23" t="str">
        <f aca="false">IF(E556,D556,"")</f>
        <v/>
      </c>
      <c r="G556" s="21" t="n">
        <f aca="false">IF(E556,D556^2,0)</f>
        <v>0</v>
      </c>
      <c r="H556" s="3"/>
    </row>
    <row r="557" customFormat="false" ht="15" hidden="false" customHeight="true" outlineLevel="0" collapsed="false">
      <c r="A557" s="16"/>
      <c r="B557" s="16"/>
      <c r="C557" s="15"/>
      <c r="D557" s="19"/>
      <c r="E557" s="20" t="b">
        <f aca="false">AND(A557&lt;&gt;"",C557&lt;&gt;"",D557&lt;&gt;"",C557&gt;='Read Me'!$B$5)</f>
        <v>0</v>
      </c>
      <c r="F557" s="23" t="str">
        <f aca="false">IF(E557,D557,"")</f>
        <v/>
      </c>
      <c r="G557" s="21" t="n">
        <f aca="false">IF(E557,D557^2,0)</f>
        <v>0</v>
      </c>
      <c r="H557" s="3"/>
    </row>
    <row r="558" customFormat="false" ht="15" hidden="false" customHeight="true" outlineLevel="0" collapsed="false">
      <c r="A558" s="16"/>
      <c r="B558" s="16"/>
      <c r="C558" s="15"/>
      <c r="D558" s="19"/>
      <c r="E558" s="20" t="b">
        <f aca="false">AND(A558&lt;&gt;"",C558&lt;&gt;"",D558&lt;&gt;"",C558&gt;='Read Me'!$B$5)</f>
        <v>0</v>
      </c>
      <c r="F558" s="23" t="str">
        <f aca="false">IF(E558,D558,"")</f>
        <v/>
      </c>
      <c r="G558" s="21" t="n">
        <f aca="false">IF(E558,D558^2,0)</f>
        <v>0</v>
      </c>
      <c r="H558" s="3"/>
    </row>
    <row r="559" customFormat="false" ht="15" hidden="false" customHeight="true" outlineLevel="0" collapsed="false">
      <c r="A559" s="16"/>
      <c r="B559" s="16"/>
      <c r="C559" s="15"/>
      <c r="D559" s="19"/>
      <c r="E559" s="20" t="b">
        <f aca="false">AND(A559&lt;&gt;"",C559&lt;&gt;"",D559&lt;&gt;"",C559&gt;='Read Me'!$B$5)</f>
        <v>0</v>
      </c>
      <c r="F559" s="23" t="str">
        <f aca="false">IF(E559,D559,"")</f>
        <v/>
      </c>
      <c r="G559" s="21" t="n">
        <f aca="false">IF(E559,D559^2,0)</f>
        <v>0</v>
      </c>
      <c r="H559" s="3"/>
    </row>
    <row r="560" customFormat="false" ht="15" hidden="false" customHeight="true" outlineLevel="0" collapsed="false">
      <c r="A560" s="16"/>
      <c r="B560" s="16"/>
      <c r="C560" s="15"/>
      <c r="D560" s="19"/>
      <c r="E560" s="20" t="b">
        <f aca="false">AND(A560&lt;&gt;"",C560&lt;&gt;"",D560&lt;&gt;"",C560&gt;='Read Me'!$B$5)</f>
        <v>0</v>
      </c>
      <c r="F560" s="23" t="str">
        <f aca="false">IF(E560,D560,"")</f>
        <v/>
      </c>
      <c r="G560" s="21" t="n">
        <f aca="false">IF(E560,D560^2,0)</f>
        <v>0</v>
      </c>
      <c r="H560" s="3"/>
    </row>
    <row r="561" customFormat="false" ht="15" hidden="false" customHeight="true" outlineLevel="0" collapsed="false">
      <c r="A561" s="16"/>
      <c r="B561" s="16"/>
      <c r="C561" s="15"/>
      <c r="D561" s="19"/>
      <c r="E561" s="20" t="b">
        <f aca="false">AND(A561&lt;&gt;"",C561&lt;&gt;"",D561&lt;&gt;"",C561&gt;='Read Me'!$B$5)</f>
        <v>0</v>
      </c>
      <c r="F561" s="23" t="str">
        <f aca="false">IF(E561,D561,"")</f>
        <v/>
      </c>
      <c r="G561" s="21" t="n">
        <f aca="false">IF(E561,D561^2,0)</f>
        <v>0</v>
      </c>
      <c r="H561" s="3"/>
    </row>
    <row r="562" customFormat="false" ht="15" hidden="false" customHeight="true" outlineLevel="0" collapsed="false">
      <c r="A562" s="16"/>
      <c r="B562" s="16"/>
      <c r="C562" s="15"/>
      <c r="D562" s="19"/>
      <c r="E562" s="20" t="b">
        <f aca="false">AND(A562&lt;&gt;"",C562&lt;&gt;"",D562&lt;&gt;"",C562&gt;='Read Me'!$B$5)</f>
        <v>0</v>
      </c>
      <c r="F562" s="23" t="str">
        <f aca="false">IF(E562,D562,"")</f>
        <v/>
      </c>
      <c r="G562" s="21" t="n">
        <f aca="false">IF(E562,D562^2,0)</f>
        <v>0</v>
      </c>
      <c r="H562" s="3"/>
    </row>
    <row r="563" customFormat="false" ht="15" hidden="false" customHeight="true" outlineLevel="0" collapsed="false">
      <c r="A563" s="16"/>
      <c r="B563" s="16"/>
      <c r="C563" s="15"/>
      <c r="D563" s="19"/>
      <c r="E563" s="20" t="b">
        <f aca="false">AND(A563&lt;&gt;"",C563&lt;&gt;"",D563&lt;&gt;"",C563&gt;='Read Me'!$B$5)</f>
        <v>0</v>
      </c>
      <c r="F563" s="23" t="str">
        <f aca="false">IF(E563,D563,"")</f>
        <v/>
      </c>
      <c r="G563" s="21" t="n">
        <f aca="false">IF(E563,D563^2,0)</f>
        <v>0</v>
      </c>
      <c r="H563" s="3"/>
    </row>
    <row r="564" customFormat="false" ht="15" hidden="false" customHeight="true" outlineLevel="0" collapsed="false">
      <c r="A564" s="16"/>
      <c r="B564" s="16"/>
      <c r="C564" s="15"/>
      <c r="D564" s="19"/>
      <c r="E564" s="20" t="b">
        <f aca="false">AND(A564&lt;&gt;"",C564&lt;&gt;"",D564&lt;&gt;"",C564&gt;='Read Me'!$B$5)</f>
        <v>0</v>
      </c>
      <c r="F564" s="23" t="str">
        <f aca="false">IF(E564,D564,"")</f>
        <v/>
      </c>
      <c r="G564" s="21" t="n">
        <f aca="false">IF(E564,D564^2,0)</f>
        <v>0</v>
      </c>
      <c r="H564" s="3"/>
    </row>
    <row r="565" customFormat="false" ht="15" hidden="false" customHeight="true" outlineLevel="0" collapsed="false">
      <c r="A565" s="16"/>
      <c r="B565" s="16"/>
      <c r="C565" s="15"/>
      <c r="D565" s="19"/>
      <c r="E565" s="20" t="b">
        <f aca="false">AND(A565&lt;&gt;"",C565&lt;&gt;"",D565&lt;&gt;"",C565&gt;='Read Me'!$B$5)</f>
        <v>0</v>
      </c>
      <c r="F565" s="23" t="str">
        <f aca="false">IF(E565,D565,"")</f>
        <v/>
      </c>
      <c r="G565" s="21" t="n">
        <f aca="false">IF(E565,D565^2,0)</f>
        <v>0</v>
      </c>
      <c r="H565" s="3"/>
    </row>
    <row r="566" customFormat="false" ht="15" hidden="false" customHeight="true" outlineLevel="0" collapsed="false">
      <c r="A566" s="16"/>
      <c r="B566" s="16"/>
      <c r="C566" s="15"/>
      <c r="D566" s="19"/>
      <c r="E566" s="20" t="b">
        <f aca="false">AND(A566&lt;&gt;"",C566&lt;&gt;"",D566&lt;&gt;"",C566&gt;='Read Me'!$B$5)</f>
        <v>0</v>
      </c>
      <c r="F566" s="23" t="str">
        <f aca="false">IF(E566,D566,"")</f>
        <v/>
      </c>
      <c r="G566" s="21" t="n">
        <f aca="false">IF(E566,D566^2,0)</f>
        <v>0</v>
      </c>
      <c r="H566" s="3"/>
    </row>
    <row r="567" customFormat="false" ht="15" hidden="false" customHeight="true" outlineLevel="0" collapsed="false">
      <c r="A567" s="16"/>
      <c r="B567" s="16"/>
      <c r="C567" s="15"/>
      <c r="D567" s="19"/>
      <c r="E567" s="20" t="b">
        <f aca="false">AND(A567&lt;&gt;"",C567&lt;&gt;"",D567&lt;&gt;"",C567&gt;='Read Me'!$B$5)</f>
        <v>0</v>
      </c>
      <c r="F567" s="23" t="str">
        <f aca="false">IF(E567,D567,"")</f>
        <v/>
      </c>
      <c r="G567" s="21" t="n">
        <f aca="false">IF(E567,D567^2,0)</f>
        <v>0</v>
      </c>
      <c r="H567" s="3"/>
    </row>
    <row r="568" customFormat="false" ht="15" hidden="false" customHeight="true" outlineLevel="0" collapsed="false">
      <c r="A568" s="16"/>
      <c r="B568" s="16"/>
      <c r="C568" s="15"/>
      <c r="D568" s="19"/>
      <c r="E568" s="20" t="b">
        <f aca="false">AND(A568&lt;&gt;"",C568&lt;&gt;"",D568&lt;&gt;"",C568&gt;='Read Me'!$B$5)</f>
        <v>0</v>
      </c>
      <c r="F568" s="23" t="str">
        <f aca="false">IF(E568,D568,"")</f>
        <v/>
      </c>
      <c r="G568" s="21" t="n">
        <f aca="false">IF(E568,D568^2,0)</f>
        <v>0</v>
      </c>
      <c r="H568" s="3"/>
    </row>
    <row r="569" customFormat="false" ht="15" hidden="false" customHeight="true" outlineLevel="0" collapsed="false">
      <c r="A569" s="16"/>
      <c r="B569" s="16"/>
      <c r="C569" s="15"/>
      <c r="D569" s="19"/>
      <c r="E569" s="20" t="b">
        <f aca="false">AND(A569&lt;&gt;"",C569&lt;&gt;"",D569&lt;&gt;"",C569&gt;='Read Me'!$B$5)</f>
        <v>0</v>
      </c>
      <c r="F569" s="23" t="str">
        <f aca="false">IF(E569,D569,"")</f>
        <v/>
      </c>
      <c r="G569" s="21" t="n">
        <f aca="false">IF(E569,D569^2,0)</f>
        <v>0</v>
      </c>
      <c r="H569" s="3"/>
    </row>
    <row r="570" customFormat="false" ht="15" hidden="false" customHeight="true" outlineLevel="0" collapsed="false">
      <c r="A570" s="16"/>
      <c r="B570" s="16"/>
      <c r="C570" s="15"/>
      <c r="D570" s="19"/>
      <c r="E570" s="20" t="b">
        <f aca="false">AND(A570&lt;&gt;"",C570&lt;&gt;"",D570&lt;&gt;"",C570&gt;='Read Me'!$B$5)</f>
        <v>0</v>
      </c>
      <c r="F570" s="23" t="str">
        <f aca="false">IF(E570,D570,"")</f>
        <v/>
      </c>
      <c r="G570" s="21" t="n">
        <f aca="false">IF(E570,D570^2,0)</f>
        <v>0</v>
      </c>
      <c r="H570" s="3"/>
    </row>
    <row r="571" customFormat="false" ht="15" hidden="false" customHeight="true" outlineLevel="0" collapsed="false">
      <c r="A571" s="16"/>
      <c r="B571" s="16"/>
      <c r="C571" s="15"/>
      <c r="D571" s="19"/>
      <c r="E571" s="20" t="b">
        <f aca="false">AND(A571&lt;&gt;"",C571&lt;&gt;"",D571&lt;&gt;"",C571&gt;='Read Me'!$B$5)</f>
        <v>0</v>
      </c>
      <c r="F571" s="23" t="str">
        <f aca="false">IF(E571,D571,"")</f>
        <v/>
      </c>
      <c r="G571" s="21" t="n">
        <f aca="false">IF(E571,D571^2,0)</f>
        <v>0</v>
      </c>
      <c r="H571" s="3"/>
    </row>
    <row r="572" customFormat="false" ht="15" hidden="false" customHeight="true" outlineLevel="0" collapsed="false">
      <c r="A572" s="16"/>
      <c r="B572" s="16"/>
      <c r="C572" s="15"/>
      <c r="D572" s="19"/>
      <c r="E572" s="20" t="b">
        <f aca="false">AND(A572&lt;&gt;"",C572&lt;&gt;"",D572&lt;&gt;"",C572&gt;='Read Me'!$B$5)</f>
        <v>0</v>
      </c>
      <c r="F572" s="23" t="str">
        <f aca="false">IF(E572,D572,"")</f>
        <v/>
      </c>
      <c r="G572" s="21" t="n">
        <f aca="false">IF(E572,D572^2,0)</f>
        <v>0</v>
      </c>
      <c r="H572" s="3"/>
    </row>
    <row r="573" customFormat="false" ht="15" hidden="false" customHeight="true" outlineLevel="0" collapsed="false">
      <c r="A573" s="16"/>
      <c r="B573" s="16"/>
      <c r="C573" s="15"/>
      <c r="D573" s="19"/>
      <c r="E573" s="20" t="b">
        <f aca="false">AND(A573&lt;&gt;"",C573&lt;&gt;"",D573&lt;&gt;"",C573&gt;='Read Me'!$B$5)</f>
        <v>0</v>
      </c>
      <c r="F573" s="23" t="str">
        <f aca="false">IF(E573,D573,"")</f>
        <v/>
      </c>
      <c r="G573" s="21" t="n">
        <f aca="false">IF(E573,D573^2,0)</f>
        <v>0</v>
      </c>
      <c r="H573" s="3"/>
    </row>
    <row r="574" customFormat="false" ht="15" hidden="false" customHeight="true" outlineLevel="0" collapsed="false">
      <c r="A574" s="16"/>
      <c r="B574" s="16"/>
      <c r="C574" s="15"/>
      <c r="D574" s="19"/>
      <c r="E574" s="20" t="b">
        <f aca="false">AND(A574&lt;&gt;"",C574&lt;&gt;"",D574&lt;&gt;"",C574&gt;='Read Me'!$B$5)</f>
        <v>0</v>
      </c>
      <c r="F574" s="23" t="str">
        <f aca="false">IF(E574,D574,"")</f>
        <v/>
      </c>
      <c r="G574" s="21" t="n">
        <f aca="false">IF(E574,D574^2,0)</f>
        <v>0</v>
      </c>
      <c r="H574" s="3"/>
    </row>
    <row r="575" customFormat="false" ht="15" hidden="false" customHeight="true" outlineLevel="0" collapsed="false">
      <c r="A575" s="16"/>
      <c r="B575" s="16"/>
      <c r="C575" s="15"/>
      <c r="D575" s="19"/>
      <c r="E575" s="20" t="b">
        <f aca="false">AND(A575&lt;&gt;"",C575&lt;&gt;"",D575&lt;&gt;"",C575&gt;='Read Me'!$B$5)</f>
        <v>0</v>
      </c>
      <c r="F575" s="23" t="str">
        <f aca="false">IF(E575,D575,"")</f>
        <v/>
      </c>
      <c r="G575" s="21" t="n">
        <f aca="false">IF(E575,D575^2,0)</f>
        <v>0</v>
      </c>
      <c r="H575" s="3"/>
    </row>
    <row r="576" customFormat="false" ht="15" hidden="false" customHeight="true" outlineLevel="0" collapsed="false">
      <c r="A576" s="16"/>
      <c r="B576" s="16"/>
      <c r="C576" s="15"/>
      <c r="D576" s="19"/>
      <c r="E576" s="20" t="b">
        <f aca="false">AND(A576&lt;&gt;"",C576&lt;&gt;"",D576&lt;&gt;"",C576&gt;='Read Me'!$B$5)</f>
        <v>0</v>
      </c>
      <c r="F576" s="23" t="str">
        <f aca="false">IF(E576,D576,"")</f>
        <v/>
      </c>
      <c r="G576" s="21" t="n">
        <f aca="false">IF(E576,D576^2,0)</f>
        <v>0</v>
      </c>
      <c r="H576" s="3"/>
    </row>
    <row r="577" customFormat="false" ht="15" hidden="false" customHeight="true" outlineLevel="0" collapsed="false">
      <c r="A577" s="16"/>
      <c r="B577" s="16"/>
      <c r="C577" s="15"/>
      <c r="D577" s="19"/>
      <c r="E577" s="20" t="b">
        <f aca="false">AND(A577&lt;&gt;"",C577&lt;&gt;"",D577&lt;&gt;"",C577&gt;='Read Me'!$B$5)</f>
        <v>0</v>
      </c>
      <c r="F577" s="23" t="str">
        <f aca="false">IF(E577,D577,"")</f>
        <v/>
      </c>
      <c r="G577" s="21" t="n">
        <f aca="false">IF(E577,D577^2,0)</f>
        <v>0</v>
      </c>
      <c r="H577" s="3"/>
    </row>
    <row r="578" customFormat="false" ht="15" hidden="false" customHeight="true" outlineLevel="0" collapsed="false">
      <c r="A578" s="16"/>
      <c r="B578" s="16"/>
      <c r="C578" s="15"/>
      <c r="D578" s="19"/>
      <c r="E578" s="20" t="b">
        <f aca="false">AND(A578&lt;&gt;"",C578&lt;&gt;"",D578&lt;&gt;"",C578&gt;='Read Me'!$B$5)</f>
        <v>0</v>
      </c>
      <c r="F578" s="23" t="str">
        <f aca="false">IF(E578,D578,"")</f>
        <v/>
      </c>
      <c r="G578" s="21" t="n">
        <f aca="false">IF(E578,D578^2,0)</f>
        <v>0</v>
      </c>
      <c r="H578" s="3"/>
    </row>
    <row r="579" customFormat="false" ht="15" hidden="false" customHeight="true" outlineLevel="0" collapsed="false">
      <c r="A579" s="16"/>
      <c r="B579" s="16"/>
      <c r="C579" s="15"/>
      <c r="D579" s="19"/>
      <c r="E579" s="20" t="b">
        <f aca="false">AND(A579&lt;&gt;"",C579&lt;&gt;"",D579&lt;&gt;"",C579&gt;='Read Me'!$B$5)</f>
        <v>0</v>
      </c>
      <c r="F579" s="23" t="str">
        <f aca="false">IF(E579,D579,"")</f>
        <v/>
      </c>
      <c r="G579" s="21" t="n">
        <f aca="false">IF(E579,D579^2,0)</f>
        <v>0</v>
      </c>
      <c r="H579" s="3"/>
    </row>
    <row r="580" customFormat="false" ht="15" hidden="false" customHeight="true" outlineLevel="0" collapsed="false">
      <c r="A580" s="16"/>
      <c r="B580" s="16"/>
      <c r="C580" s="15"/>
      <c r="D580" s="19"/>
      <c r="E580" s="20" t="b">
        <f aca="false">AND(A580&lt;&gt;"",C580&lt;&gt;"",D580&lt;&gt;"",C580&gt;='Read Me'!$B$5)</f>
        <v>0</v>
      </c>
      <c r="F580" s="23" t="str">
        <f aca="false">IF(E580,D580,"")</f>
        <v/>
      </c>
      <c r="G580" s="21" t="n">
        <f aca="false">IF(E580,D580^2,0)</f>
        <v>0</v>
      </c>
      <c r="H580" s="3"/>
    </row>
    <row r="581" customFormat="false" ht="15" hidden="false" customHeight="true" outlineLevel="0" collapsed="false">
      <c r="A581" s="16"/>
      <c r="B581" s="16"/>
      <c r="C581" s="15"/>
      <c r="D581" s="19"/>
      <c r="E581" s="20" t="b">
        <f aca="false">AND(A581&lt;&gt;"",C581&lt;&gt;"",D581&lt;&gt;"",C581&gt;='Read Me'!$B$5)</f>
        <v>0</v>
      </c>
      <c r="F581" s="23" t="str">
        <f aca="false">IF(E581,D581,"")</f>
        <v/>
      </c>
      <c r="G581" s="21" t="n">
        <f aca="false">IF(E581,D581^2,0)</f>
        <v>0</v>
      </c>
      <c r="H581" s="3"/>
    </row>
    <row r="582" customFormat="false" ht="15" hidden="false" customHeight="true" outlineLevel="0" collapsed="false">
      <c r="A582" s="16"/>
      <c r="B582" s="16"/>
      <c r="C582" s="15"/>
      <c r="D582" s="19"/>
      <c r="E582" s="20" t="b">
        <f aca="false">AND(A582&lt;&gt;"",C582&lt;&gt;"",D582&lt;&gt;"",C582&gt;='Read Me'!$B$5)</f>
        <v>0</v>
      </c>
      <c r="F582" s="23" t="str">
        <f aca="false">IF(E582,D582,"")</f>
        <v/>
      </c>
      <c r="G582" s="21" t="n">
        <f aca="false">IF(E582,D582^2,0)</f>
        <v>0</v>
      </c>
      <c r="H582" s="3"/>
    </row>
    <row r="583" customFormat="false" ht="15" hidden="false" customHeight="true" outlineLevel="0" collapsed="false">
      <c r="A583" s="16"/>
      <c r="B583" s="16"/>
      <c r="C583" s="15"/>
      <c r="D583" s="19"/>
      <c r="E583" s="20" t="b">
        <f aca="false">AND(A583&lt;&gt;"",C583&lt;&gt;"",D583&lt;&gt;"",C583&gt;='Read Me'!$B$5)</f>
        <v>0</v>
      </c>
      <c r="F583" s="23" t="str">
        <f aca="false">IF(E583,D583,"")</f>
        <v/>
      </c>
      <c r="G583" s="21" t="n">
        <f aca="false">IF(E583,D583^2,0)</f>
        <v>0</v>
      </c>
      <c r="H583" s="3"/>
    </row>
    <row r="584" customFormat="false" ht="15" hidden="false" customHeight="true" outlineLevel="0" collapsed="false">
      <c r="A584" s="16"/>
      <c r="B584" s="16"/>
      <c r="C584" s="15"/>
      <c r="D584" s="19"/>
      <c r="E584" s="20" t="b">
        <f aca="false">AND(A584&lt;&gt;"",C584&lt;&gt;"",D584&lt;&gt;"",C584&gt;='Read Me'!$B$5)</f>
        <v>0</v>
      </c>
      <c r="F584" s="23" t="str">
        <f aca="false">IF(E584,D584,"")</f>
        <v/>
      </c>
      <c r="G584" s="21" t="n">
        <f aca="false">IF(E584,D584^2,0)</f>
        <v>0</v>
      </c>
      <c r="H584" s="3"/>
    </row>
    <row r="585" customFormat="false" ht="15" hidden="false" customHeight="true" outlineLevel="0" collapsed="false">
      <c r="A585" s="16"/>
      <c r="B585" s="16"/>
      <c r="C585" s="15"/>
      <c r="D585" s="19"/>
      <c r="E585" s="20" t="b">
        <f aca="false">AND(A585&lt;&gt;"",C585&lt;&gt;"",D585&lt;&gt;"",C585&gt;='Read Me'!$B$5)</f>
        <v>0</v>
      </c>
      <c r="F585" s="23" t="str">
        <f aca="false">IF(E585,D585,"")</f>
        <v/>
      </c>
      <c r="G585" s="21" t="n">
        <f aca="false">IF(E585,D585^2,0)</f>
        <v>0</v>
      </c>
      <c r="H585" s="3"/>
    </row>
    <row r="586" customFormat="false" ht="15" hidden="false" customHeight="true" outlineLevel="0" collapsed="false">
      <c r="A586" s="16"/>
      <c r="B586" s="16"/>
      <c r="C586" s="15"/>
      <c r="D586" s="19"/>
      <c r="E586" s="20" t="b">
        <f aca="false">AND(A586&lt;&gt;"",C586&lt;&gt;"",D586&lt;&gt;"",C586&gt;='Read Me'!$B$5)</f>
        <v>0</v>
      </c>
      <c r="F586" s="23" t="str">
        <f aca="false">IF(E586,D586,"")</f>
        <v/>
      </c>
      <c r="G586" s="21" t="n">
        <f aca="false">IF(E586,D586^2,0)</f>
        <v>0</v>
      </c>
      <c r="H586" s="3"/>
    </row>
    <row r="587" customFormat="false" ht="15" hidden="false" customHeight="true" outlineLevel="0" collapsed="false">
      <c r="A587" s="16"/>
      <c r="B587" s="16"/>
      <c r="C587" s="15"/>
      <c r="D587" s="19"/>
      <c r="E587" s="20" t="b">
        <f aca="false">AND(A587&lt;&gt;"",C587&lt;&gt;"",D587&lt;&gt;"",C587&gt;='Read Me'!$B$5)</f>
        <v>0</v>
      </c>
      <c r="F587" s="23" t="str">
        <f aca="false">IF(E587,D587,"")</f>
        <v/>
      </c>
      <c r="G587" s="21" t="n">
        <f aca="false">IF(E587,D587^2,0)</f>
        <v>0</v>
      </c>
      <c r="H587" s="3"/>
    </row>
    <row r="588" customFormat="false" ht="15" hidden="false" customHeight="true" outlineLevel="0" collapsed="false">
      <c r="A588" s="16"/>
      <c r="B588" s="16"/>
      <c r="C588" s="15"/>
      <c r="D588" s="19"/>
      <c r="E588" s="20" t="b">
        <f aca="false">AND(A588&lt;&gt;"",C588&lt;&gt;"",D588&lt;&gt;"",C588&gt;='Read Me'!$B$5)</f>
        <v>0</v>
      </c>
      <c r="F588" s="23" t="str">
        <f aca="false">IF(E588,D588,"")</f>
        <v/>
      </c>
      <c r="G588" s="21" t="n">
        <f aca="false">IF(E588,D588^2,0)</f>
        <v>0</v>
      </c>
      <c r="H588" s="3"/>
    </row>
    <row r="589" customFormat="false" ht="15" hidden="false" customHeight="true" outlineLevel="0" collapsed="false">
      <c r="A589" s="16"/>
      <c r="B589" s="16"/>
      <c r="C589" s="15"/>
      <c r="D589" s="19"/>
      <c r="E589" s="20" t="b">
        <f aca="false">AND(A589&lt;&gt;"",C589&lt;&gt;"",D589&lt;&gt;"",C589&gt;='Read Me'!$B$5)</f>
        <v>0</v>
      </c>
      <c r="F589" s="23" t="str">
        <f aca="false">IF(E589,D589,"")</f>
        <v/>
      </c>
      <c r="G589" s="21" t="n">
        <f aca="false">IF(E589,D589^2,0)</f>
        <v>0</v>
      </c>
      <c r="H589" s="3"/>
    </row>
    <row r="590" customFormat="false" ht="15" hidden="false" customHeight="true" outlineLevel="0" collapsed="false">
      <c r="A590" s="16"/>
      <c r="B590" s="16"/>
      <c r="C590" s="15"/>
      <c r="D590" s="19"/>
      <c r="E590" s="20" t="b">
        <f aca="false">AND(A590&lt;&gt;"",C590&lt;&gt;"",D590&lt;&gt;"",C590&gt;='Read Me'!$B$5)</f>
        <v>0</v>
      </c>
      <c r="F590" s="23" t="str">
        <f aca="false">IF(E590,D590,"")</f>
        <v/>
      </c>
      <c r="G590" s="21" t="n">
        <f aca="false">IF(E590,D590^2,0)</f>
        <v>0</v>
      </c>
      <c r="H590" s="3"/>
    </row>
    <row r="591" customFormat="false" ht="15" hidden="false" customHeight="true" outlineLevel="0" collapsed="false">
      <c r="A591" s="16"/>
      <c r="B591" s="16"/>
      <c r="C591" s="15"/>
      <c r="D591" s="19"/>
      <c r="E591" s="20" t="b">
        <f aca="false">AND(A591&lt;&gt;"",C591&lt;&gt;"",D591&lt;&gt;"",C591&gt;='Read Me'!$B$5)</f>
        <v>0</v>
      </c>
      <c r="F591" s="23" t="str">
        <f aca="false">IF(E591,D591,"")</f>
        <v/>
      </c>
      <c r="G591" s="21" t="n">
        <f aca="false">IF(E591,D591^2,0)</f>
        <v>0</v>
      </c>
      <c r="H591" s="3"/>
    </row>
    <row r="592" customFormat="false" ht="15" hidden="false" customHeight="true" outlineLevel="0" collapsed="false">
      <c r="A592" s="16"/>
      <c r="B592" s="16"/>
      <c r="C592" s="15"/>
      <c r="D592" s="19"/>
      <c r="E592" s="20" t="b">
        <f aca="false">AND(A592&lt;&gt;"",C592&lt;&gt;"",D592&lt;&gt;"",C592&gt;='Read Me'!$B$5)</f>
        <v>0</v>
      </c>
      <c r="F592" s="23" t="str">
        <f aca="false">IF(E592,D592,"")</f>
        <v/>
      </c>
      <c r="G592" s="21" t="n">
        <f aca="false">IF(E592,D592^2,0)</f>
        <v>0</v>
      </c>
      <c r="H592" s="3"/>
    </row>
    <row r="593" customFormat="false" ht="15" hidden="false" customHeight="true" outlineLevel="0" collapsed="false">
      <c r="A593" s="16"/>
      <c r="B593" s="16"/>
      <c r="C593" s="15"/>
      <c r="D593" s="19"/>
      <c r="E593" s="20" t="b">
        <f aca="false">AND(A593&lt;&gt;"",C593&lt;&gt;"",D593&lt;&gt;"",C593&gt;='Read Me'!$B$5)</f>
        <v>0</v>
      </c>
      <c r="F593" s="23" t="str">
        <f aca="false">IF(E593,D593,"")</f>
        <v/>
      </c>
      <c r="G593" s="21" t="n">
        <f aca="false">IF(E593,D593^2,0)</f>
        <v>0</v>
      </c>
      <c r="H593" s="3"/>
    </row>
    <row r="594" customFormat="false" ht="15" hidden="false" customHeight="true" outlineLevel="0" collapsed="false">
      <c r="A594" s="16"/>
      <c r="B594" s="16"/>
      <c r="C594" s="15"/>
      <c r="D594" s="19"/>
      <c r="E594" s="20" t="b">
        <f aca="false">AND(A594&lt;&gt;"",C594&lt;&gt;"",D594&lt;&gt;"",C594&gt;='Read Me'!$B$5)</f>
        <v>0</v>
      </c>
      <c r="F594" s="23" t="str">
        <f aca="false">IF(E594,D594,"")</f>
        <v/>
      </c>
      <c r="G594" s="21" t="n">
        <f aca="false">IF(E594,D594^2,0)</f>
        <v>0</v>
      </c>
      <c r="H594" s="3"/>
    </row>
    <row r="595" customFormat="false" ht="15" hidden="false" customHeight="true" outlineLevel="0" collapsed="false">
      <c r="A595" s="16"/>
      <c r="B595" s="16"/>
      <c r="C595" s="15"/>
      <c r="D595" s="19"/>
      <c r="E595" s="20" t="b">
        <f aca="false">AND(A595&lt;&gt;"",C595&lt;&gt;"",D595&lt;&gt;"",C595&gt;='Read Me'!$B$5)</f>
        <v>0</v>
      </c>
      <c r="F595" s="23" t="str">
        <f aca="false">IF(E595,D595,"")</f>
        <v/>
      </c>
      <c r="G595" s="21" t="n">
        <f aca="false">IF(E595,D595^2,0)</f>
        <v>0</v>
      </c>
      <c r="H595" s="3"/>
    </row>
    <row r="596" customFormat="false" ht="15" hidden="false" customHeight="true" outlineLevel="0" collapsed="false">
      <c r="A596" s="16"/>
      <c r="B596" s="16"/>
      <c r="C596" s="15"/>
      <c r="D596" s="19"/>
      <c r="E596" s="20" t="b">
        <f aca="false">AND(A596&lt;&gt;"",C596&lt;&gt;"",D596&lt;&gt;"",C596&gt;='Read Me'!$B$5)</f>
        <v>0</v>
      </c>
      <c r="F596" s="23" t="str">
        <f aca="false">IF(E596,D596,"")</f>
        <v/>
      </c>
      <c r="G596" s="21" t="n">
        <f aca="false">IF(E596,D596^2,0)</f>
        <v>0</v>
      </c>
      <c r="H596" s="3"/>
    </row>
    <row r="597" customFormat="false" ht="15" hidden="false" customHeight="true" outlineLevel="0" collapsed="false">
      <c r="A597" s="16"/>
      <c r="B597" s="16"/>
      <c r="C597" s="15"/>
      <c r="D597" s="19"/>
      <c r="E597" s="20" t="b">
        <f aca="false">AND(A597&lt;&gt;"",C597&lt;&gt;"",D597&lt;&gt;"",C597&gt;='Read Me'!$B$5)</f>
        <v>0</v>
      </c>
      <c r="F597" s="23" t="str">
        <f aca="false">IF(E597,D597,"")</f>
        <v/>
      </c>
      <c r="G597" s="21" t="n">
        <f aca="false">IF(E597,D597^2,0)</f>
        <v>0</v>
      </c>
      <c r="H597" s="3"/>
    </row>
    <row r="598" customFormat="false" ht="15" hidden="false" customHeight="true" outlineLevel="0" collapsed="false">
      <c r="A598" s="16"/>
      <c r="B598" s="16"/>
      <c r="C598" s="15"/>
      <c r="D598" s="19"/>
      <c r="E598" s="20" t="b">
        <f aca="false">AND(A598&lt;&gt;"",C598&lt;&gt;"",D598&lt;&gt;"",C598&gt;='Read Me'!$B$5)</f>
        <v>0</v>
      </c>
      <c r="F598" s="23" t="str">
        <f aca="false">IF(E598,D598,"")</f>
        <v/>
      </c>
      <c r="G598" s="21" t="n">
        <f aca="false">IF(E598,D598^2,0)</f>
        <v>0</v>
      </c>
      <c r="H598" s="3"/>
    </row>
    <row r="599" customFormat="false" ht="15" hidden="false" customHeight="true" outlineLevel="0" collapsed="false">
      <c r="A599" s="16"/>
      <c r="B599" s="16"/>
      <c r="C599" s="15"/>
      <c r="D599" s="19"/>
      <c r="E599" s="20" t="b">
        <f aca="false">AND(A599&lt;&gt;"",C599&lt;&gt;"",D599&lt;&gt;"",C599&gt;='Read Me'!$B$5)</f>
        <v>0</v>
      </c>
      <c r="F599" s="23" t="str">
        <f aca="false">IF(E599,D599,"")</f>
        <v/>
      </c>
      <c r="G599" s="21" t="n">
        <f aca="false">IF(E599,D599^2,0)</f>
        <v>0</v>
      </c>
      <c r="H599" s="3"/>
    </row>
    <row r="600" customFormat="false" ht="15" hidden="false" customHeight="true" outlineLevel="0" collapsed="false">
      <c r="A600" s="16"/>
      <c r="B600" s="16"/>
      <c r="C600" s="15"/>
      <c r="D600" s="19"/>
      <c r="E600" s="20" t="b">
        <f aca="false">AND(A600&lt;&gt;"",C600&lt;&gt;"",D600&lt;&gt;"",C600&gt;='Read Me'!$B$5)</f>
        <v>0</v>
      </c>
      <c r="F600" s="23" t="str">
        <f aca="false">IF(E600,D600,"")</f>
        <v/>
      </c>
      <c r="G600" s="21" t="n">
        <f aca="false">IF(E600,D600^2,0)</f>
        <v>0</v>
      </c>
      <c r="H600" s="3"/>
    </row>
    <row r="601" customFormat="false" ht="15" hidden="false" customHeight="true" outlineLevel="0" collapsed="false">
      <c r="A601" s="16"/>
      <c r="B601" s="16"/>
      <c r="C601" s="15"/>
      <c r="D601" s="19"/>
      <c r="E601" s="20" t="b">
        <f aca="false">AND(A601&lt;&gt;"",C601&lt;&gt;"",D601&lt;&gt;"",C601&gt;='Read Me'!$B$5)</f>
        <v>0</v>
      </c>
      <c r="F601" s="23" t="str">
        <f aca="false">IF(E601,D601,"")</f>
        <v/>
      </c>
      <c r="G601" s="21" t="n">
        <f aca="false">IF(E601,D601^2,0)</f>
        <v>0</v>
      </c>
      <c r="H601" s="3"/>
    </row>
    <row r="602" customFormat="false" ht="15" hidden="false" customHeight="true" outlineLevel="0" collapsed="false">
      <c r="A602" s="16"/>
      <c r="B602" s="16"/>
      <c r="C602" s="15"/>
      <c r="D602" s="19"/>
      <c r="E602" s="20" t="b">
        <f aca="false">AND(A602&lt;&gt;"",C602&lt;&gt;"",D602&lt;&gt;"",C602&gt;='Read Me'!$B$5)</f>
        <v>0</v>
      </c>
      <c r="F602" s="23" t="str">
        <f aca="false">IF(E602,D602,"")</f>
        <v/>
      </c>
      <c r="G602" s="21" t="n">
        <f aca="false">IF(E602,D602^2,0)</f>
        <v>0</v>
      </c>
      <c r="H602" s="3"/>
    </row>
    <row r="603" customFormat="false" ht="15" hidden="false" customHeight="true" outlineLevel="0" collapsed="false">
      <c r="A603" s="16"/>
      <c r="B603" s="16"/>
      <c r="C603" s="15"/>
      <c r="D603" s="19"/>
      <c r="E603" s="20" t="b">
        <f aca="false">AND(A603&lt;&gt;"",C603&lt;&gt;"",D603&lt;&gt;"",C603&gt;='Read Me'!$B$5)</f>
        <v>0</v>
      </c>
      <c r="F603" s="23" t="str">
        <f aca="false">IF(E603,D603,"")</f>
        <v/>
      </c>
      <c r="G603" s="21" t="n">
        <f aca="false">IF(E603,D603^2,0)</f>
        <v>0</v>
      </c>
      <c r="H603" s="3"/>
    </row>
    <row r="604" customFormat="false" ht="15" hidden="false" customHeight="true" outlineLevel="0" collapsed="false">
      <c r="A604" s="16"/>
      <c r="B604" s="16"/>
      <c r="C604" s="15"/>
      <c r="D604" s="19"/>
      <c r="E604" s="20" t="b">
        <f aca="false">AND(A604&lt;&gt;"",C604&lt;&gt;"",D604&lt;&gt;"",C604&gt;='Read Me'!$B$5)</f>
        <v>0</v>
      </c>
      <c r="F604" s="23" t="str">
        <f aca="false">IF(E604,D604,"")</f>
        <v/>
      </c>
      <c r="G604" s="21" t="n">
        <f aca="false">IF(E604,D604^2,0)</f>
        <v>0</v>
      </c>
      <c r="H604" s="3"/>
    </row>
    <row r="605" customFormat="false" ht="15" hidden="false" customHeight="true" outlineLevel="0" collapsed="false">
      <c r="A605" s="16"/>
      <c r="B605" s="16"/>
      <c r="C605" s="15"/>
      <c r="D605" s="19"/>
      <c r="E605" s="20" t="b">
        <f aca="false">AND(A605&lt;&gt;"",C605&lt;&gt;"",D605&lt;&gt;"",C605&gt;='Read Me'!$B$5)</f>
        <v>0</v>
      </c>
      <c r="F605" s="23" t="str">
        <f aca="false">IF(E605,D605,"")</f>
        <v/>
      </c>
      <c r="G605" s="21" t="n">
        <f aca="false">IF(E605,D605^2,0)</f>
        <v>0</v>
      </c>
      <c r="H605" s="3"/>
    </row>
    <row r="606" customFormat="false" ht="15" hidden="false" customHeight="true" outlineLevel="0" collapsed="false">
      <c r="A606" s="16"/>
      <c r="B606" s="16"/>
      <c r="C606" s="15"/>
      <c r="D606" s="19"/>
      <c r="E606" s="20" t="b">
        <f aca="false">AND(A606&lt;&gt;"",C606&lt;&gt;"",D606&lt;&gt;"",C606&gt;='Read Me'!$B$5)</f>
        <v>0</v>
      </c>
      <c r="F606" s="23" t="str">
        <f aca="false">IF(E606,D606,"")</f>
        <v/>
      </c>
      <c r="G606" s="21" t="n">
        <f aca="false">IF(E606,D606^2,0)</f>
        <v>0</v>
      </c>
      <c r="H606" s="3"/>
    </row>
    <row r="607" customFormat="false" ht="15" hidden="false" customHeight="true" outlineLevel="0" collapsed="false">
      <c r="A607" s="16"/>
      <c r="B607" s="16"/>
      <c r="C607" s="15"/>
      <c r="D607" s="19"/>
      <c r="E607" s="20" t="b">
        <f aca="false">AND(A607&lt;&gt;"",C607&lt;&gt;"",D607&lt;&gt;"",C607&gt;='Read Me'!$B$5)</f>
        <v>0</v>
      </c>
      <c r="F607" s="23" t="str">
        <f aca="false">IF(E607,D607,"")</f>
        <v/>
      </c>
      <c r="G607" s="21" t="n">
        <f aca="false">IF(E607,D607^2,0)</f>
        <v>0</v>
      </c>
      <c r="H607" s="3"/>
    </row>
    <row r="608" customFormat="false" ht="15" hidden="false" customHeight="true" outlineLevel="0" collapsed="false">
      <c r="A608" s="16"/>
      <c r="B608" s="16"/>
      <c r="C608" s="15"/>
      <c r="D608" s="19"/>
      <c r="E608" s="20" t="b">
        <f aca="false">AND(A608&lt;&gt;"",C608&lt;&gt;"",D608&lt;&gt;"",C608&gt;='Read Me'!$B$5)</f>
        <v>0</v>
      </c>
      <c r="F608" s="23" t="str">
        <f aca="false">IF(E608,D608,"")</f>
        <v/>
      </c>
      <c r="G608" s="21" t="n">
        <f aca="false">IF(E608,D608^2,0)</f>
        <v>0</v>
      </c>
      <c r="H608" s="3"/>
    </row>
    <row r="609" customFormat="false" ht="15" hidden="false" customHeight="true" outlineLevel="0" collapsed="false">
      <c r="A609" s="16"/>
      <c r="B609" s="16"/>
      <c r="C609" s="15"/>
      <c r="D609" s="19"/>
      <c r="E609" s="20" t="b">
        <f aca="false">AND(A609&lt;&gt;"",C609&lt;&gt;"",D609&lt;&gt;"",C609&gt;='Read Me'!$B$5)</f>
        <v>0</v>
      </c>
      <c r="F609" s="23" t="str">
        <f aca="false">IF(E609,D609,"")</f>
        <v/>
      </c>
      <c r="G609" s="21" t="n">
        <f aca="false">IF(E609,D609^2,0)</f>
        <v>0</v>
      </c>
      <c r="H609" s="3"/>
    </row>
    <row r="610" customFormat="false" ht="15" hidden="false" customHeight="true" outlineLevel="0" collapsed="false">
      <c r="A610" s="16"/>
      <c r="B610" s="16"/>
      <c r="C610" s="15"/>
      <c r="D610" s="19"/>
      <c r="E610" s="20" t="b">
        <f aca="false">AND(A610&lt;&gt;"",C610&lt;&gt;"",D610&lt;&gt;"",C610&gt;='Read Me'!$B$5)</f>
        <v>0</v>
      </c>
      <c r="F610" s="23" t="str">
        <f aca="false">IF(E610,D610,"")</f>
        <v/>
      </c>
      <c r="G610" s="21" t="n">
        <f aca="false">IF(E610,D610^2,0)</f>
        <v>0</v>
      </c>
      <c r="H610" s="3"/>
    </row>
    <row r="611" customFormat="false" ht="15" hidden="false" customHeight="true" outlineLevel="0" collapsed="false">
      <c r="A611" s="16"/>
      <c r="B611" s="16"/>
      <c r="C611" s="15"/>
      <c r="D611" s="19"/>
      <c r="E611" s="20" t="b">
        <f aca="false">AND(A611&lt;&gt;"",C611&lt;&gt;"",D611&lt;&gt;"",C611&gt;='Read Me'!$B$5)</f>
        <v>0</v>
      </c>
      <c r="F611" s="23" t="str">
        <f aca="false">IF(E611,D611,"")</f>
        <v/>
      </c>
      <c r="G611" s="21" t="n">
        <f aca="false">IF(E611,D611^2,0)</f>
        <v>0</v>
      </c>
      <c r="H611" s="3"/>
    </row>
    <row r="612" customFormat="false" ht="15" hidden="false" customHeight="true" outlineLevel="0" collapsed="false">
      <c r="A612" s="16"/>
      <c r="B612" s="16"/>
      <c r="C612" s="15"/>
      <c r="D612" s="19"/>
      <c r="E612" s="20" t="b">
        <f aca="false">AND(A612&lt;&gt;"",C612&lt;&gt;"",D612&lt;&gt;"",C612&gt;='Read Me'!$B$5)</f>
        <v>0</v>
      </c>
      <c r="F612" s="23" t="str">
        <f aca="false">IF(E612,D612,"")</f>
        <v/>
      </c>
      <c r="G612" s="21" t="n">
        <f aca="false">IF(E612,D612^2,0)</f>
        <v>0</v>
      </c>
      <c r="H612" s="3"/>
    </row>
    <row r="613" customFormat="false" ht="15" hidden="false" customHeight="true" outlineLevel="0" collapsed="false">
      <c r="A613" s="16"/>
      <c r="B613" s="16"/>
      <c r="C613" s="15"/>
      <c r="D613" s="19"/>
      <c r="E613" s="20" t="b">
        <f aca="false">AND(A613&lt;&gt;"",C613&lt;&gt;"",D613&lt;&gt;"",C613&gt;='Read Me'!$B$5)</f>
        <v>0</v>
      </c>
      <c r="F613" s="23" t="str">
        <f aca="false">IF(E613,D613,"")</f>
        <v/>
      </c>
      <c r="G613" s="21" t="n">
        <f aca="false">IF(E613,D613^2,0)</f>
        <v>0</v>
      </c>
      <c r="H613" s="3"/>
    </row>
    <row r="614" customFormat="false" ht="15" hidden="false" customHeight="true" outlineLevel="0" collapsed="false">
      <c r="A614" s="16"/>
      <c r="B614" s="16"/>
      <c r="C614" s="15"/>
      <c r="D614" s="19"/>
      <c r="E614" s="20" t="b">
        <f aca="false">AND(A614&lt;&gt;"",C614&lt;&gt;"",D614&lt;&gt;"",C614&gt;='Read Me'!$B$5)</f>
        <v>0</v>
      </c>
      <c r="F614" s="23" t="str">
        <f aca="false">IF(E614,D614,"")</f>
        <v/>
      </c>
      <c r="G614" s="21" t="n">
        <f aca="false">IF(E614,D614^2,0)</f>
        <v>0</v>
      </c>
      <c r="H614" s="3"/>
    </row>
    <row r="615" customFormat="false" ht="15" hidden="false" customHeight="true" outlineLevel="0" collapsed="false">
      <c r="A615" s="16"/>
      <c r="B615" s="16"/>
      <c r="C615" s="15"/>
      <c r="D615" s="19"/>
      <c r="E615" s="20" t="b">
        <f aca="false">AND(A615&lt;&gt;"",C615&lt;&gt;"",D615&lt;&gt;"",C615&gt;='Read Me'!$B$5)</f>
        <v>0</v>
      </c>
      <c r="F615" s="23" t="str">
        <f aca="false">IF(E615,D615,"")</f>
        <v/>
      </c>
      <c r="G615" s="21" t="n">
        <f aca="false">IF(E615,D615^2,0)</f>
        <v>0</v>
      </c>
      <c r="H615" s="3"/>
    </row>
    <row r="616" customFormat="false" ht="15" hidden="false" customHeight="true" outlineLevel="0" collapsed="false">
      <c r="A616" s="16"/>
      <c r="B616" s="16"/>
      <c r="C616" s="15"/>
      <c r="D616" s="19"/>
      <c r="E616" s="20" t="b">
        <f aca="false">AND(A616&lt;&gt;"",C616&lt;&gt;"",D616&lt;&gt;"",C616&gt;='Read Me'!$B$5)</f>
        <v>0</v>
      </c>
      <c r="F616" s="23" t="str">
        <f aca="false">IF(E616,D616,"")</f>
        <v/>
      </c>
      <c r="G616" s="21" t="n">
        <f aca="false">IF(E616,D616^2,0)</f>
        <v>0</v>
      </c>
      <c r="H616" s="3"/>
    </row>
    <row r="617" customFormat="false" ht="15" hidden="false" customHeight="true" outlineLevel="0" collapsed="false">
      <c r="A617" s="16"/>
      <c r="B617" s="16"/>
      <c r="C617" s="15"/>
      <c r="D617" s="19"/>
      <c r="E617" s="20" t="b">
        <f aca="false">AND(A617&lt;&gt;"",C617&lt;&gt;"",D617&lt;&gt;"",C617&gt;='Read Me'!$B$5)</f>
        <v>0</v>
      </c>
      <c r="F617" s="23" t="str">
        <f aca="false">IF(E617,D617,"")</f>
        <v/>
      </c>
      <c r="G617" s="21" t="n">
        <f aca="false">IF(E617,D617^2,0)</f>
        <v>0</v>
      </c>
      <c r="H617" s="3"/>
    </row>
    <row r="618" customFormat="false" ht="15" hidden="false" customHeight="true" outlineLevel="0" collapsed="false">
      <c r="A618" s="16"/>
      <c r="B618" s="16"/>
      <c r="C618" s="15"/>
      <c r="D618" s="19"/>
      <c r="E618" s="20" t="b">
        <f aca="false">AND(A618&lt;&gt;"",C618&lt;&gt;"",D618&lt;&gt;"",C618&gt;='Read Me'!$B$5)</f>
        <v>0</v>
      </c>
      <c r="F618" s="23" t="str">
        <f aca="false">IF(E618,D618,"")</f>
        <v/>
      </c>
      <c r="G618" s="21" t="n">
        <f aca="false">IF(E618,D618^2,0)</f>
        <v>0</v>
      </c>
      <c r="H618" s="3"/>
    </row>
    <row r="619" customFormat="false" ht="15" hidden="false" customHeight="true" outlineLevel="0" collapsed="false">
      <c r="A619" s="16"/>
      <c r="B619" s="16"/>
      <c r="C619" s="15"/>
      <c r="D619" s="19"/>
      <c r="E619" s="20" t="b">
        <f aca="false">AND(A619&lt;&gt;"",C619&lt;&gt;"",D619&lt;&gt;"",C619&gt;='Read Me'!$B$5)</f>
        <v>0</v>
      </c>
      <c r="F619" s="23" t="str">
        <f aca="false">IF(E619,D619,"")</f>
        <v/>
      </c>
      <c r="G619" s="21" t="n">
        <f aca="false">IF(E619,D619^2,0)</f>
        <v>0</v>
      </c>
      <c r="H619" s="3"/>
    </row>
    <row r="620" customFormat="false" ht="15" hidden="false" customHeight="true" outlineLevel="0" collapsed="false">
      <c r="A620" s="16"/>
      <c r="B620" s="16"/>
      <c r="C620" s="15"/>
      <c r="D620" s="19"/>
      <c r="E620" s="20" t="b">
        <f aca="false">AND(A620&lt;&gt;"",C620&lt;&gt;"",D620&lt;&gt;"",C620&gt;='Read Me'!$B$5)</f>
        <v>0</v>
      </c>
      <c r="F620" s="23" t="str">
        <f aca="false">IF(E620,D620,"")</f>
        <v/>
      </c>
      <c r="G620" s="21" t="n">
        <f aca="false">IF(E620,D620^2,0)</f>
        <v>0</v>
      </c>
      <c r="H620" s="3"/>
    </row>
    <row r="621" customFormat="false" ht="15" hidden="false" customHeight="true" outlineLevel="0" collapsed="false">
      <c r="A621" s="16"/>
      <c r="B621" s="16"/>
      <c r="C621" s="15"/>
      <c r="D621" s="19"/>
      <c r="E621" s="20" t="b">
        <f aca="false">AND(A621&lt;&gt;"",C621&lt;&gt;"",D621&lt;&gt;"",C621&gt;='Read Me'!$B$5)</f>
        <v>0</v>
      </c>
      <c r="F621" s="23" t="str">
        <f aca="false">IF(E621,D621,"")</f>
        <v/>
      </c>
      <c r="G621" s="21" t="n">
        <f aca="false">IF(E621,D621^2,0)</f>
        <v>0</v>
      </c>
      <c r="H621" s="3"/>
    </row>
    <row r="622" customFormat="false" ht="15" hidden="false" customHeight="true" outlineLevel="0" collapsed="false">
      <c r="A622" s="16"/>
      <c r="B622" s="16"/>
      <c r="C622" s="15"/>
      <c r="D622" s="19"/>
      <c r="E622" s="20" t="b">
        <f aca="false">AND(A622&lt;&gt;"",C622&lt;&gt;"",D622&lt;&gt;"",C622&gt;='Read Me'!$B$5)</f>
        <v>0</v>
      </c>
      <c r="F622" s="23" t="str">
        <f aca="false">IF(E622,D622,"")</f>
        <v/>
      </c>
      <c r="G622" s="21" t="n">
        <f aca="false">IF(E622,D622^2,0)</f>
        <v>0</v>
      </c>
      <c r="H622" s="3"/>
    </row>
    <row r="623" customFormat="false" ht="15" hidden="false" customHeight="true" outlineLevel="0" collapsed="false">
      <c r="A623" s="16"/>
      <c r="B623" s="16"/>
      <c r="C623" s="15"/>
      <c r="D623" s="19"/>
      <c r="E623" s="20" t="b">
        <f aca="false">AND(A623&lt;&gt;"",C623&lt;&gt;"",D623&lt;&gt;"",C623&gt;='Read Me'!$B$5)</f>
        <v>0</v>
      </c>
      <c r="F623" s="23" t="str">
        <f aca="false">IF(E623,D623,"")</f>
        <v/>
      </c>
      <c r="G623" s="21" t="n">
        <f aca="false">IF(E623,D623^2,0)</f>
        <v>0</v>
      </c>
      <c r="H623" s="3"/>
    </row>
    <row r="624" customFormat="false" ht="15" hidden="false" customHeight="true" outlineLevel="0" collapsed="false">
      <c r="A624" s="16"/>
      <c r="B624" s="16"/>
      <c r="C624" s="15"/>
      <c r="D624" s="19"/>
      <c r="E624" s="20" t="b">
        <f aca="false">AND(A624&lt;&gt;"",C624&lt;&gt;"",D624&lt;&gt;"",C624&gt;='Read Me'!$B$5)</f>
        <v>0</v>
      </c>
      <c r="F624" s="23" t="str">
        <f aca="false">IF(E624,D624,"")</f>
        <v/>
      </c>
      <c r="G624" s="21" t="n">
        <f aca="false">IF(E624,D624^2,0)</f>
        <v>0</v>
      </c>
      <c r="H624" s="3"/>
    </row>
    <row r="625" customFormat="false" ht="15" hidden="false" customHeight="true" outlineLevel="0" collapsed="false">
      <c r="A625" s="16"/>
      <c r="B625" s="16"/>
      <c r="C625" s="15"/>
      <c r="D625" s="19"/>
      <c r="E625" s="20" t="b">
        <f aca="false">AND(A625&lt;&gt;"",C625&lt;&gt;"",D625&lt;&gt;"",C625&gt;='Read Me'!$B$5)</f>
        <v>0</v>
      </c>
      <c r="F625" s="23" t="str">
        <f aca="false">IF(E625,D625,"")</f>
        <v/>
      </c>
      <c r="G625" s="21" t="n">
        <f aca="false">IF(E625,D625^2,0)</f>
        <v>0</v>
      </c>
      <c r="H625" s="3"/>
    </row>
    <row r="626" customFormat="false" ht="15" hidden="false" customHeight="true" outlineLevel="0" collapsed="false">
      <c r="A626" s="16"/>
      <c r="B626" s="16"/>
      <c r="C626" s="15"/>
      <c r="D626" s="19"/>
      <c r="E626" s="20" t="b">
        <f aca="false">AND(A626&lt;&gt;"",C626&lt;&gt;"",D626&lt;&gt;"",C626&gt;='Read Me'!$B$5)</f>
        <v>0</v>
      </c>
      <c r="F626" s="23" t="str">
        <f aca="false">IF(E626,D626,"")</f>
        <v/>
      </c>
      <c r="G626" s="21" t="n">
        <f aca="false">IF(E626,D626^2,0)</f>
        <v>0</v>
      </c>
      <c r="H626" s="3"/>
    </row>
    <row r="627" customFormat="false" ht="15" hidden="false" customHeight="true" outlineLevel="0" collapsed="false">
      <c r="A627" s="16"/>
      <c r="B627" s="16"/>
      <c r="C627" s="15"/>
      <c r="D627" s="19"/>
      <c r="E627" s="20" t="b">
        <f aca="false">AND(A627&lt;&gt;"",C627&lt;&gt;"",D627&lt;&gt;"",C627&gt;='Read Me'!$B$5)</f>
        <v>0</v>
      </c>
      <c r="F627" s="23" t="str">
        <f aca="false">IF(E627,D627,"")</f>
        <v/>
      </c>
      <c r="G627" s="21" t="n">
        <f aca="false">IF(E627,D627^2,0)</f>
        <v>0</v>
      </c>
      <c r="H627" s="3"/>
    </row>
    <row r="628" customFormat="false" ht="15" hidden="false" customHeight="true" outlineLevel="0" collapsed="false">
      <c r="A628" s="16"/>
      <c r="B628" s="16"/>
      <c r="C628" s="15"/>
      <c r="D628" s="19"/>
      <c r="E628" s="20" t="b">
        <f aca="false">AND(A628&lt;&gt;"",C628&lt;&gt;"",D628&lt;&gt;"",C628&gt;='Read Me'!$B$5)</f>
        <v>0</v>
      </c>
      <c r="F628" s="23" t="str">
        <f aca="false">IF(E628,D628,"")</f>
        <v/>
      </c>
      <c r="G628" s="21" t="n">
        <f aca="false">IF(E628,D628^2,0)</f>
        <v>0</v>
      </c>
      <c r="H628" s="3"/>
    </row>
    <row r="629" customFormat="false" ht="15" hidden="false" customHeight="true" outlineLevel="0" collapsed="false">
      <c r="A629" s="16"/>
      <c r="B629" s="16"/>
      <c r="C629" s="15"/>
      <c r="D629" s="19"/>
      <c r="E629" s="20" t="b">
        <f aca="false">AND(A629&lt;&gt;"",C629&lt;&gt;"",D629&lt;&gt;"",C629&gt;='Read Me'!$B$5)</f>
        <v>0</v>
      </c>
      <c r="F629" s="23" t="str">
        <f aca="false">IF(E629,D629,"")</f>
        <v/>
      </c>
      <c r="G629" s="21" t="n">
        <f aca="false">IF(E629,D629^2,0)</f>
        <v>0</v>
      </c>
      <c r="H629" s="3"/>
    </row>
    <row r="630" customFormat="false" ht="15" hidden="false" customHeight="true" outlineLevel="0" collapsed="false">
      <c r="A630" s="16"/>
      <c r="B630" s="16"/>
      <c r="C630" s="15"/>
      <c r="D630" s="19"/>
      <c r="E630" s="20" t="b">
        <f aca="false">AND(A630&lt;&gt;"",C630&lt;&gt;"",D630&lt;&gt;"",C630&gt;='Read Me'!$B$5)</f>
        <v>0</v>
      </c>
      <c r="F630" s="23" t="str">
        <f aca="false">IF(E630,D630,"")</f>
        <v/>
      </c>
      <c r="G630" s="21" t="n">
        <f aca="false">IF(E630,D630^2,0)</f>
        <v>0</v>
      </c>
      <c r="H630" s="3"/>
    </row>
    <row r="631" customFormat="false" ht="15" hidden="false" customHeight="true" outlineLevel="0" collapsed="false">
      <c r="A631" s="16"/>
      <c r="B631" s="16"/>
      <c r="C631" s="15"/>
      <c r="D631" s="19"/>
      <c r="E631" s="20" t="b">
        <f aca="false">AND(A631&lt;&gt;"",C631&lt;&gt;"",D631&lt;&gt;"",C631&gt;='Read Me'!$B$5)</f>
        <v>0</v>
      </c>
      <c r="F631" s="23" t="str">
        <f aca="false">IF(E631,D631,"")</f>
        <v/>
      </c>
      <c r="G631" s="21" t="n">
        <f aca="false">IF(E631,D631^2,0)</f>
        <v>0</v>
      </c>
      <c r="H631" s="3"/>
    </row>
    <row r="632" customFormat="false" ht="15" hidden="false" customHeight="true" outlineLevel="0" collapsed="false">
      <c r="A632" s="16"/>
      <c r="B632" s="16"/>
      <c r="C632" s="15"/>
      <c r="D632" s="19"/>
      <c r="E632" s="20" t="b">
        <f aca="false">AND(A632&lt;&gt;"",C632&lt;&gt;"",D632&lt;&gt;"",C632&gt;='Read Me'!$B$5)</f>
        <v>0</v>
      </c>
      <c r="F632" s="23" t="str">
        <f aca="false">IF(E632,D632,"")</f>
        <v/>
      </c>
      <c r="G632" s="21" t="n">
        <f aca="false">IF(E632,D632^2,0)</f>
        <v>0</v>
      </c>
      <c r="H632" s="3"/>
    </row>
    <row r="633" customFormat="false" ht="15" hidden="false" customHeight="true" outlineLevel="0" collapsed="false">
      <c r="A633" s="16"/>
      <c r="B633" s="16"/>
      <c r="C633" s="15"/>
      <c r="D633" s="19"/>
      <c r="E633" s="20" t="b">
        <f aca="false">AND(A633&lt;&gt;"",C633&lt;&gt;"",D633&lt;&gt;"",C633&gt;='Read Me'!$B$5)</f>
        <v>0</v>
      </c>
      <c r="F633" s="23" t="str">
        <f aca="false">IF(E633,D633,"")</f>
        <v/>
      </c>
      <c r="G633" s="21" t="n">
        <f aca="false">IF(E633,D633^2,0)</f>
        <v>0</v>
      </c>
      <c r="H633" s="3"/>
    </row>
    <row r="634" customFormat="false" ht="15" hidden="false" customHeight="true" outlineLevel="0" collapsed="false">
      <c r="A634" s="16"/>
      <c r="B634" s="16"/>
      <c r="C634" s="15"/>
      <c r="D634" s="19"/>
      <c r="E634" s="20" t="b">
        <f aca="false">AND(A634&lt;&gt;"",C634&lt;&gt;"",D634&lt;&gt;"",C634&gt;='Read Me'!$B$5)</f>
        <v>0</v>
      </c>
      <c r="F634" s="23" t="str">
        <f aca="false">IF(E634,D634,"")</f>
        <v/>
      </c>
      <c r="G634" s="21" t="n">
        <f aca="false">IF(E634,D634^2,0)</f>
        <v>0</v>
      </c>
      <c r="H634" s="3"/>
    </row>
    <row r="635" customFormat="false" ht="15" hidden="false" customHeight="true" outlineLevel="0" collapsed="false">
      <c r="A635" s="16"/>
      <c r="B635" s="16"/>
      <c r="C635" s="15"/>
      <c r="D635" s="19"/>
      <c r="E635" s="20" t="b">
        <f aca="false">AND(A635&lt;&gt;"",C635&lt;&gt;"",D635&lt;&gt;"",C635&gt;='Read Me'!$B$5)</f>
        <v>0</v>
      </c>
      <c r="F635" s="23" t="str">
        <f aca="false">IF(E635,D635,"")</f>
        <v/>
      </c>
      <c r="G635" s="21" t="n">
        <f aca="false">IF(E635,D635^2,0)</f>
        <v>0</v>
      </c>
      <c r="H635" s="3"/>
    </row>
    <row r="636" customFormat="false" ht="15" hidden="false" customHeight="true" outlineLevel="0" collapsed="false">
      <c r="A636" s="16"/>
      <c r="B636" s="16"/>
      <c r="C636" s="15"/>
      <c r="D636" s="19"/>
      <c r="E636" s="20" t="b">
        <f aca="false">AND(A636&lt;&gt;"",C636&lt;&gt;"",D636&lt;&gt;"",C636&gt;='Read Me'!$B$5)</f>
        <v>0</v>
      </c>
      <c r="F636" s="23" t="str">
        <f aca="false">IF(E636,D636,"")</f>
        <v/>
      </c>
      <c r="G636" s="21" t="n">
        <f aca="false">IF(E636,D636^2,0)</f>
        <v>0</v>
      </c>
      <c r="H636" s="3"/>
    </row>
    <row r="637" customFormat="false" ht="15" hidden="false" customHeight="true" outlineLevel="0" collapsed="false">
      <c r="A637" s="16"/>
      <c r="B637" s="16"/>
      <c r="C637" s="15"/>
      <c r="D637" s="19"/>
      <c r="E637" s="20" t="b">
        <f aca="false">AND(A637&lt;&gt;"",C637&lt;&gt;"",D637&lt;&gt;"",C637&gt;='Read Me'!$B$5)</f>
        <v>0</v>
      </c>
      <c r="F637" s="23" t="str">
        <f aca="false">IF(E637,D637,"")</f>
        <v/>
      </c>
      <c r="G637" s="21" t="n">
        <f aca="false">IF(E637,D637^2,0)</f>
        <v>0</v>
      </c>
      <c r="H637" s="3"/>
    </row>
    <row r="638" customFormat="false" ht="15" hidden="false" customHeight="true" outlineLevel="0" collapsed="false">
      <c r="A638" s="16"/>
      <c r="B638" s="16"/>
      <c r="C638" s="15"/>
      <c r="D638" s="19"/>
      <c r="E638" s="20" t="b">
        <f aca="false">AND(A638&lt;&gt;"",C638&lt;&gt;"",D638&lt;&gt;"",C638&gt;='Read Me'!$B$5)</f>
        <v>0</v>
      </c>
      <c r="F638" s="23" t="str">
        <f aca="false">IF(E638,D638,"")</f>
        <v/>
      </c>
      <c r="G638" s="21" t="n">
        <f aca="false">IF(E638,D638^2,0)</f>
        <v>0</v>
      </c>
      <c r="H638" s="3"/>
    </row>
    <row r="639" customFormat="false" ht="15" hidden="false" customHeight="true" outlineLevel="0" collapsed="false">
      <c r="A639" s="16"/>
      <c r="B639" s="16"/>
      <c r="C639" s="15"/>
      <c r="D639" s="19"/>
      <c r="E639" s="20" t="b">
        <f aca="false">AND(A639&lt;&gt;"",C639&lt;&gt;"",D639&lt;&gt;"",C639&gt;='Read Me'!$B$5)</f>
        <v>0</v>
      </c>
      <c r="F639" s="23" t="str">
        <f aca="false">IF(E639,D639,"")</f>
        <v/>
      </c>
      <c r="G639" s="21" t="n">
        <f aca="false">IF(E639,D639^2,0)</f>
        <v>0</v>
      </c>
      <c r="H639" s="3"/>
    </row>
    <row r="640" customFormat="false" ht="15" hidden="false" customHeight="true" outlineLevel="0" collapsed="false">
      <c r="A640" s="16"/>
      <c r="B640" s="16"/>
      <c r="C640" s="15"/>
      <c r="D640" s="19"/>
      <c r="E640" s="20" t="b">
        <f aca="false">AND(A640&lt;&gt;"",C640&lt;&gt;"",D640&lt;&gt;"",C640&gt;='Read Me'!$B$5)</f>
        <v>0</v>
      </c>
      <c r="F640" s="23" t="str">
        <f aca="false">IF(E640,D640,"")</f>
        <v/>
      </c>
      <c r="G640" s="21" t="n">
        <f aca="false">IF(E640,D640^2,0)</f>
        <v>0</v>
      </c>
      <c r="H640" s="3"/>
    </row>
    <row r="641" customFormat="false" ht="15" hidden="false" customHeight="true" outlineLevel="0" collapsed="false">
      <c r="A641" s="16"/>
      <c r="B641" s="16"/>
      <c r="C641" s="15"/>
      <c r="D641" s="19"/>
      <c r="E641" s="20" t="b">
        <f aca="false">AND(A641&lt;&gt;"",C641&lt;&gt;"",D641&lt;&gt;"",C641&gt;='Read Me'!$B$5)</f>
        <v>0</v>
      </c>
      <c r="F641" s="23" t="str">
        <f aca="false">IF(E641,D641,"")</f>
        <v/>
      </c>
      <c r="G641" s="21" t="n">
        <f aca="false">IF(E641,D641^2,0)</f>
        <v>0</v>
      </c>
      <c r="H641" s="3"/>
    </row>
    <row r="642" customFormat="false" ht="15" hidden="false" customHeight="true" outlineLevel="0" collapsed="false">
      <c r="A642" s="16"/>
      <c r="B642" s="16"/>
      <c r="C642" s="15"/>
      <c r="D642" s="19"/>
      <c r="E642" s="20" t="b">
        <f aca="false">AND(A642&lt;&gt;"",C642&lt;&gt;"",D642&lt;&gt;"",C642&gt;='Read Me'!$B$5)</f>
        <v>0</v>
      </c>
      <c r="F642" s="23" t="str">
        <f aca="false">IF(E642,D642,"")</f>
        <v/>
      </c>
      <c r="G642" s="21" t="n">
        <f aca="false">IF(E642,D642^2,0)</f>
        <v>0</v>
      </c>
      <c r="H642" s="3"/>
    </row>
    <row r="643" customFormat="false" ht="15" hidden="false" customHeight="true" outlineLevel="0" collapsed="false">
      <c r="A643" s="16"/>
      <c r="B643" s="16"/>
      <c r="C643" s="15"/>
      <c r="D643" s="19"/>
      <c r="E643" s="20" t="b">
        <f aca="false">AND(A643&lt;&gt;"",C643&lt;&gt;"",D643&lt;&gt;"",C643&gt;='Read Me'!$B$5)</f>
        <v>0</v>
      </c>
      <c r="F643" s="23" t="str">
        <f aca="false">IF(E643,D643,"")</f>
        <v/>
      </c>
      <c r="G643" s="21" t="n">
        <f aca="false">IF(E643,D643^2,0)</f>
        <v>0</v>
      </c>
      <c r="H643" s="3"/>
    </row>
    <row r="644" customFormat="false" ht="15" hidden="false" customHeight="true" outlineLevel="0" collapsed="false">
      <c r="A644" s="16"/>
      <c r="B644" s="16"/>
      <c r="C644" s="15"/>
      <c r="D644" s="19"/>
      <c r="E644" s="20" t="b">
        <f aca="false">AND(A644&lt;&gt;"",C644&lt;&gt;"",D644&lt;&gt;"",C644&gt;='Read Me'!$B$5)</f>
        <v>0</v>
      </c>
      <c r="F644" s="23" t="str">
        <f aca="false">IF(E644,D644,"")</f>
        <v/>
      </c>
      <c r="G644" s="21" t="n">
        <f aca="false">IF(E644,D644^2,0)</f>
        <v>0</v>
      </c>
      <c r="H644" s="3"/>
    </row>
    <row r="645" customFormat="false" ht="15" hidden="false" customHeight="true" outlineLevel="0" collapsed="false">
      <c r="A645" s="16"/>
      <c r="B645" s="16"/>
      <c r="C645" s="15"/>
      <c r="D645" s="19"/>
      <c r="E645" s="20" t="b">
        <f aca="false">AND(A645&lt;&gt;"",C645&lt;&gt;"",D645&lt;&gt;"",C645&gt;='Read Me'!$B$5)</f>
        <v>0</v>
      </c>
      <c r="F645" s="23" t="str">
        <f aca="false">IF(E645,D645,"")</f>
        <v/>
      </c>
      <c r="G645" s="21" t="n">
        <f aca="false">IF(E645,D645^2,0)</f>
        <v>0</v>
      </c>
      <c r="H645" s="3"/>
    </row>
    <row r="646" customFormat="false" ht="15" hidden="false" customHeight="true" outlineLevel="0" collapsed="false">
      <c r="A646" s="16"/>
      <c r="B646" s="16"/>
      <c r="C646" s="15"/>
      <c r="D646" s="19"/>
      <c r="E646" s="20" t="b">
        <f aca="false">AND(A646&lt;&gt;"",C646&lt;&gt;"",D646&lt;&gt;"",C646&gt;='Read Me'!$B$5)</f>
        <v>0</v>
      </c>
      <c r="F646" s="23" t="str">
        <f aca="false">IF(E646,D646,"")</f>
        <v/>
      </c>
      <c r="G646" s="21" t="n">
        <f aca="false">IF(E646,D646^2,0)</f>
        <v>0</v>
      </c>
      <c r="H646" s="3"/>
    </row>
    <row r="647" customFormat="false" ht="15" hidden="false" customHeight="true" outlineLevel="0" collapsed="false">
      <c r="A647" s="16"/>
      <c r="B647" s="16"/>
      <c r="C647" s="15"/>
      <c r="D647" s="19"/>
      <c r="E647" s="20" t="b">
        <f aca="false">AND(A647&lt;&gt;"",C647&lt;&gt;"",D647&lt;&gt;"",C647&gt;='Read Me'!$B$5)</f>
        <v>0</v>
      </c>
      <c r="F647" s="23" t="str">
        <f aca="false">IF(E647,D647,"")</f>
        <v/>
      </c>
      <c r="G647" s="21" t="n">
        <f aca="false">IF(E647,D647^2,0)</f>
        <v>0</v>
      </c>
      <c r="H647" s="3"/>
    </row>
    <row r="648" customFormat="false" ht="15" hidden="false" customHeight="true" outlineLevel="0" collapsed="false">
      <c r="A648" s="16"/>
      <c r="B648" s="16"/>
      <c r="C648" s="15"/>
      <c r="D648" s="19"/>
      <c r="E648" s="20" t="b">
        <f aca="false">AND(A648&lt;&gt;"",C648&lt;&gt;"",D648&lt;&gt;"",C648&gt;='Read Me'!$B$5)</f>
        <v>0</v>
      </c>
      <c r="F648" s="23" t="str">
        <f aca="false">IF(E648,D648,"")</f>
        <v/>
      </c>
      <c r="G648" s="21" t="n">
        <f aca="false">IF(E648,D648^2,0)</f>
        <v>0</v>
      </c>
      <c r="H648" s="3"/>
    </row>
    <row r="649" customFormat="false" ht="15" hidden="false" customHeight="true" outlineLevel="0" collapsed="false">
      <c r="A649" s="16"/>
      <c r="B649" s="16"/>
      <c r="C649" s="15"/>
      <c r="D649" s="19"/>
      <c r="E649" s="20" t="b">
        <f aca="false">AND(A649&lt;&gt;"",C649&lt;&gt;"",D649&lt;&gt;"",C649&gt;='Read Me'!$B$5)</f>
        <v>0</v>
      </c>
      <c r="F649" s="23" t="str">
        <f aca="false">IF(E649,D649,"")</f>
        <v/>
      </c>
      <c r="G649" s="21" t="n">
        <f aca="false">IF(E649,D649^2,0)</f>
        <v>0</v>
      </c>
      <c r="H649" s="3"/>
    </row>
    <row r="650" customFormat="false" ht="15" hidden="false" customHeight="true" outlineLevel="0" collapsed="false">
      <c r="A650" s="16"/>
      <c r="B650" s="16"/>
      <c r="C650" s="15"/>
      <c r="D650" s="19"/>
      <c r="E650" s="20" t="b">
        <f aca="false">AND(A650&lt;&gt;"",C650&lt;&gt;"",D650&lt;&gt;"",C650&gt;='Read Me'!$B$5)</f>
        <v>0</v>
      </c>
      <c r="F650" s="23" t="str">
        <f aca="false">IF(E650,D650,"")</f>
        <v/>
      </c>
      <c r="G650" s="21" t="n">
        <f aca="false">IF(E650,D650^2,0)</f>
        <v>0</v>
      </c>
      <c r="H650" s="3"/>
    </row>
    <row r="651" customFormat="false" ht="15" hidden="false" customHeight="true" outlineLevel="0" collapsed="false">
      <c r="A651" s="16"/>
      <c r="B651" s="16"/>
      <c r="C651" s="15"/>
      <c r="D651" s="19"/>
      <c r="E651" s="20" t="b">
        <f aca="false">AND(A651&lt;&gt;"",C651&lt;&gt;"",D651&lt;&gt;"",C651&gt;='Read Me'!$B$5)</f>
        <v>0</v>
      </c>
      <c r="F651" s="23" t="str">
        <f aca="false">IF(E651,D651,"")</f>
        <v/>
      </c>
      <c r="G651" s="21" t="n">
        <f aca="false">IF(E651,D651^2,0)</f>
        <v>0</v>
      </c>
      <c r="H651" s="3"/>
    </row>
    <row r="652" customFormat="false" ht="15" hidden="false" customHeight="true" outlineLevel="0" collapsed="false">
      <c r="A652" s="16"/>
      <c r="B652" s="16"/>
      <c r="C652" s="15"/>
      <c r="D652" s="19"/>
      <c r="E652" s="20" t="b">
        <f aca="false">AND(A652&lt;&gt;"",C652&lt;&gt;"",D652&lt;&gt;"",C652&gt;='Read Me'!$B$5)</f>
        <v>0</v>
      </c>
      <c r="F652" s="23" t="str">
        <f aca="false">IF(E652,D652,"")</f>
        <v/>
      </c>
      <c r="G652" s="21" t="n">
        <f aca="false">IF(E652,D652^2,0)</f>
        <v>0</v>
      </c>
      <c r="H652" s="3"/>
    </row>
    <row r="653" customFormat="false" ht="15" hidden="false" customHeight="true" outlineLevel="0" collapsed="false">
      <c r="A653" s="16"/>
      <c r="B653" s="16"/>
      <c r="C653" s="15"/>
      <c r="D653" s="19"/>
      <c r="E653" s="20" t="b">
        <f aca="false">AND(A653&lt;&gt;"",C653&lt;&gt;"",D653&lt;&gt;"",C653&gt;='Read Me'!$B$5)</f>
        <v>0</v>
      </c>
      <c r="F653" s="23" t="str">
        <f aca="false">IF(E653,D653,"")</f>
        <v/>
      </c>
      <c r="G653" s="21" t="n">
        <f aca="false">IF(E653,D653^2,0)</f>
        <v>0</v>
      </c>
      <c r="H653" s="3"/>
    </row>
    <row r="654" customFormat="false" ht="15" hidden="false" customHeight="true" outlineLevel="0" collapsed="false">
      <c r="A654" s="16"/>
      <c r="B654" s="16"/>
      <c r="C654" s="15"/>
      <c r="D654" s="19"/>
      <c r="E654" s="20" t="b">
        <f aca="false">AND(A654&lt;&gt;"",C654&lt;&gt;"",D654&lt;&gt;"",C654&gt;='Read Me'!$B$5)</f>
        <v>0</v>
      </c>
      <c r="F654" s="23" t="str">
        <f aca="false">IF(E654,D654,"")</f>
        <v/>
      </c>
      <c r="G654" s="21" t="n">
        <f aca="false">IF(E654,D654^2,0)</f>
        <v>0</v>
      </c>
      <c r="H654" s="3"/>
    </row>
    <row r="655" customFormat="false" ht="15" hidden="false" customHeight="true" outlineLevel="0" collapsed="false">
      <c r="A655" s="16"/>
      <c r="B655" s="16"/>
      <c r="C655" s="15"/>
      <c r="D655" s="19"/>
      <c r="E655" s="20" t="b">
        <f aca="false">AND(A655&lt;&gt;"",C655&lt;&gt;"",D655&lt;&gt;"",C655&gt;='Read Me'!$B$5)</f>
        <v>0</v>
      </c>
      <c r="F655" s="23" t="str">
        <f aca="false">IF(E655,D655,"")</f>
        <v/>
      </c>
      <c r="G655" s="21" t="n">
        <f aca="false">IF(E655,D655^2,0)</f>
        <v>0</v>
      </c>
      <c r="H655" s="3"/>
    </row>
    <row r="656" customFormat="false" ht="15" hidden="false" customHeight="true" outlineLevel="0" collapsed="false">
      <c r="A656" s="16"/>
      <c r="B656" s="16"/>
      <c r="C656" s="15"/>
      <c r="D656" s="19"/>
      <c r="E656" s="20" t="b">
        <f aca="false">AND(A656&lt;&gt;"",C656&lt;&gt;"",D656&lt;&gt;"",C656&gt;='Read Me'!$B$5)</f>
        <v>0</v>
      </c>
      <c r="F656" s="23" t="str">
        <f aca="false">IF(E656,D656,"")</f>
        <v/>
      </c>
      <c r="G656" s="21" t="n">
        <f aca="false">IF(E656,D656^2,0)</f>
        <v>0</v>
      </c>
      <c r="H656" s="3"/>
    </row>
    <row r="657" customFormat="false" ht="15" hidden="false" customHeight="true" outlineLevel="0" collapsed="false">
      <c r="A657" s="16"/>
      <c r="B657" s="16"/>
      <c r="C657" s="15"/>
      <c r="D657" s="19"/>
      <c r="E657" s="20" t="b">
        <f aca="false">AND(A657&lt;&gt;"",C657&lt;&gt;"",D657&lt;&gt;"",C657&gt;='Read Me'!$B$5)</f>
        <v>0</v>
      </c>
      <c r="F657" s="23" t="str">
        <f aca="false">IF(E657,D657,"")</f>
        <v/>
      </c>
      <c r="G657" s="21" t="n">
        <f aca="false">IF(E657,D657^2,0)</f>
        <v>0</v>
      </c>
      <c r="H657" s="3"/>
    </row>
    <row r="658" customFormat="false" ht="15" hidden="false" customHeight="true" outlineLevel="0" collapsed="false">
      <c r="A658" s="16"/>
      <c r="B658" s="16"/>
      <c r="C658" s="15"/>
      <c r="D658" s="19"/>
      <c r="E658" s="20" t="b">
        <f aca="false">AND(A658&lt;&gt;"",C658&lt;&gt;"",D658&lt;&gt;"",C658&gt;='Read Me'!$B$5)</f>
        <v>0</v>
      </c>
      <c r="F658" s="23" t="str">
        <f aca="false">IF(E658,D658,"")</f>
        <v/>
      </c>
      <c r="G658" s="21" t="n">
        <f aca="false">IF(E658,D658^2,0)</f>
        <v>0</v>
      </c>
      <c r="H658" s="3"/>
    </row>
    <row r="659" customFormat="false" ht="15" hidden="false" customHeight="true" outlineLevel="0" collapsed="false">
      <c r="A659" s="16"/>
      <c r="B659" s="16"/>
      <c r="C659" s="15"/>
      <c r="D659" s="19"/>
      <c r="E659" s="20" t="b">
        <f aca="false">AND(A659&lt;&gt;"",C659&lt;&gt;"",D659&lt;&gt;"",C659&gt;='Read Me'!$B$5)</f>
        <v>0</v>
      </c>
      <c r="F659" s="23" t="str">
        <f aca="false">IF(E659,D659,"")</f>
        <v/>
      </c>
      <c r="G659" s="21" t="n">
        <f aca="false">IF(E659,D659^2,0)</f>
        <v>0</v>
      </c>
      <c r="H659" s="3"/>
    </row>
    <row r="660" customFormat="false" ht="15" hidden="false" customHeight="true" outlineLevel="0" collapsed="false">
      <c r="A660" s="16"/>
      <c r="B660" s="16"/>
      <c r="C660" s="15"/>
      <c r="D660" s="19"/>
      <c r="E660" s="20" t="b">
        <f aca="false">AND(A660&lt;&gt;"",C660&lt;&gt;"",D660&lt;&gt;"",C660&gt;='Read Me'!$B$5)</f>
        <v>0</v>
      </c>
      <c r="F660" s="23" t="str">
        <f aca="false">IF(E660,D660,"")</f>
        <v/>
      </c>
      <c r="G660" s="21" t="n">
        <f aca="false">IF(E660,D660^2,0)</f>
        <v>0</v>
      </c>
      <c r="H660" s="3"/>
    </row>
    <row r="661" customFormat="false" ht="15" hidden="false" customHeight="true" outlineLevel="0" collapsed="false">
      <c r="A661" s="16"/>
      <c r="B661" s="16"/>
      <c r="C661" s="15"/>
      <c r="D661" s="19"/>
      <c r="E661" s="20" t="b">
        <f aca="false">AND(A661&lt;&gt;"",C661&lt;&gt;"",D661&lt;&gt;"",C661&gt;='Read Me'!$B$5)</f>
        <v>0</v>
      </c>
      <c r="F661" s="23" t="str">
        <f aca="false">IF(E661,D661,"")</f>
        <v/>
      </c>
      <c r="G661" s="21" t="n">
        <f aca="false">IF(E661,D661^2,0)</f>
        <v>0</v>
      </c>
      <c r="H661" s="3"/>
    </row>
    <row r="662" customFormat="false" ht="15" hidden="false" customHeight="true" outlineLevel="0" collapsed="false">
      <c r="A662" s="16"/>
      <c r="B662" s="16"/>
      <c r="C662" s="15"/>
      <c r="D662" s="19"/>
      <c r="E662" s="20" t="b">
        <f aca="false">AND(A662&lt;&gt;"",C662&lt;&gt;"",D662&lt;&gt;"",C662&gt;='Read Me'!$B$5)</f>
        <v>0</v>
      </c>
      <c r="F662" s="23" t="str">
        <f aca="false">IF(E662,D662,"")</f>
        <v/>
      </c>
      <c r="G662" s="21" t="n">
        <f aca="false">IF(E662,D662^2,0)</f>
        <v>0</v>
      </c>
      <c r="H662" s="3"/>
    </row>
    <row r="663" customFormat="false" ht="15" hidden="false" customHeight="true" outlineLevel="0" collapsed="false">
      <c r="A663" s="16"/>
      <c r="B663" s="16"/>
      <c r="C663" s="15"/>
      <c r="D663" s="19"/>
      <c r="E663" s="20" t="b">
        <f aca="false">AND(A663&lt;&gt;"",C663&lt;&gt;"",D663&lt;&gt;"",C663&gt;='Read Me'!$B$5)</f>
        <v>0</v>
      </c>
      <c r="F663" s="23" t="str">
        <f aca="false">IF(E663,D663,"")</f>
        <v/>
      </c>
      <c r="G663" s="21" t="n">
        <f aca="false">IF(E663,D663^2,0)</f>
        <v>0</v>
      </c>
      <c r="H663" s="3"/>
    </row>
    <row r="664" customFormat="false" ht="15" hidden="false" customHeight="true" outlineLevel="0" collapsed="false">
      <c r="A664" s="16"/>
      <c r="B664" s="16"/>
      <c r="C664" s="15"/>
      <c r="D664" s="19"/>
      <c r="E664" s="20" t="b">
        <f aca="false">AND(A664&lt;&gt;"",C664&lt;&gt;"",D664&lt;&gt;"",C664&gt;='Read Me'!$B$5)</f>
        <v>0</v>
      </c>
      <c r="F664" s="23" t="str">
        <f aca="false">IF(E664,D664,"")</f>
        <v/>
      </c>
      <c r="G664" s="21" t="n">
        <f aca="false">IF(E664,D664^2,0)</f>
        <v>0</v>
      </c>
      <c r="H664" s="3"/>
    </row>
    <row r="665" customFormat="false" ht="15" hidden="false" customHeight="true" outlineLevel="0" collapsed="false">
      <c r="A665" s="16"/>
      <c r="B665" s="16"/>
      <c r="C665" s="15"/>
      <c r="D665" s="19"/>
      <c r="E665" s="20" t="b">
        <f aca="false">AND(A665&lt;&gt;"",C665&lt;&gt;"",D665&lt;&gt;"",C665&gt;='Read Me'!$B$5)</f>
        <v>0</v>
      </c>
      <c r="F665" s="23" t="str">
        <f aca="false">IF(E665,D665,"")</f>
        <v/>
      </c>
      <c r="G665" s="21" t="n">
        <f aca="false">IF(E665,D665^2,0)</f>
        <v>0</v>
      </c>
      <c r="H665" s="3"/>
    </row>
    <row r="666" customFormat="false" ht="15" hidden="false" customHeight="true" outlineLevel="0" collapsed="false">
      <c r="A666" s="16"/>
      <c r="B666" s="16"/>
      <c r="C666" s="15"/>
      <c r="D666" s="19"/>
      <c r="E666" s="20" t="b">
        <f aca="false">AND(A666&lt;&gt;"",C666&lt;&gt;"",D666&lt;&gt;"",C666&gt;='Read Me'!$B$5)</f>
        <v>0</v>
      </c>
      <c r="F666" s="23" t="str">
        <f aca="false">IF(E666,D666,"")</f>
        <v/>
      </c>
      <c r="G666" s="21" t="n">
        <f aca="false">IF(E666,D666^2,0)</f>
        <v>0</v>
      </c>
      <c r="H666" s="3"/>
    </row>
    <row r="667" customFormat="false" ht="15" hidden="false" customHeight="true" outlineLevel="0" collapsed="false">
      <c r="A667" s="16"/>
      <c r="B667" s="16"/>
      <c r="C667" s="15"/>
      <c r="D667" s="19"/>
      <c r="E667" s="20" t="b">
        <f aca="false">AND(A667&lt;&gt;"",C667&lt;&gt;"",D667&lt;&gt;"",C667&gt;='Read Me'!$B$5)</f>
        <v>0</v>
      </c>
      <c r="F667" s="23" t="str">
        <f aca="false">IF(E667,D667,"")</f>
        <v/>
      </c>
      <c r="G667" s="21" t="n">
        <f aca="false">IF(E667,D667^2,0)</f>
        <v>0</v>
      </c>
      <c r="H667" s="3"/>
    </row>
    <row r="668" customFormat="false" ht="15" hidden="false" customHeight="true" outlineLevel="0" collapsed="false">
      <c r="A668" s="16"/>
      <c r="B668" s="16"/>
      <c r="C668" s="15"/>
      <c r="D668" s="19"/>
      <c r="E668" s="20" t="b">
        <f aca="false">AND(A668&lt;&gt;"",C668&lt;&gt;"",D668&lt;&gt;"",C668&gt;='Read Me'!$B$5)</f>
        <v>0</v>
      </c>
      <c r="F668" s="23" t="str">
        <f aca="false">IF(E668,D668,"")</f>
        <v/>
      </c>
      <c r="G668" s="21" t="n">
        <f aca="false">IF(E668,D668^2,0)</f>
        <v>0</v>
      </c>
      <c r="H668" s="3"/>
    </row>
    <row r="669" customFormat="false" ht="15" hidden="false" customHeight="true" outlineLevel="0" collapsed="false">
      <c r="A669" s="16"/>
      <c r="B669" s="16"/>
      <c r="C669" s="15"/>
      <c r="D669" s="19"/>
      <c r="E669" s="20" t="b">
        <f aca="false">AND(A669&lt;&gt;"",C669&lt;&gt;"",D669&lt;&gt;"",C669&gt;='Read Me'!$B$5)</f>
        <v>0</v>
      </c>
      <c r="F669" s="23" t="str">
        <f aca="false">IF(E669,D669,"")</f>
        <v/>
      </c>
      <c r="G669" s="21" t="n">
        <f aca="false">IF(E669,D669^2,0)</f>
        <v>0</v>
      </c>
      <c r="H669" s="3"/>
    </row>
    <row r="670" customFormat="false" ht="15" hidden="false" customHeight="true" outlineLevel="0" collapsed="false">
      <c r="A670" s="16"/>
      <c r="B670" s="16"/>
      <c r="C670" s="15"/>
      <c r="D670" s="19"/>
      <c r="E670" s="20" t="b">
        <f aca="false">AND(A670&lt;&gt;"",C670&lt;&gt;"",D670&lt;&gt;"",C670&gt;='Read Me'!$B$5)</f>
        <v>0</v>
      </c>
      <c r="F670" s="23" t="str">
        <f aca="false">IF(E670,D670,"")</f>
        <v/>
      </c>
      <c r="G670" s="21" t="n">
        <f aca="false">IF(E670,D670^2,0)</f>
        <v>0</v>
      </c>
      <c r="H670" s="3"/>
    </row>
    <row r="671" customFormat="false" ht="15" hidden="false" customHeight="true" outlineLevel="0" collapsed="false">
      <c r="A671" s="16"/>
      <c r="B671" s="16"/>
      <c r="C671" s="15"/>
      <c r="D671" s="19"/>
      <c r="E671" s="20" t="b">
        <f aca="false">AND(A671&lt;&gt;"",C671&lt;&gt;"",D671&lt;&gt;"",C671&gt;='Read Me'!$B$5)</f>
        <v>0</v>
      </c>
      <c r="F671" s="23" t="str">
        <f aca="false">IF(E671,D671,"")</f>
        <v/>
      </c>
      <c r="G671" s="21" t="n">
        <f aca="false">IF(E671,D671^2,0)</f>
        <v>0</v>
      </c>
      <c r="H671" s="3"/>
    </row>
    <row r="672" customFormat="false" ht="15" hidden="false" customHeight="true" outlineLevel="0" collapsed="false">
      <c r="A672" s="16"/>
      <c r="B672" s="16"/>
      <c r="C672" s="15"/>
      <c r="D672" s="19"/>
      <c r="E672" s="20" t="b">
        <f aca="false">AND(A672&lt;&gt;"",C672&lt;&gt;"",D672&lt;&gt;"",C672&gt;='Read Me'!$B$5)</f>
        <v>0</v>
      </c>
      <c r="F672" s="23" t="str">
        <f aca="false">IF(E672,D672,"")</f>
        <v/>
      </c>
      <c r="G672" s="21" t="n">
        <f aca="false">IF(E672,D672^2,0)</f>
        <v>0</v>
      </c>
      <c r="H672" s="3"/>
    </row>
    <row r="673" customFormat="false" ht="15" hidden="false" customHeight="true" outlineLevel="0" collapsed="false">
      <c r="A673" s="16"/>
      <c r="B673" s="16"/>
      <c r="C673" s="15"/>
      <c r="D673" s="19"/>
      <c r="E673" s="20" t="b">
        <f aca="false">AND(A673&lt;&gt;"",C673&lt;&gt;"",D673&lt;&gt;"",C673&gt;='Read Me'!$B$5)</f>
        <v>0</v>
      </c>
      <c r="F673" s="23" t="str">
        <f aca="false">IF(E673,D673,"")</f>
        <v/>
      </c>
      <c r="G673" s="21" t="n">
        <f aca="false">IF(E673,D673^2,0)</f>
        <v>0</v>
      </c>
      <c r="H673" s="3"/>
    </row>
    <row r="674" customFormat="false" ht="15" hidden="false" customHeight="true" outlineLevel="0" collapsed="false">
      <c r="A674" s="16"/>
      <c r="B674" s="16"/>
      <c r="C674" s="15"/>
      <c r="D674" s="19"/>
      <c r="E674" s="20" t="b">
        <f aca="false">AND(A674&lt;&gt;"",C674&lt;&gt;"",D674&lt;&gt;"",C674&gt;='Read Me'!$B$5)</f>
        <v>0</v>
      </c>
      <c r="F674" s="23" t="str">
        <f aca="false">IF(E674,D674,"")</f>
        <v/>
      </c>
      <c r="G674" s="21" t="n">
        <f aca="false">IF(E674,D674^2,0)</f>
        <v>0</v>
      </c>
      <c r="H674" s="3"/>
    </row>
    <row r="675" customFormat="false" ht="15" hidden="false" customHeight="true" outlineLevel="0" collapsed="false">
      <c r="A675" s="16"/>
      <c r="B675" s="16"/>
      <c r="C675" s="15"/>
      <c r="D675" s="19"/>
      <c r="E675" s="20" t="b">
        <f aca="false">AND(A675&lt;&gt;"",C675&lt;&gt;"",D675&lt;&gt;"",C675&gt;='Read Me'!$B$5)</f>
        <v>0</v>
      </c>
      <c r="F675" s="23" t="str">
        <f aca="false">IF(E675,D675,"")</f>
        <v/>
      </c>
      <c r="G675" s="21" t="n">
        <f aca="false">IF(E675,D675^2,0)</f>
        <v>0</v>
      </c>
      <c r="H675" s="3"/>
    </row>
    <row r="676" customFormat="false" ht="15" hidden="false" customHeight="true" outlineLevel="0" collapsed="false">
      <c r="A676" s="16"/>
      <c r="B676" s="16"/>
      <c r="C676" s="15"/>
      <c r="D676" s="19"/>
      <c r="E676" s="20" t="b">
        <f aca="false">AND(A676&lt;&gt;"",C676&lt;&gt;"",D676&lt;&gt;"",C676&gt;='Read Me'!$B$5)</f>
        <v>0</v>
      </c>
      <c r="F676" s="23" t="str">
        <f aca="false">IF(E676,D676,"")</f>
        <v/>
      </c>
      <c r="G676" s="21" t="n">
        <f aca="false">IF(E676,D676^2,0)</f>
        <v>0</v>
      </c>
      <c r="H676" s="3"/>
    </row>
    <row r="677" customFormat="false" ht="15" hidden="false" customHeight="true" outlineLevel="0" collapsed="false">
      <c r="A677" s="16"/>
      <c r="B677" s="16"/>
      <c r="C677" s="15"/>
      <c r="D677" s="19"/>
      <c r="E677" s="20" t="b">
        <f aca="false">AND(A677&lt;&gt;"",C677&lt;&gt;"",D677&lt;&gt;"",C677&gt;='Read Me'!$B$5)</f>
        <v>0</v>
      </c>
      <c r="F677" s="23" t="str">
        <f aca="false">IF(E677,D677,"")</f>
        <v/>
      </c>
      <c r="G677" s="21" t="n">
        <f aca="false">IF(E677,D677^2,0)</f>
        <v>0</v>
      </c>
      <c r="H677" s="3"/>
    </row>
    <row r="678" customFormat="false" ht="15" hidden="false" customHeight="true" outlineLevel="0" collapsed="false">
      <c r="A678" s="16"/>
      <c r="B678" s="16"/>
      <c r="C678" s="15"/>
      <c r="D678" s="19"/>
      <c r="E678" s="20" t="b">
        <f aca="false">AND(A678&lt;&gt;"",C678&lt;&gt;"",D678&lt;&gt;"",C678&gt;='Read Me'!$B$5)</f>
        <v>0</v>
      </c>
      <c r="F678" s="23" t="str">
        <f aca="false">IF(E678,D678,"")</f>
        <v/>
      </c>
      <c r="G678" s="21" t="n">
        <f aca="false">IF(E678,D678^2,0)</f>
        <v>0</v>
      </c>
      <c r="H678" s="3"/>
    </row>
    <row r="679" customFormat="false" ht="15" hidden="false" customHeight="true" outlineLevel="0" collapsed="false">
      <c r="A679" s="16"/>
      <c r="B679" s="16"/>
      <c r="C679" s="15"/>
      <c r="D679" s="19"/>
      <c r="E679" s="20" t="b">
        <f aca="false">AND(A679&lt;&gt;"",C679&lt;&gt;"",D679&lt;&gt;"",C679&gt;='Read Me'!$B$5)</f>
        <v>0</v>
      </c>
      <c r="F679" s="23" t="str">
        <f aca="false">IF(E679,D679,"")</f>
        <v/>
      </c>
      <c r="G679" s="21" t="n">
        <f aca="false">IF(E679,D679^2,0)</f>
        <v>0</v>
      </c>
      <c r="H679" s="3"/>
    </row>
    <row r="680" customFormat="false" ht="15" hidden="false" customHeight="true" outlineLevel="0" collapsed="false">
      <c r="A680" s="16"/>
      <c r="B680" s="16"/>
      <c r="C680" s="15"/>
      <c r="D680" s="19"/>
      <c r="E680" s="20" t="b">
        <f aca="false">AND(A680&lt;&gt;"",C680&lt;&gt;"",D680&lt;&gt;"",C680&gt;='Read Me'!$B$5)</f>
        <v>0</v>
      </c>
      <c r="F680" s="23" t="str">
        <f aca="false">IF(E680,D680,"")</f>
        <v/>
      </c>
      <c r="G680" s="21" t="n">
        <f aca="false">IF(E680,D680^2,0)</f>
        <v>0</v>
      </c>
      <c r="H680" s="3"/>
    </row>
    <row r="681" customFormat="false" ht="15" hidden="false" customHeight="true" outlineLevel="0" collapsed="false">
      <c r="A681" s="16"/>
      <c r="B681" s="16"/>
      <c r="C681" s="15"/>
      <c r="D681" s="19"/>
      <c r="E681" s="20" t="b">
        <f aca="false">AND(A681&lt;&gt;"",C681&lt;&gt;"",D681&lt;&gt;"",C681&gt;='Read Me'!$B$5)</f>
        <v>0</v>
      </c>
      <c r="F681" s="23" t="str">
        <f aca="false">IF(E681,D681,"")</f>
        <v/>
      </c>
      <c r="G681" s="21" t="n">
        <f aca="false">IF(E681,D681^2,0)</f>
        <v>0</v>
      </c>
      <c r="H681" s="3"/>
    </row>
    <row r="682" customFormat="false" ht="15" hidden="false" customHeight="true" outlineLevel="0" collapsed="false">
      <c r="A682" s="16"/>
      <c r="B682" s="16"/>
      <c r="C682" s="15"/>
      <c r="D682" s="19"/>
      <c r="E682" s="20" t="b">
        <f aca="false">AND(A682&lt;&gt;"",C682&lt;&gt;"",D682&lt;&gt;"",C682&gt;='Read Me'!$B$5)</f>
        <v>0</v>
      </c>
      <c r="F682" s="23" t="str">
        <f aca="false">IF(E682,D682,"")</f>
        <v/>
      </c>
      <c r="G682" s="21" t="n">
        <f aca="false">IF(E682,D682^2,0)</f>
        <v>0</v>
      </c>
      <c r="H682" s="3"/>
    </row>
    <row r="683" customFormat="false" ht="15" hidden="false" customHeight="true" outlineLevel="0" collapsed="false">
      <c r="A683" s="16"/>
      <c r="B683" s="16"/>
      <c r="C683" s="15"/>
      <c r="D683" s="19"/>
      <c r="E683" s="20" t="b">
        <f aca="false">AND(A683&lt;&gt;"",C683&lt;&gt;"",D683&lt;&gt;"",C683&gt;='Read Me'!$B$5)</f>
        <v>0</v>
      </c>
      <c r="F683" s="23" t="str">
        <f aca="false">IF(E683,D683,"")</f>
        <v/>
      </c>
      <c r="G683" s="21" t="n">
        <f aca="false">IF(E683,D683^2,0)</f>
        <v>0</v>
      </c>
      <c r="H683" s="3"/>
    </row>
    <row r="684" customFormat="false" ht="15" hidden="false" customHeight="true" outlineLevel="0" collapsed="false">
      <c r="A684" s="16"/>
      <c r="B684" s="16"/>
      <c r="C684" s="15"/>
      <c r="D684" s="19"/>
      <c r="E684" s="20" t="b">
        <f aca="false">AND(A684&lt;&gt;"",C684&lt;&gt;"",D684&lt;&gt;"",C684&gt;='Read Me'!$B$5)</f>
        <v>0</v>
      </c>
      <c r="F684" s="23" t="str">
        <f aca="false">IF(E684,D684,"")</f>
        <v/>
      </c>
      <c r="G684" s="21" t="n">
        <f aca="false">IF(E684,D684^2,0)</f>
        <v>0</v>
      </c>
      <c r="H684" s="3"/>
    </row>
    <row r="685" customFormat="false" ht="15" hidden="false" customHeight="true" outlineLevel="0" collapsed="false">
      <c r="A685" s="16"/>
      <c r="B685" s="16"/>
      <c r="C685" s="15"/>
      <c r="D685" s="19"/>
      <c r="E685" s="20" t="b">
        <f aca="false">AND(A685&lt;&gt;"",C685&lt;&gt;"",D685&lt;&gt;"",C685&gt;='Read Me'!$B$5)</f>
        <v>0</v>
      </c>
      <c r="F685" s="23" t="str">
        <f aca="false">IF(E685,D685,"")</f>
        <v/>
      </c>
      <c r="G685" s="21" t="n">
        <f aca="false">IF(E685,D685^2,0)</f>
        <v>0</v>
      </c>
      <c r="H685" s="3"/>
    </row>
    <row r="686" customFormat="false" ht="15" hidden="false" customHeight="true" outlineLevel="0" collapsed="false">
      <c r="A686" s="16"/>
      <c r="B686" s="16"/>
      <c r="C686" s="15"/>
      <c r="D686" s="19"/>
      <c r="E686" s="20" t="b">
        <f aca="false">AND(A686&lt;&gt;"",C686&lt;&gt;"",D686&lt;&gt;"",C686&gt;='Read Me'!$B$5)</f>
        <v>0</v>
      </c>
      <c r="F686" s="23" t="str">
        <f aca="false">IF(E686,D686,"")</f>
        <v/>
      </c>
      <c r="G686" s="21" t="n">
        <f aca="false">IF(E686,D686^2,0)</f>
        <v>0</v>
      </c>
      <c r="H686" s="3"/>
    </row>
    <row r="687" customFormat="false" ht="15" hidden="false" customHeight="true" outlineLevel="0" collapsed="false">
      <c r="A687" s="16"/>
      <c r="B687" s="16"/>
      <c r="C687" s="15"/>
      <c r="D687" s="19"/>
      <c r="E687" s="20" t="b">
        <f aca="false">AND(A687&lt;&gt;"",C687&lt;&gt;"",D687&lt;&gt;"",C687&gt;='Read Me'!$B$5)</f>
        <v>0</v>
      </c>
      <c r="F687" s="23" t="str">
        <f aca="false">IF(E687,D687,"")</f>
        <v/>
      </c>
      <c r="G687" s="21" t="n">
        <f aca="false">IF(E687,D687^2,0)</f>
        <v>0</v>
      </c>
      <c r="H687" s="3"/>
    </row>
    <row r="688" customFormat="false" ht="15" hidden="false" customHeight="true" outlineLevel="0" collapsed="false">
      <c r="A688" s="16"/>
      <c r="B688" s="16"/>
      <c r="C688" s="15"/>
      <c r="D688" s="19"/>
      <c r="E688" s="20" t="b">
        <f aca="false">AND(A688&lt;&gt;"",C688&lt;&gt;"",D688&lt;&gt;"",C688&gt;='Read Me'!$B$5)</f>
        <v>0</v>
      </c>
      <c r="F688" s="23" t="str">
        <f aca="false">IF(E688,D688,"")</f>
        <v/>
      </c>
      <c r="G688" s="21" t="n">
        <f aca="false">IF(E688,D688^2,0)</f>
        <v>0</v>
      </c>
      <c r="H688" s="3"/>
    </row>
    <row r="689" customFormat="false" ht="15" hidden="false" customHeight="true" outlineLevel="0" collapsed="false">
      <c r="A689" s="16"/>
      <c r="B689" s="16"/>
      <c r="C689" s="15"/>
      <c r="D689" s="19"/>
      <c r="E689" s="20" t="b">
        <f aca="false">AND(A689&lt;&gt;"",C689&lt;&gt;"",D689&lt;&gt;"",C689&gt;='Read Me'!$B$5)</f>
        <v>0</v>
      </c>
      <c r="F689" s="23" t="str">
        <f aca="false">IF(E689,D689,"")</f>
        <v/>
      </c>
      <c r="G689" s="21" t="n">
        <f aca="false">IF(E689,D689^2,0)</f>
        <v>0</v>
      </c>
      <c r="H689" s="3"/>
    </row>
    <row r="690" customFormat="false" ht="15" hidden="false" customHeight="true" outlineLevel="0" collapsed="false">
      <c r="A690" s="16"/>
      <c r="B690" s="16"/>
      <c r="C690" s="15"/>
      <c r="D690" s="19"/>
      <c r="E690" s="20" t="b">
        <f aca="false">AND(A690&lt;&gt;"",C690&lt;&gt;"",D690&lt;&gt;"",C690&gt;='Read Me'!$B$5)</f>
        <v>0</v>
      </c>
      <c r="F690" s="23" t="str">
        <f aca="false">IF(E690,D690,"")</f>
        <v/>
      </c>
      <c r="G690" s="21" t="n">
        <f aca="false">IF(E690,D690^2,0)</f>
        <v>0</v>
      </c>
      <c r="H690" s="3"/>
    </row>
    <row r="691" customFormat="false" ht="15" hidden="false" customHeight="true" outlineLevel="0" collapsed="false">
      <c r="A691" s="16"/>
      <c r="B691" s="16"/>
      <c r="C691" s="15"/>
      <c r="D691" s="19"/>
      <c r="E691" s="20" t="b">
        <f aca="false">AND(A691&lt;&gt;"",C691&lt;&gt;"",D691&lt;&gt;"",C691&gt;='Read Me'!$B$5)</f>
        <v>0</v>
      </c>
      <c r="F691" s="23" t="str">
        <f aca="false">IF(E691,D691,"")</f>
        <v/>
      </c>
      <c r="G691" s="21" t="n">
        <f aca="false">IF(E691,D691^2,0)</f>
        <v>0</v>
      </c>
      <c r="H691" s="3"/>
    </row>
    <row r="692" customFormat="false" ht="15" hidden="false" customHeight="true" outlineLevel="0" collapsed="false">
      <c r="A692" s="16"/>
      <c r="B692" s="16"/>
      <c r="C692" s="15"/>
      <c r="D692" s="19"/>
      <c r="E692" s="20" t="b">
        <f aca="false">AND(A692&lt;&gt;"",C692&lt;&gt;"",D692&lt;&gt;"",C692&gt;='Read Me'!$B$5)</f>
        <v>0</v>
      </c>
      <c r="F692" s="23" t="str">
        <f aca="false">IF(E692,D692,"")</f>
        <v/>
      </c>
      <c r="G692" s="21" t="n">
        <f aca="false">IF(E692,D692^2,0)</f>
        <v>0</v>
      </c>
      <c r="H692" s="3"/>
    </row>
    <row r="693" customFormat="false" ht="15" hidden="false" customHeight="true" outlineLevel="0" collapsed="false">
      <c r="A693" s="16"/>
      <c r="B693" s="16"/>
      <c r="C693" s="15"/>
      <c r="D693" s="19"/>
      <c r="E693" s="20" t="b">
        <f aca="false">AND(A693&lt;&gt;"",C693&lt;&gt;"",D693&lt;&gt;"",C693&gt;='Read Me'!$B$5)</f>
        <v>0</v>
      </c>
      <c r="F693" s="23" t="str">
        <f aca="false">IF(E693,D693,"")</f>
        <v/>
      </c>
      <c r="G693" s="21" t="n">
        <f aca="false">IF(E693,D693^2,0)</f>
        <v>0</v>
      </c>
      <c r="H693" s="3"/>
    </row>
    <row r="694" customFormat="false" ht="15" hidden="false" customHeight="true" outlineLevel="0" collapsed="false">
      <c r="A694" s="16"/>
      <c r="B694" s="16"/>
      <c r="C694" s="15"/>
      <c r="D694" s="19"/>
      <c r="E694" s="20" t="b">
        <f aca="false">AND(A694&lt;&gt;"",C694&lt;&gt;"",D694&lt;&gt;"",C694&gt;='Read Me'!$B$5)</f>
        <v>0</v>
      </c>
      <c r="F694" s="23" t="str">
        <f aca="false">IF(E694,D694,"")</f>
        <v/>
      </c>
      <c r="G694" s="21" t="n">
        <f aca="false">IF(E694,D694^2,0)</f>
        <v>0</v>
      </c>
      <c r="H694" s="3"/>
    </row>
    <row r="695" customFormat="false" ht="15" hidden="false" customHeight="true" outlineLevel="0" collapsed="false">
      <c r="A695" s="16"/>
      <c r="B695" s="16"/>
      <c r="C695" s="15"/>
      <c r="D695" s="19"/>
      <c r="E695" s="20" t="b">
        <f aca="false">AND(A695&lt;&gt;"",C695&lt;&gt;"",D695&lt;&gt;"",C695&gt;='Read Me'!$B$5)</f>
        <v>0</v>
      </c>
      <c r="F695" s="23" t="str">
        <f aca="false">IF(E695,D695,"")</f>
        <v/>
      </c>
      <c r="G695" s="21" t="n">
        <f aca="false">IF(E695,D695^2,0)</f>
        <v>0</v>
      </c>
      <c r="H695" s="3"/>
    </row>
    <row r="696" customFormat="false" ht="15" hidden="false" customHeight="true" outlineLevel="0" collapsed="false">
      <c r="A696" s="16"/>
      <c r="B696" s="16"/>
      <c r="C696" s="15"/>
      <c r="D696" s="19"/>
      <c r="E696" s="20" t="b">
        <f aca="false">AND(A696&lt;&gt;"",C696&lt;&gt;"",D696&lt;&gt;"",C696&gt;='Read Me'!$B$5)</f>
        <v>0</v>
      </c>
      <c r="F696" s="23" t="str">
        <f aca="false">IF(E696,D696,"")</f>
        <v/>
      </c>
      <c r="G696" s="21" t="n">
        <f aca="false">IF(E696,D696^2,0)</f>
        <v>0</v>
      </c>
      <c r="H696" s="3"/>
    </row>
    <row r="697" customFormat="false" ht="15" hidden="false" customHeight="true" outlineLevel="0" collapsed="false">
      <c r="A697" s="16"/>
      <c r="B697" s="16"/>
      <c r="C697" s="15"/>
      <c r="D697" s="19"/>
      <c r="E697" s="20" t="b">
        <f aca="false">AND(A697&lt;&gt;"",C697&lt;&gt;"",D697&lt;&gt;"",C697&gt;='Read Me'!$B$5)</f>
        <v>0</v>
      </c>
      <c r="F697" s="23" t="str">
        <f aca="false">IF(E697,D697,"")</f>
        <v/>
      </c>
      <c r="G697" s="21" t="n">
        <f aca="false">IF(E697,D697^2,0)</f>
        <v>0</v>
      </c>
      <c r="H697" s="3"/>
    </row>
    <row r="698" customFormat="false" ht="15" hidden="false" customHeight="true" outlineLevel="0" collapsed="false">
      <c r="A698" s="16"/>
      <c r="B698" s="16"/>
      <c r="C698" s="15"/>
      <c r="D698" s="19"/>
      <c r="E698" s="20" t="b">
        <f aca="false">AND(A698&lt;&gt;"",C698&lt;&gt;"",D698&lt;&gt;"",C698&gt;='Read Me'!$B$5)</f>
        <v>0</v>
      </c>
      <c r="F698" s="23" t="str">
        <f aca="false">IF(E698,D698,"")</f>
        <v/>
      </c>
      <c r="G698" s="21" t="n">
        <f aca="false">IF(E698,D698^2,0)</f>
        <v>0</v>
      </c>
      <c r="H698" s="3"/>
    </row>
    <row r="699" customFormat="false" ht="15" hidden="false" customHeight="true" outlineLevel="0" collapsed="false">
      <c r="A699" s="16"/>
      <c r="B699" s="16"/>
      <c r="C699" s="15"/>
      <c r="D699" s="19"/>
      <c r="E699" s="20" t="b">
        <f aca="false">AND(A699&lt;&gt;"",C699&lt;&gt;"",D699&lt;&gt;"",C699&gt;='Read Me'!$B$5)</f>
        <v>0</v>
      </c>
      <c r="F699" s="23" t="str">
        <f aca="false">IF(E699,D699,"")</f>
        <v/>
      </c>
      <c r="G699" s="21" t="n">
        <f aca="false">IF(E699,D699^2,0)</f>
        <v>0</v>
      </c>
      <c r="H699" s="3"/>
    </row>
    <row r="700" customFormat="false" ht="15" hidden="false" customHeight="true" outlineLevel="0" collapsed="false">
      <c r="A700" s="16"/>
      <c r="B700" s="16"/>
      <c r="C700" s="15"/>
      <c r="D700" s="19"/>
      <c r="E700" s="20" t="b">
        <f aca="false">AND(A700&lt;&gt;"",C700&lt;&gt;"",D700&lt;&gt;"",C700&gt;='Read Me'!$B$5)</f>
        <v>0</v>
      </c>
      <c r="F700" s="23" t="str">
        <f aca="false">IF(E700,D700,"")</f>
        <v/>
      </c>
      <c r="G700" s="21" t="n">
        <f aca="false">IF(E700,D700^2,0)</f>
        <v>0</v>
      </c>
      <c r="H700" s="3"/>
    </row>
    <row r="701" customFormat="false" ht="15" hidden="false" customHeight="true" outlineLevel="0" collapsed="false">
      <c r="A701" s="16"/>
      <c r="B701" s="16"/>
      <c r="C701" s="15"/>
      <c r="D701" s="19"/>
      <c r="E701" s="20" t="b">
        <f aca="false">AND(A701&lt;&gt;"",C701&lt;&gt;"",D701&lt;&gt;"",C701&gt;='Read Me'!$B$5)</f>
        <v>0</v>
      </c>
      <c r="F701" s="23" t="str">
        <f aca="false">IF(E701,D701,"")</f>
        <v/>
      </c>
      <c r="G701" s="21" t="n">
        <f aca="false">IF(E701,D701^2,0)</f>
        <v>0</v>
      </c>
      <c r="H701" s="3"/>
    </row>
    <row r="702" customFormat="false" ht="15" hidden="false" customHeight="true" outlineLevel="0" collapsed="false">
      <c r="A702" s="16"/>
      <c r="B702" s="16"/>
      <c r="C702" s="15"/>
      <c r="D702" s="19"/>
      <c r="E702" s="20" t="b">
        <f aca="false">AND(A702&lt;&gt;"",C702&lt;&gt;"",D702&lt;&gt;"",C702&gt;='Read Me'!$B$5)</f>
        <v>0</v>
      </c>
      <c r="F702" s="23" t="str">
        <f aca="false">IF(E702,D702,"")</f>
        <v/>
      </c>
      <c r="G702" s="21" t="n">
        <f aca="false">IF(E702,D702^2,0)</f>
        <v>0</v>
      </c>
      <c r="H702" s="3"/>
    </row>
    <row r="703" customFormat="false" ht="15" hidden="false" customHeight="true" outlineLevel="0" collapsed="false">
      <c r="A703" s="16"/>
      <c r="B703" s="16"/>
      <c r="C703" s="15"/>
      <c r="D703" s="19"/>
      <c r="E703" s="20" t="b">
        <f aca="false">AND(A703&lt;&gt;"",C703&lt;&gt;"",D703&lt;&gt;"",C703&gt;='Read Me'!$B$5)</f>
        <v>0</v>
      </c>
      <c r="F703" s="23" t="str">
        <f aca="false">IF(E703,D703,"")</f>
        <v/>
      </c>
      <c r="G703" s="21" t="n">
        <f aca="false">IF(E703,D703^2,0)</f>
        <v>0</v>
      </c>
      <c r="H703" s="3"/>
    </row>
    <row r="704" customFormat="false" ht="15" hidden="false" customHeight="true" outlineLevel="0" collapsed="false">
      <c r="A704" s="16"/>
      <c r="B704" s="16"/>
      <c r="C704" s="15"/>
      <c r="D704" s="19"/>
      <c r="E704" s="20" t="b">
        <f aca="false">AND(A704&lt;&gt;"",C704&lt;&gt;"",D704&lt;&gt;"",C704&gt;='Read Me'!$B$5)</f>
        <v>0</v>
      </c>
      <c r="F704" s="23" t="str">
        <f aca="false">IF(E704,D704,"")</f>
        <v/>
      </c>
      <c r="G704" s="21" t="n">
        <f aca="false">IF(E704,D704^2,0)</f>
        <v>0</v>
      </c>
      <c r="H704" s="3"/>
    </row>
    <row r="705" customFormat="false" ht="15" hidden="false" customHeight="true" outlineLevel="0" collapsed="false">
      <c r="A705" s="16"/>
      <c r="B705" s="16"/>
      <c r="C705" s="15"/>
      <c r="D705" s="19"/>
      <c r="E705" s="20" t="b">
        <f aca="false">AND(A705&lt;&gt;"",C705&lt;&gt;"",D705&lt;&gt;"",C705&gt;='Read Me'!$B$5)</f>
        <v>0</v>
      </c>
      <c r="F705" s="23" t="str">
        <f aca="false">IF(E705,D705,"")</f>
        <v/>
      </c>
      <c r="G705" s="21" t="n">
        <f aca="false">IF(E705,D705^2,0)</f>
        <v>0</v>
      </c>
      <c r="H705" s="3"/>
    </row>
    <row r="706" customFormat="false" ht="15" hidden="false" customHeight="true" outlineLevel="0" collapsed="false">
      <c r="A706" s="16"/>
      <c r="B706" s="16"/>
      <c r="C706" s="15"/>
      <c r="D706" s="19"/>
      <c r="E706" s="20" t="b">
        <f aca="false">AND(A706&lt;&gt;"",C706&lt;&gt;"",D706&lt;&gt;"",C706&gt;='Read Me'!$B$5)</f>
        <v>0</v>
      </c>
      <c r="F706" s="23" t="str">
        <f aca="false">IF(E706,D706,"")</f>
        <v/>
      </c>
      <c r="G706" s="21" t="n">
        <f aca="false">IF(E706,D706^2,0)</f>
        <v>0</v>
      </c>
      <c r="H706" s="3"/>
    </row>
    <row r="707" customFormat="false" ht="15" hidden="false" customHeight="true" outlineLevel="0" collapsed="false">
      <c r="A707" s="16"/>
      <c r="B707" s="16"/>
      <c r="C707" s="15"/>
      <c r="D707" s="19"/>
      <c r="E707" s="20" t="b">
        <f aca="false">AND(A707&lt;&gt;"",C707&lt;&gt;"",D707&lt;&gt;"",C707&gt;='Read Me'!$B$5)</f>
        <v>0</v>
      </c>
      <c r="F707" s="23" t="str">
        <f aca="false">IF(E707,D707,"")</f>
        <v/>
      </c>
      <c r="G707" s="21" t="n">
        <f aca="false">IF(E707,D707^2,0)</f>
        <v>0</v>
      </c>
      <c r="H707" s="3"/>
    </row>
    <row r="708" customFormat="false" ht="15" hidden="false" customHeight="true" outlineLevel="0" collapsed="false">
      <c r="A708" s="16"/>
      <c r="B708" s="16"/>
      <c r="C708" s="15"/>
      <c r="D708" s="19"/>
      <c r="E708" s="20" t="b">
        <f aca="false">AND(A708&lt;&gt;"",C708&lt;&gt;"",D708&lt;&gt;"",C708&gt;='Read Me'!$B$5)</f>
        <v>0</v>
      </c>
      <c r="F708" s="23" t="str">
        <f aca="false">IF(E708,D708,"")</f>
        <v/>
      </c>
      <c r="G708" s="21" t="n">
        <f aca="false">IF(E708,D708^2,0)</f>
        <v>0</v>
      </c>
      <c r="H708" s="3"/>
    </row>
    <row r="709" customFormat="false" ht="15" hidden="false" customHeight="true" outlineLevel="0" collapsed="false">
      <c r="A709" s="16"/>
      <c r="B709" s="16"/>
      <c r="C709" s="15"/>
      <c r="D709" s="19"/>
      <c r="E709" s="20" t="b">
        <f aca="false">AND(A709&lt;&gt;"",C709&lt;&gt;"",D709&lt;&gt;"",C709&gt;='Read Me'!$B$5)</f>
        <v>0</v>
      </c>
      <c r="F709" s="23" t="str">
        <f aca="false">IF(E709,D709,"")</f>
        <v/>
      </c>
      <c r="G709" s="21" t="n">
        <f aca="false">IF(E709,D709^2,0)</f>
        <v>0</v>
      </c>
      <c r="H709" s="3"/>
    </row>
    <row r="710" customFormat="false" ht="15" hidden="false" customHeight="true" outlineLevel="0" collapsed="false">
      <c r="A710" s="16"/>
      <c r="B710" s="16"/>
      <c r="C710" s="15"/>
      <c r="D710" s="19"/>
      <c r="E710" s="20" t="b">
        <f aca="false">AND(A710&lt;&gt;"",C710&lt;&gt;"",D710&lt;&gt;"",C710&gt;='Read Me'!$B$5)</f>
        <v>0</v>
      </c>
      <c r="F710" s="23" t="str">
        <f aca="false">IF(E710,D710,"")</f>
        <v/>
      </c>
      <c r="G710" s="21" t="n">
        <f aca="false">IF(E710,D710^2,0)</f>
        <v>0</v>
      </c>
      <c r="H710" s="3"/>
    </row>
    <row r="711" customFormat="false" ht="15" hidden="false" customHeight="true" outlineLevel="0" collapsed="false">
      <c r="A711" s="16"/>
      <c r="B711" s="16"/>
      <c r="C711" s="15"/>
      <c r="D711" s="19"/>
      <c r="E711" s="20" t="b">
        <f aca="false">AND(A711&lt;&gt;"",C711&lt;&gt;"",D711&lt;&gt;"",C711&gt;='Read Me'!$B$5)</f>
        <v>0</v>
      </c>
      <c r="F711" s="23" t="str">
        <f aca="false">IF(E711,D711,"")</f>
        <v/>
      </c>
      <c r="G711" s="21" t="n">
        <f aca="false">IF(E711,D711^2,0)</f>
        <v>0</v>
      </c>
      <c r="H711" s="3"/>
    </row>
    <row r="712" customFormat="false" ht="15" hidden="false" customHeight="true" outlineLevel="0" collapsed="false">
      <c r="A712" s="16"/>
      <c r="B712" s="16"/>
      <c r="C712" s="15"/>
      <c r="D712" s="19"/>
      <c r="E712" s="20" t="b">
        <f aca="false">AND(A712&lt;&gt;"",C712&lt;&gt;"",D712&lt;&gt;"",C712&gt;='Read Me'!$B$5)</f>
        <v>0</v>
      </c>
      <c r="F712" s="23" t="str">
        <f aca="false">IF(E712,D712,"")</f>
        <v/>
      </c>
      <c r="G712" s="21" t="n">
        <f aca="false">IF(E712,D712^2,0)</f>
        <v>0</v>
      </c>
      <c r="H712" s="3"/>
    </row>
    <row r="713" customFormat="false" ht="15" hidden="false" customHeight="true" outlineLevel="0" collapsed="false">
      <c r="A713" s="16"/>
      <c r="B713" s="16"/>
      <c r="C713" s="15"/>
      <c r="D713" s="19"/>
      <c r="E713" s="20" t="b">
        <f aca="false">AND(A713&lt;&gt;"",C713&lt;&gt;"",D713&lt;&gt;"",C713&gt;='Read Me'!$B$5)</f>
        <v>0</v>
      </c>
      <c r="F713" s="23" t="str">
        <f aca="false">IF(E713,D713,"")</f>
        <v/>
      </c>
      <c r="G713" s="21" t="n">
        <f aca="false">IF(E713,D713^2,0)</f>
        <v>0</v>
      </c>
      <c r="H713" s="3"/>
    </row>
    <row r="714" customFormat="false" ht="15" hidden="false" customHeight="true" outlineLevel="0" collapsed="false">
      <c r="A714" s="16"/>
      <c r="B714" s="16"/>
      <c r="C714" s="15"/>
      <c r="D714" s="19"/>
      <c r="E714" s="20" t="b">
        <f aca="false">AND(A714&lt;&gt;"",C714&lt;&gt;"",D714&lt;&gt;"",C714&gt;='Read Me'!$B$5)</f>
        <v>0</v>
      </c>
      <c r="F714" s="23" t="str">
        <f aca="false">IF(E714,D714,"")</f>
        <v/>
      </c>
      <c r="G714" s="21" t="n">
        <f aca="false">IF(E714,D714^2,0)</f>
        <v>0</v>
      </c>
      <c r="H714" s="3"/>
    </row>
    <row r="715" customFormat="false" ht="15" hidden="false" customHeight="true" outlineLevel="0" collapsed="false">
      <c r="A715" s="16"/>
      <c r="B715" s="16"/>
      <c r="C715" s="15"/>
      <c r="D715" s="19"/>
      <c r="E715" s="20" t="b">
        <f aca="false">AND(A715&lt;&gt;"",C715&lt;&gt;"",D715&lt;&gt;"",C715&gt;='Read Me'!$B$5)</f>
        <v>0</v>
      </c>
      <c r="F715" s="23" t="str">
        <f aca="false">IF(E715,D715,"")</f>
        <v/>
      </c>
      <c r="G715" s="21" t="n">
        <f aca="false">IF(E715,D715^2,0)</f>
        <v>0</v>
      </c>
      <c r="H715" s="3"/>
    </row>
    <row r="716" customFormat="false" ht="15" hidden="false" customHeight="true" outlineLevel="0" collapsed="false">
      <c r="A716" s="16"/>
      <c r="B716" s="16"/>
      <c r="C716" s="15"/>
      <c r="D716" s="19"/>
      <c r="E716" s="20" t="b">
        <f aca="false">AND(A716&lt;&gt;"",C716&lt;&gt;"",D716&lt;&gt;"",C716&gt;='Read Me'!$B$5)</f>
        <v>0</v>
      </c>
      <c r="F716" s="23" t="str">
        <f aca="false">IF(E716,D716,"")</f>
        <v/>
      </c>
      <c r="G716" s="21" t="n">
        <f aca="false">IF(E716,D716^2,0)</f>
        <v>0</v>
      </c>
      <c r="H716" s="3"/>
    </row>
    <row r="717" customFormat="false" ht="15" hidden="false" customHeight="true" outlineLevel="0" collapsed="false">
      <c r="A717" s="16"/>
      <c r="B717" s="16"/>
      <c r="C717" s="15"/>
      <c r="D717" s="19"/>
      <c r="E717" s="20" t="b">
        <f aca="false">AND(A717&lt;&gt;"",C717&lt;&gt;"",D717&lt;&gt;"",C717&gt;='Read Me'!$B$5)</f>
        <v>0</v>
      </c>
      <c r="F717" s="23" t="str">
        <f aca="false">IF(E717,D717,"")</f>
        <v/>
      </c>
      <c r="G717" s="21" t="n">
        <f aca="false">IF(E717,D717^2,0)</f>
        <v>0</v>
      </c>
      <c r="H717" s="3"/>
    </row>
    <row r="718" customFormat="false" ht="15" hidden="false" customHeight="true" outlineLevel="0" collapsed="false">
      <c r="A718" s="16"/>
      <c r="B718" s="16"/>
      <c r="C718" s="15"/>
      <c r="D718" s="19"/>
      <c r="E718" s="20" t="b">
        <f aca="false">AND(A718&lt;&gt;"",C718&lt;&gt;"",D718&lt;&gt;"",C718&gt;='Read Me'!$B$5)</f>
        <v>0</v>
      </c>
      <c r="F718" s="23" t="str">
        <f aca="false">IF(E718,D718,"")</f>
        <v/>
      </c>
      <c r="G718" s="21" t="n">
        <f aca="false">IF(E718,D718^2,0)</f>
        <v>0</v>
      </c>
      <c r="H718" s="3"/>
    </row>
    <row r="719" customFormat="false" ht="15" hidden="false" customHeight="true" outlineLevel="0" collapsed="false">
      <c r="A719" s="16"/>
      <c r="B719" s="16"/>
      <c r="C719" s="15"/>
      <c r="D719" s="19"/>
      <c r="E719" s="20" t="b">
        <f aca="false">AND(A719&lt;&gt;"",C719&lt;&gt;"",D719&lt;&gt;"",C719&gt;='Read Me'!$B$5)</f>
        <v>0</v>
      </c>
      <c r="F719" s="23" t="str">
        <f aca="false">IF(E719,D719,"")</f>
        <v/>
      </c>
      <c r="G719" s="21" t="n">
        <f aca="false">IF(E719,D719^2,0)</f>
        <v>0</v>
      </c>
      <c r="H719" s="3"/>
    </row>
    <row r="720" customFormat="false" ht="15" hidden="false" customHeight="true" outlineLevel="0" collapsed="false">
      <c r="A720" s="16"/>
      <c r="B720" s="16"/>
      <c r="C720" s="15"/>
      <c r="D720" s="19"/>
      <c r="E720" s="20" t="b">
        <f aca="false">AND(A720&lt;&gt;"",C720&lt;&gt;"",D720&lt;&gt;"",C720&gt;='Read Me'!$B$5)</f>
        <v>0</v>
      </c>
      <c r="F720" s="23" t="str">
        <f aca="false">IF(E720,D720,"")</f>
        <v/>
      </c>
      <c r="G720" s="21" t="n">
        <f aca="false">IF(E720,D720^2,0)</f>
        <v>0</v>
      </c>
      <c r="H720" s="3"/>
    </row>
    <row r="721" customFormat="false" ht="15" hidden="false" customHeight="true" outlineLevel="0" collapsed="false">
      <c r="A721" s="16"/>
      <c r="B721" s="16"/>
      <c r="C721" s="15"/>
      <c r="D721" s="19"/>
      <c r="E721" s="20" t="b">
        <f aca="false">AND(A721&lt;&gt;"",C721&lt;&gt;"",D721&lt;&gt;"",C721&gt;='Read Me'!$B$5)</f>
        <v>0</v>
      </c>
      <c r="F721" s="23" t="str">
        <f aca="false">IF(E721,D721,"")</f>
        <v/>
      </c>
      <c r="G721" s="21" t="n">
        <f aca="false">IF(E721,D721^2,0)</f>
        <v>0</v>
      </c>
      <c r="H721" s="3"/>
    </row>
    <row r="722" customFormat="false" ht="15" hidden="false" customHeight="true" outlineLevel="0" collapsed="false">
      <c r="A722" s="16"/>
      <c r="B722" s="16"/>
      <c r="C722" s="15"/>
      <c r="D722" s="19"/>
      <c r="E722" s="20" t="b">
        <f aca="false">AND(A722&lt;&gt;"",C722&lt;&gt;"",D722&lt;&gt;"",C722&gt;='Read Me'!$B$5)</f>
        <v>0</v>
      </c>
      <c r="F722" s="23" t="str">
        <f aca="false">IF(E722,D722,"")</f>
        <v/>
      </c>
      <c r="G722" s="21" t="n">
        <f aca="false">IF(E722,D722^2,0)</f>
        <v>0</v>
      </c>
      <c r="H722" s="3"/>
    </row>
    <row r="723" customFormat="false" ht="15" hidden="false" customHeight="true" outlineLevel="0" collapsed="false">
      <c r="A723" s="16"/>
      <c r="B723" s="16"/>
      <c r="C723" s="15"/>
      <c r="D723" s="19"/>
      <c r="E723" s="20" t="b">
        <f aca="false">AND(A723&lt;&gt;"",C723&lt;&gt;"",D723&lt;&gt;"",C723&gt;='Read Me'!$B$5)</f>
        <v>0</v>
      </c>
      <c r="F723" s="23" t="str">
        <f aca="false">IF(E723,D723,"")</f>
        <v/>
      </c>
      <c r="G723" s="21" t="n">
        <f aca="false">IF(E723,D723^2,0)</f>
        <v>0</v>
      </c>
      <c r="H723" s="3"/>
    </row>
    <row r="724" customFormat="false" ht="15" hidden="false" customHeight="true" outlineLevel="0" collapsed="false">
      <c r="A724" s="16"/>
      <c r="B724" s="16"/>
      <c r="C724" s="15"/>
      <c r="D724" s="19"/>
      <c r="E724" s="20" t="b">
        <f aca="false">AND(A724&lt;&gt;"",C724&lt;&gt;"",D724&lt;&gt;"",C724&gt;='Read Me'!$B$5)</f>
        <v>0</v>
      </c>
      <c r="F724" s="23" t="str">
        <f aca="false">IF(E724,D724,"")</f>
        <v/>
      </c>
      <c r="G724" s="21" t="n">
        <f aca="false">IF(E724,D724^2,0)</f>
        <v>0</v>
      </c>
      <c r="H724" s="3"/>
    </row>
    <row r="725" customFormat="false" ht="15" hidden="false" customHeight="true" outlineLevel="0" collapsed="false">
      <c r="A725" s="16"/>
      <c r="B725" s="16"/>
      <c r="C725" s="15"/>
      <c r="D725" s="19"/>
      <c r="E725" s="20" t="b">
        <f aca="false">AND(A725&lt;&gt;"",C725&lt;&gt;"",D725&lt;&gt;"",C725&gt;='Read Me'!$B$5)</f>
        <v>0</v>
      </c>
      <c r="F725" s="23" t="str">
        <f aca="false">IF(E725,D725,"")</f>
        <v/>
      </c>
      <c r="G725" s="21" t="n">
        <f aca="false">IF(E725,D725^2,0)</f>
        <v>0</v>
      </c>
      <c r="H725" s="3"/>
    </row>
    <row r="726" customFormat="false" ht="15" hidden="false" customHeight="true" outlineLevel="0" collapsed="false">
      <c r="A726" s="16"/>
      <c r="B726" s="16"/>
      <c r="C726" s="15"/>
      <c r="D726" s="19"/>
      <c r="E726" s="20" t="b">
        <f aca="false">AND(A726&lt;&gt;"",C726&lt;&gt;"",D726&lt;&gt;"",C726&gt;='Read Me'!$B$5)</f>
        <v>0</v>
      </c>
      <c r="F726" s="23" t="str">
        <f aca="false">IF(E726,D726,"")</f>
        <v/>
      </c>
      <c r="G726" s="21" t="n">
        <f aca="false">IF(E726,D726^2,0)</f>
        <v>0</v>
      </c>
      <c r="H726" s="3"/>
    </row>
    <row r="727" customFormat="false" ht="15" hidden="false" customHeight="true" outlineLevel="0" collapsed="false">
      <c r="A727" s="16"/>
      <c r="B727" s="16"/>
      <c r="C727" s="15"/>
      <c r="D727" s="19"/>
      <c r="E727" s="20" t="b">
        <f aca="false">AND(A727&lt;&gt;"",C727&lt;&gt;"",D727&lt;&gt;"",C727&gt;='Read Me'!$B$5)</f>
        <v>0</v>
      </c>
      <c r="F727" s="23" t="str">
        <f aca="false">IF(E727,D727,"")</f>
        <v/>
      </c>
      <c r="G727" s="21" t="n">
        <f aca="false">IF(E727,D727^2,0)</f>
        <v>0</v>
      </c>
      <c r="H727" s="3"/>
    </row>
    <row r="728" customFormat="false" ht="15" hidden="false" customHeight="true" outlineLevel="0" collapsed="false">
      <c r="A728" s="16"/>
      <c r="B728" s="16"/>
      <c r="C728" s="15"/>
      <c r="D728" s="19"/>
      <c r="E728" s="20" t="b">
        <f aca="false">AND(A728&lt;&gt;"",C728&lt;&gt;"",D728&lt;&gt;"",C728&gt;='Read Me'!$B$5)</f>
        <v>0</v>
      </c>
      <c r="F728" s="23" t="str">
        <f aca="false">IF(E728,D728,"")</f>
        <v/>
      </c>
      <c r="G728" s="21" t="n">
        <f aca="false">IF(E728,D728^2,0)</f>
        <v>0</v>
      </c>
      <c r="H728" s="3"/>
    </row>
    <row r="729" customFormat="false" ht="15" hidden="false" customHeight="true" outlineLevel="0" collapsed="false">
      <c r="A729" s="16"/>
      <c r="B729" s="16"/>
      <c r="C729" s="15"/>
      <c r="D729" s="19"/>
      <c r="E729" s="20" t="b">
        <f aca="false">AND(A729&lt;&gt;"",C729&lt;&gt;"",D729&lt;&gt;"",C729&gt;='Read Me'!$B$5)</f>
        <v>0</v>
      </c>
      <c r="F729" s="23" t="str">
        <f aca="false">IF(E729,D729,"")</f>
        <v/>
      </c>
      <c r="G729" s="21" t="n">
        <f aca="false">IF(E729,D729^2,0)</f>
        <v>0</v>
      </c>
      <c r="H729" s="3"/>
    </row>
    <row r="730" customFormat="false" ht="15" hidden="false" customHeight="true" outlineLevel="0" collapsed="false">
      <c r="A730" s="16"/>
      <c r="B730" s="16"/>
      <c r="C730" s="15"/>
      <c r="D730" s="19"/>
      <c r="E730" s="20" t="b">
        <f aca="false">AND(A730&lt;&gt;"",C730&lt;&gt;"",D730&lt;&gt;"",C730&gt;='Read Me'!$B$5)</f>
        <v>0</v>
      </c>
      <c r="F730" s="23" t="str">
        <f aca="false">IF(E730,D730,"")</f>
        <v/>
      </c>
      <c r="G730" s="21" t="n">
        <f aca="false">IF(E730,D730^2,0)</f>
        <v>0</v>
      </c>
      <c r="H730" s="3"/>
    </row>
    <row r="731" customFormat="false" ht="15" hidden="false" customHeight="true" outlineLevel="0" collapsed="false">
      <c r="A731" s="16"/>
      <c r="B731" s="16"/>
      <c r="C731" s="15"/>
      <c r="D731" s="19"/>
      <c r="E731" s="20" t="b">
        <f aca="false">AND(A731&lt;&gt;"",C731&lt;&gt;"",D731&lt;&gt;"",C731&gt;='Read Me'!$B$5)</f>
        <v>0</v>
      </c>
      <c r="F731" s="23" t="str">
        <f aca="false">IF(E731,D731,"")</f>
        <v/>
      </c>
      <c r="G731" s="21" t="n">
        <f aca="false">IF(E731,D731^2,0)</f>
        <v>0</v>
      </c>
      <c r="H731" s="3"/>
    </row>
    <row r="732" customFormat="false" ht="15" hidden="false" customHeight="true" outlineLevel="0" collapsed="false">
      <c r="A732" s="16"/>
      <c r="B732" s="16"/>
      <c r="C732" s="15"/>
      <c r="D732" s="19"/>
      <c r="E732" s="20" t="b">
        <f aca="false">AND(A732&lt;&gt;"",C732&lt;&gt;"",D732&lt;&gt;"",C732&gt;='Read Me'!$B$5)</f>
        <v>0</v>
      </c>
      <c r="F732" s="23" t="str">
        <f aca="false">IF(E732,D732,"")</f>
        <v/>
      </c>
      <c r="G732" s="21" t="n">
        <f aca="false">IF(E732,D732^2,0)</f>
        <v>0</v>
      </c>
      <c r="H732" s="3"/>
    </row>
    <row r="733" customFormat="false" ht="15" hidden="false" customHeight="true" outlineLevel="0" collapsed="false">
      <c r="A733" s="16"/>
      <c r="B733" s="16"/>
      <c r="C733" s="15"/>
      <c r="D733" s="19"/>
      <c r="E733" s="20" t="b">
        <f aca="false">AND(A733&lt;&gt;"",C733&lt;&gt;"",D733&lt;&gt;"",C733&gt;='Read Me'!$B$5)</f>
        <v>0</v>
      </c>
      <c r="F733" s="23" t="str">
        <f aca="false">IF(E733,D733,"")</f>
        <v/>
      </c>
      <c r="G733" s="21" t="n">
        <f aca="false">IF(E733,D733^2,0)</f>
        <v>0</v>
      </c>
      <c r="H733" s="3"/>
    </row>
    <row r="734" customFormat="false" ht="15" hidden="false" customHeight="true" outlineLevel="0" collapsed="false">
      <c r="A734" s="16"/>
      <c r="B734" s="16"/>
      <c r="C734" s="15"/>
      <c r="D734" s="19"/>
      <c r="E734" s="20" t="b">
        <f aca="false">AND(A734&lt;&gt;"",C734&lt;&gt;"",D734&lt;&gt;"",C734&gt;='Read Me'!$B$5)</f>
        <v>0</v>
      </c>
      <c r="F734" s="23" t="str">
        <f aca="false">IF(E734,D734,"")</f>
        <v/>
      </c>
      <c r="G734" s="21" t="n">
        <f aca="false">IF(E734,D734^2,0)</f>
        <v>0</v>
      </c>
      <c r="H734" s="3"/>
    </row>
    <row r="735" customFormat="false" ht="15" hidden="false" customHeight="true" outlineLevel="0" collapsed="false">
      <c r="A735" s="16"/>
      <c r="B735" s="16"/>
      <c r="C735" s="15"/>
      <c r="D735" s="19"/>
      <c r="E735" s="20" t="b">
        <f aca="false">AND(A735&lt;&gt;"",C735&lt;&gt;"",D735&lt;&gt;"",C735&gt;='Read Me'!$B$5)</f>
        <v>0</v>
      </c>
      <c r="F735" s="23" t="str">
        <f aca="false">IF(E735,D735,"")</f>
        <v/>
      </c>
      <c r="G735" s="21" t="n">
        <f aca="false">IF(E735,D735^2,0)</f>
        <v>0</v>
      </c>
      <c r="H735" s="3"/>
    </row>
    <row r="736" customFormat="false" ht="15" hidden="false" customHeight="true" outlineLevel="0" collapsed="false">
      <c r="A736" s="16"/>
      <c r="B736" s="16"/>
      <c r="C736" s="15"/>
      <c r="D736" s="19"/>
      <c r="E736" s="20" t="b">
        <f aca="false">AND(A736&lt;&gt;"",C736&lt;&gt;"",D736&lt;&gt;"",C736&gt;='Read Me'!$B$5)</f>
        <v>0</v>
      </c>
      <c r="F736" s="23" t="str">
        <f aca="false">IF(E736,D736,"")</f>
        <v/>
      </c>
      <c r="G736" s="21" t="n">
        <f aca="false">IF(E736,D736^2,0)</f>
        <v>0</v>
      </c>
      <c r="H736" s="3"/>
    </row>
    <row r="737" customFormat="false" ht="15" hidden="false" customHeight="true" outlineLevel="0" collapsed="false">
      <c r="A737" s="16"/>
      <c r="B737" s="16"/>
      <c r="C737" s="15"/>
      <c r="D737" s="19"/>
      <c r="E737" s="20" t="b">
        <f aca="false">AND(A737&lt;&gt;"",C737&lt;&gt;"",D737&lt;&gt;"",C737&gt;='Read Me'!$B$5)</f>
        <v>0</v>
      </c>
      <c r="F737" s="23" t="str">
        <f aca="false">IF(E737,D737,"")</f>
        <v/>
      </c>
      <c r="G737" s="21" t="n">
        <f aca="false">IF(E737,D737^2,0)</f>
        <v>0</v>
      </c>
      <c r="H737" s="3"/>
    </row>
    <row r="738" customFormat="false" ht="15" hidden="false" customHeight="true" outlineLevel="0" collapsed="false">
      <c r="A738" s="16"/>
      <c r="B738" s="16"/>
      <c r="C738" s="15"/>
      <c r="D738" s="19"/>
      <c r="E738" s="20" t="b">
        <f aca="false">AND(A738&lt;&gt;"",C738&lt;&gt;"",D738&lt;&gt;"",C738&gt;='Read Me'!$B$5)</f>
        <v>0</v>
      </c>
      <c r="F738" s="23" t="str">
        <f aca="false">IF(E738,D738,"")</f>
        <v/>
      </c>
      <c r="G738" s="21" t="n">
        <f aca="false">IF(E738,D738^2,0)</f>
        <v>0</v>
      </c>
      <c r="H738" s="3"/>
    </row>
    <row r="739" customFormat="false" ht="15" hidden="false" customHeight="true" outlineLevel="0" collapsed="false">
      <c r="A739" s="16"/>
      <c r="B739" s="16"/>
      <c r="C739" s="15"/>
      <c r="D739" s="19"/>
      <c r="E739" s="20" t="b">
        <f aca="false">AND(A739&lt;&gt;"",C739&lt;&gt;"",D739&lt;&gt;"",C739&gt;='Read Me'!$B$5)</f>
        <v>0</v>
      </c>
      <c r="F739" s="23" t="str">
        <f aca="false">IF(E739,D739,"")</f>
        <v/>
      </c>
      <c r="G739" s="21" t="n">
        <f aca="false">IF(E739,D739^2,0)</f>
        <v>0</v>
      </c>
      <c r="H739" s="3"/>
    </row>
    <row r="740" customFormat="false" ht="15" hidden="false" customHeight="true" outlineLevel="0" collapsed="false">
      <c r="A740" s="16"/>
      <c r="B740" s="16"/>
      <c r="C740" s="15"/>
      <c r="D740" s="19"/>
      <c r="E740" s="20" t="b">
        <f aca="false">AND(A740&lt;&gt;"",C740&lt;&gt;"",D740&lt;&gt;"",C740&gt;='Read Me'!$B$5)</f>
        <v>0</v>
      </c>
      <c r="F740" s="23" t="str">
        <f aca="false">IF(E740,D740,"")</f>
        <v/>
      </c>
      <c r="G740" s="21" t="n">
        <f aca="false">IF(E740,D740^2,0)</f>
        <v>0</v>
      </c>
      <c r="H740" s="3"/>
    </row>
    <row r="741" customFormat="false" ht="15" hidden="false" customHeight="true" outlineLevel="0" collapsed="false">
      <c r="A741" s="16"/>
      <c r="B741" s="16"/>
      <c r="C741" s="15"/>
      <c r="D741" s="19"/>
      <c r="E741" s="20" t="b">
        <f aca="false">AND(A741&lt;&gt;"",C741&lt;&gt;"",D741&lt;&gt;"",C741&gt;='Read Me'!$B$5)</f>
        <v>0</v>
      </c>
      <c r="F741" s="23" t="str">
        <f aca="false">IF(E741,D741,"")</f>
        <v/>
      </c>
      <c r="G741" s="21" t="n">
        <f aca="false">IF(E741,D741^2,0)</f>
        <v>0</v>
      </c>
      <c r="H741" s="3"/>
    </row>
    <row r="742" customFormat="false" ht="15" hidden="false" customHeight="true" outlineLevel="0" collapsed="false">
      <c r="A742" s="16"/>
      <c r="B742" s="16"/>
      <c r="C742" s="15"/>
      <c r="D742" s="19"/>
      <c r="E742" s="20" t="b">
        <f aca="false">AND(A742&lt;&gt;"",C742&lt;&gt;"",D742&lt;&gt;"",C742&gt;='Read Me'!$B$5)</f>
        <v>0</v>
      </c>
      <c r="F742" s="23" t="str">
        <f aca="false">IF(E742,D742,"")</f>
        <v/>
      </c>
      <c r="G742" s="21" t="n">
        <f aca="false">IF(E742,D742^2,0)</f>
        <v>0</v>
      </c>
      <c r="H742" s="3"/>
    </row>
    <row r="743" customFormat="false" ht="15" hidden="false" customHeight="true" outlineLevel="0" collapsed="false">
      <c r="A743" s="16"/>
      <c r="B743" s="16"/>
      <c r="C743" s="15"/>
      <c r="D743" s="19"/>
      <c r="E743" s="20" t="b">
        <f aca="false">AND(A743&lt;&gt;"",C743&lt;&gt;"",D743&lt;&gt;"",C743&gt;='Read Me'!$B$5)</f>
        <v>0</v>
      </c>
      <c r="F743" s="23" t="str">
        <f aca="false">IF(E743,D743,"")</f>
        <v/>
      </c>
      <c r="G743" s="21" t="n">
        <f aca="false">IF(E743,D743^2,0)</f>
        <v>0</v>
      </c>
      <c r="H743" s="3"/>
    </row>
    <row r="744" customFormat="false" ht="15" hidden="false" customHeight="true" outlineLevel="0" collapsed="false">
      <c r="A744" s="16"/>
      <c r="B744" s="16"/>
      <c r="C744" s="15"/>
      <c r="D744" s="19"/>
      <c r="E744" s="20" t="b">
        <f aca="false">AND(A744&lt;&gt;"",C744&lt;&gt;"",D744&lt;&gt;"",C744&gt;='Read Me'!$B$5)</f>
        <v>0</v>
      </c>
      <c r="F744" s="23" t="str">
        <f aca="false">IF(E744,D744,"")</f>
        <v/>
      </c>
      <c r="G744" s="21" t="n">
        <f aca="false">IF(E744,D744^2,0)</f>
        <v>0</v>
      </c>
      <c r="H744" s="3"/>
    </row>
    <row r="745" customFormat="false" ht="15" hidden="false" customHeight="true" outlineLevel="0" collapsed="false">
      <c r="A745" s="16"/>
      <c r="B745" s="16"/>
      <c r="C745" s="15"/>
      <c r="D745" s="19"/>
      <c r="E745" s="20" t="b">
        <f aca="false">AND(A745&lt;&gt;"",C745&lt;&gt;"",D745&lt;&gt;"",C745&gt;='Read Me'!$B$5)</f>
        <v>0</v>
      </c>
      <c r="F745" s="23" t="str">
        <f aca="false">IF(E745,D745,"")</f>
        <v/>
      </c>
      <c r="G745" s="21" t="n">
        <f aca="false">IF(E745,D745^2,0)</f>
        <v>0</v>
      </c>
      <c r="H745" s="3"/>
    </row>
    <row r="746" customFormat="false" ht="15" hidden="false" customHeight="true" outlineLevel="0" collapsed="false">
      <c r="A746" s="16"/>
      <c r="B746" s="16"/>
      <c r="C746" s="15"/>
      <c r="D746" s="19"/>
      <c r="E746" s="20" t="b">
        <f aca="false">AND(A746&lt;&gt;"",C746&lt;&gt;"",D746&lt;&gt;"",C746&gt;='Read Me'!$B$5)</f>
        <v>0</v>
      </c>
      <c r="F746" s="23" t="str">
        <f aca="false">IF(E746,D746,"")</f>
        <v/>
      </c>
      <c r="G746" s="21" t="n">
        <f aca="false">IF(E746,D746^2,0)</f>
        <v>0</v>
      </c>
      <c r="H746" s="3"/>
    </row>
    <row r="747" customFormat="false" ht="15" hidden="false" customHeight="true" outlineLevel="0" collapsed="false">
      <c r="A747" s="16"/>
      <c r="B747" s="16"/>
      <c r="C747" s="15"/>
      <c r="D747" s="19"/>
      <c r="E747" s="20" t="b">
        <f aca="false">AND(A747&lt;&gt;"",C747&lt;&gt;"",D747&lt;&gt;"",C747&gt;='Read Me'!$B$5)</f>
        <v>0</v>
      </c>
      <c r="F747" s="23" t="str">
        <f aca="false">IF(E747,D747,"")</f>
        <v/>
      </c>
      <c r="G747" s="21" t="n">
        <f aca="false">IF(E747,D747^2,0)</f>
        <v>0</v>
      </c>
      <c r="H747" s="3"/>
    </row>
    <row r="748" customFormat="false" ht="15" hidden="false" customHeight="true" outlineLevel="0" collapsed="false">
      <c r="A748" s="16"/>
      <c r="B748" s="16"/>
      <c r="C748" s="15"/>
      <c r="D748" s="19"/>
      <c r="E748" s="20" t="b">
        <f aca="false">AND(A748&lt;&gt;"",C748&lt;&gt;"",D748&lt;&gt;"",C748&gt;='Read Me'!$B$5)</f>
        <v>0</v>
      </c>
      <c r="F748" s="23" t="str">
        <f aca="false">IF(E748,D748,"")</f>
        <v/>
      </c>
      <c r="G748" s="21" t="n">
        <f aca="false">IF(E748,D748^2,0)</f>
        <v>0</v>
      </c>
      <c r="H748" s="3"/>
    </row>
    <row r="749" customFormat="false" ht="15" hidden="false" customHeight="true" outlineLevel="0" collapsed="false">
      <c r="A749" s="16"/>
      <c r="B749" s="16"/>
      <c r="C749" s="15"/>
      <c r="D749" s="19"/>
      <c r="E749" s="20" t="b">
        <f aca="false">AND(A749&lt;&gt;"",C749&lt;&gt;"",D749&lt;&gt;"",C749&gt;='Read Me'!$B$5)</f>
        <v>0</v>
      </c>
      <c r="F749" s="23" t="str">
        <f aca="false">IF(E749,D749,"")</f>
        <v/>
      </c>
      <c r="G749" s="21" t="n">
        <f aca="false">IF(E749,D749^2,0)</f>
        <v>0</v>
      </c>
      <c r="H749" s="3"/>
    </row>
    <row r="750" customFormat="false" ht="15" hidden="false" customHeight="true" outlineLevel="0" collapsed="false">
      <c r="A750" s="16"/>
      <c r="B750" s="16"/>
      <c r="C750" s="15"/>
      <c r="D750" s="19"/>
      <c r="E750" s="20" t="b">
        <f aca="false">AND(A750&lt;&gt;"",C750&lt;&gt;"",D750&lt;&gt;"",C750&gt;='Read Me'!$B$5)</f>
        <v>0</v>
      </c>
      <c r="F750" s="23" t="str">
        <f aca="false">IF(E750,D750,"")</f>
        <v/>
      </c>
      <c r="G750" s="21" t="n">
        <f aca="false">IF(E750,D750^2,0)</f>
        <v>0</v>
      </c>
      <c r="H750" s="3"/>
    </row>
    <row r="751" customFormat="false" ht="15" hidden="false" customHeight="true" outlineLevel="0" collapsed="false">
      <c r="A751" s="16"/>
      <c r="B751" s="16"/>
      <c r="C751" s="15"/>
      <c r="D751" s="19"/>
      <c r="E751" s="20" t="b">
        <f aca="false">AND(A751&lt;&gt;"",C751&lt;&gt;"",D751&lt;&gt;"",C751&gt;='Read Me'!$B$5)</f>
        <v>0</v>
      </c>
      <c r="F751" s="23" t="str">
        <f aca="false">IF(E751,D751,"")</f>
        <v/>
      </c>
      <c r="G751" s="21" t="n">
        <f aca="false">IF(E751,D751^2,0)</f>
        <v>0</v>
      </c>
      <c r="H751" s="3"/>
    </row>
    <row r="752" customFormat="false" ht="15" hidden="false" customHeight="true" outlineLevel="0" collapsed="false">
      <c r="A752" s="16"/>
      <c r="B752" s="16"/>
      <c r="C752" s="15"/>
      <c r="D752" s="19"/>
      <c r="E752" s="20" t="b">
        <f aca="false">AND(A752&lt;&gt;"",C752&lt;&gt;"",D752&lt;&gt;"",C752&gt;='Read Me'!$B$5)</f>
        <v>0</v>
      </c>
      <c r="F752" s="23" t="str">
        <f aca="false">IF(E752,D752,"")</f>
        <v/>
      </c>
      <c r="G752" s="21" t="n">
        <f aca="false">IF(E752,D752^2,0)</f>
        <v>0</v>
      </c>
      <c r="H752" s="3"/>
    </row>
    <row r="753" customFormat="false" ht="15" hidden="false" customHeight="true" outlineLevel="0" collapsed="false">
      <c r="A753" s="16"/>
      <c r="B753" s="16"/>
      <c r="C753" s="15"/>
      <c r="D753" s="19"/>
      <c r="E753" s="20" t="b">
        <f aca="false">AND(A753&lt;&gt;"",C753&lt;&gt;"",D753&lt;&gt;"",C753&gt;='Read Me'!$B$5)</f>
        <v>0</v>
      </c>
      <c r="F753" s="23" t="str">
        <f aca="false">IF(E753,D753,"")</f>
        <v/>
      </c>
      <c r="G753" s="21" t="n">
        <f aca="false">IF(E753,D753^2,0)</f>
        <v>0</v>
      </c>
      <c r="H753" s="3"/>
    </row>
    <row r="754" customFormat="false" ht="15" hidden="false" customHeight="true" outlineLevel="0" collapsed="false">
      <c r="A754" s="16"/>
      <c r="B754" s="16"/>
      <c r="C754" s="15"/>
      <c r="D754" s="19"/>
      <c r="E754" s="20" t="b">
        <f aca="false">AND(A754&lt;&gt;"",C754&lt;&gt;"",D754&lt;&gt;"",C754&gt;='Read Me'!$B$5)</f>
        <v>0</v>
      </c>
      <c r="F754" s="23" t="str">
        <f aca="false">IF(E754,D754,"")</f>
        <v/>
      </c>
      <c r="G754" s="21" t="n">
        <f aca="false">IF(E754,D754^2,0)</f>
        <v>0</v>
      </c>
      <c r="H754" s="3"/>
    </row>
    <row r="755" customFormat="false" ht="15" hidden="false" customHeight="true" outlineLevel="0" collapsed="false">
      <c r="A755" s="16"/>
      <c r="B755" s="16"/>
      <c r="C755" s="15"/>
      <c r="D755" s="19"/>
      <c r="E755" s="20" t="b">
        <f aca="false">AND(A755&lt;&gt;"",C755&lt;&gt;"",D755&lt;&gt;"",C755&gt;='Read Me'!$B$5)</f>
        <v>0</v>
      </c>
      <c r="F755" s="23" t="str">
        <f aca="false">IF(E755,D755,"")</f>
        <v/>
      </c>
      <c r="G755" s="21" t="n">
        <f aca="false">IF(E755,D755^2,0)</f>
        <v>0</v>
      </c>
      <c r="H755" s="3"/>
    </row>
    <row r="756" customFormat="false" ht="15" hidden="false" customHeight="true" outlineLevel="0" collapsed="false">
      <c r="A756" s="16"/>
      <c r="B756" s="16"/>
      <c r="C756" s="15"/>
      <c r="D756" s="19"/>
      <c r="E756" s="20" t="b">
        <f aca="false">AND(A756&lt;&gt;"",C756&lt;&gt;"",D756&lt;&gt;"",C756&gt;='Read Me'!$B$5)</f>
        <v>0</v>
      </c>
      <c r="F756" s="23" t="str">
        <f aca="false">IF(E756,D756,"")</f>
        <v/>
      </c>
      <c r="G756" s="21" t="n">
        <f aca="false">IF(E756,D756^2,0)</f>
        <v>0</v>
      </c>
      <c r="H756" s="3"/>
    </row>
    <row r="757" customFormat="false" ht="15" hidden="false" customHeight="true" outlineLevel="0" collapsed="false">
      <c r="A757" s="16"/>
      <c r="B757" s="16"/>
      <c r="C757" s="15"/>
      <c r="D757" s="19"/>
      <c r="E757" s="20" t="b">
        <f aca="false">AND(A757&lt;&gt;"",C757&lt;&gt;"",D757&lt;&gt;"",C757&gt;='Read Me'!$B$5)</f>
        <v>0</v>
      </c>
      <c r="F757" s="23" t="str">
        <f aca="false">IF(E757,D757,"")</f>
        <v/>
      </c>
      <c r="G757" s="21" t="n">
        <f aca="false">IF(E757,D757^2,0)</f>
        <v>0</v>
      </c>
      <c r="H757" s="3"/>
    </row>
    <row r="758" customFormat="false" ht="15" hidden="false" customHeight="true" outlineLevel="0" collapsed="false">
      <c r="A758" s="16"/>
      <c r="B758" s="16"/>
      <c r="C758" s="15"/>
      <c r="D758" s="19"/>
      <c r="E758" s="20" t="b">
        <f aca="false">AND(A758&lt;&gt;"",C758&lt;&gt;"",D758&lt;&gt;"",C758&gt;='Read Me'!$B$5)</f>
        <v>0</v>
      </c>
      <c r="F758" s="23" t="str">
        <f aca="false">IF(E758,D758,"")</f>
        <v/>
      </c>
      <c r="G758" s="21" t="n">
        <f aca="false">IF(E758,D758^2,0)</f>
        <v>0</v>
      </c>
      <c r="H758" s="3"/>
    </row>
    <row r="759" customFormat="false" ht="15" hidden="false" customHeight="true" outlineLevel="0" collapsed="false">
      <c r="A759" s="16"/>
      <c r="B759" s="16"/>
      <c r="C759" s="15"/>
      <c r="D759" s="19"/>
      <c r="E759" s="20" t="b">
        <f aca="false">AND(A759&lt;&gt;"",C759&lt;&gt;"",D759&lt;&gt;"",C759&gt;='Read Me'!$B$5)</f>
        <v>0</v>
      </c>
      <c r="F759" s="23" t="str">
        <f aca="false">IF(E759,D759,"")</f>
        <v/>
      </c>
      <c r="G759" s="21" t="n">
        <f aca="false">IF(E759,D759^2,0)</f>
        <v>0</v>
      </c>
      <c r="H759" s="3"/>
    </row>
    <row r="760" customFormat="false" ht="15" hidden="false" customHeight="true" outlineLevel="0" collapsed="false">
      <c r="A760" s="16"/>
      <c r="B760" s="16"/>
      <c r="C760" s="15"/>
      <c r="D760" s="19"/>
      <c r="E760" s="20" t="b">
        <f aca="false">AND(A760&lt;&gt;"",C760&lt;&gt;"",D760&lt;&gt;"",C760&gt;='Read Me'!$B$5)</f>
        <v>0</v>
      </c>
      <c r="F760" s="23" t="str">
        <f aca="false">IF(E760,D760,"")</f>
        <v/>
      </c>
      <c r="G760" s="21" t="n">
        <f aca="false">IF(E760,D760^2,0)</f>
        <v>0</v>
      </c>
      <c r="H760" s="3"/>
    </row>
    <row r="761" customFormat="false" ht="15" hidden="false" customHeight="true" outlineLevel="0" collapsed="false">
      <c r="A761" s="16"/>
      <c r="B761" s="16"/>
      <c r="C761" s="15"/>
      <c r="D761" s="19"/>
      <c r="E761" s="20" t="b">
        <f aca="false">AND(A761&lt;&gt;"",C761&lt;&gt;"",D761&lt;&gt;"",C761&gt;='Read Me'!$B$5)</f>
        <v>0</v>
      </c>
      <c r="F761" s="23" t="str">
        <f aca="false">IF(E761,D761,"")</f>
        <v/>
      </c>
      <c r="G761" s="21" t="n">
        <f aca="false">IF(E761,D761^2,0)</f>
        <v>0</v>
      </c>
      <c r="H761" s="3"/>
    </row>
    <row r="762" customFormat="false" ht="15" hidden="false" customHeight="true" outlineLevel="0" collapsed="false">
      <c r="A762" s="16"/>
      <c r="B762" s="16"/>
      <c r="C762" s="15"/>
      <c r="D762" s="19"/>
      <c r="E762" s="20" t="b">
        <f aca="false">AND(A762&lt;&gt;"",C762&lt;&gt;"",D762&lt;&gt;"",C762&gt;='Read Me'!$B$5)</f>
        <v>0</v>
      </c>
      <c r="F762" s="23" t="str">
        <f aca="false">IF(E762,D762,"")</f>
        <v/>
      </c>
      <c r="G762" s="21" t="n">
        <f aca="false">IF(E762,D762^2,0)</f>
        <v>0</v>
      </c>
      <c r="H762" s="3"/>
    </row>
    <row r="763" customFormat="false" ht="15" hidden="false" customHeight="true" outlineLevel="0" collapsed="false">
      <c r="A763" s="16"/>
      <c r="B763" s="16"/>
      <c r="C763" s="15"/>
      <c r="D763" s="19"/>
      <c r="E763" s="20" t="b">
        <f aca="false">AND(A763&lt;&gt;"",C763&lt;&gt;"",D763&lt;&gt;"",C763&gt;='Read Me'!$B$5)</f>
        <v>0</v>
      </c>
      <c r="F763" s="23" t="str">
        <f aca="false">IF(E763,D763,"")</f>
        <v/>
      </c>
      <c r="G763" s="21" t="n">
        <f aca="false">IF(E763,D763^2,0)</f>
        <v>0</v>
      </c>
      <c r="H763" s="3"/>
    </row>
    <row r="764" customFormat="false" ht="15" hidden="false" customHeight="true" outlineLevel="0" collapsed="false">
      <c r="A764" s="16"/>
      <c r="B764" s="16"/>
      <c r="C764" s="15"/>
      <c r="D764" s="19"/>
      <c r="E764" s="20" t="b">
        <f aca="false">AND(A764&lt;&gt;"",C764&lt;&gt;"",D764&lt;&gt;"",C764&gt;='Read Me'!$B$5)</f>
        <v>0</v>
      </c>
      <c r="F764" s="23" t="str">
        <f aca="false">IF(E764,D764,"")</f>
        <v/>
      </c>
      <c r="G764" s="21" t="n">
        <f aca="false">IF(E764,D764^2,0)</f>
        <v>0</v>
      </c>
      <c r="H764" s="3"/>
    </row>
    <row r="765" customFormat="false" ht="15" hidden="false" customHeight="true" outlineLevel="0" collapsed="false">
      <c r="A765" s="16"/>
      <c r="B765" s="16"/>
      <c r="C765" s="15"/>
      <c r="D765" s="19"/>
      <c r="E765" s="20" t="b">
        <f aca="false">AND(A765&lt;&gt;"",C765&lt;&gt;"",D765&lt;&gt;"",C765&gt;='Read Me'!$B$5)</f>
        <v>0</v>
      </c>
      <c r="F765" s="23" t="str">
        <f aca="false">IF(E765,D765,"")</f>
        <v/>
      </c>
      <c r="G765" s="21" t="n">
        <f aca="false">IF(E765,D765^2,0)</f>
        <v>0</v>
      </c>
      <c r="H765" s="3"/>
    </row>
    <row r="766" customFormat="false" ht="15" hidden="false" customHeight="true" outlineLevel="0" collapsed="false">
      <c r="A766" s="16"/>
      <c r="B766" s="16"/>
      <c r="C766" s="15"/>
      <c r="D766" s="19"/>
      <c r="E766" s="20" t="b">
        <f aca="false">AND(A766&lt;&gt;"",C766&lt;&gt;"",D766&lt;&gt;"",C766&gt;='Read Me'!$B$5)</f>
        <v>0</v>
      </c>
      <c r="F766" s="23" t="str">
        <f aca="false">IF(E766,D766,"")</f>
        <v/>
      </c>
      <c r="G766" s="21" t="n">
        <f aca="false">IF(E766,D766^2,0)</f>
        <v>0</v>
      </c>
      <c r="H766" s="3"/>
    </row>
    <row r="767" customFormat="false" ht="15" hidden="false" customHeight="true" outlineLevel="0" collapsed="false">
      <c r="A767" s="16"/>
      <c r="B767" s="16"/>
      <c r="C767" s="15"/>
      <c r="D767" s="19"/>
      <c r="E767" s="20" t="b">
        <f aca="false">AND(A767&lt;&gt;"",C767&lt;&gt;"",D767&lt;&gt;"",C767&gt;='Read Me'!$B$5)</f>
        <v>0</v>
      </c>
      <c r="F767" s="23" t="str">
        <f aca="false">IF(E767,D767,"")</f>
        <v/>
      </c>
      <c r="G767" s="21" t="n">
        <f aca="false">IF(E767,D767^2,0)</f>
        <v>0</v>
      </c>
      <c r="H767" s="3"/>
    </row>
    <row r="768" customFormat="false" ht="15" hidden="false" customHeight="true" outlineLevel="0" collapsed="false">
      <c r="A768" s="16"/>
      <c r="B768" s="16"/>
      <c r="C768" s="15"/>
      <c r="D768" s="19"/>
      <c r="E768" s="20" t="b">
        <f aca="false">AND(A768&lt;&gt;"",C768&lt;&gt;"",D768&lt;&gt;"",C768&gt;='Read Me'!$B$5)</f>
        <v>0</v>
      </c>
      <c r="F768" s="23" t="str">
        <f aca="false">IF(E768,D768,"")</f>
        <v/>
      </c>
      <c r="G768" s="21" t="n">
        <f aca="false">IF(E768,D768^2,0)</f>
        <v>0</v>
      </c>
      <c r="H768" s="3"/>
    </row>
    <row r="769" customFormat="false" ht="15" hidden="false" customHeight="true" outlineLevel="0" collapsed="false">
      <c r="A769" s="16"/>
      <c r="B769" s="16"/>
      <c r="C769" s="15"/>
      <c r="D769" s="19"/>
      <c r="E769" s="20" t="b">
        <f aca="false">AND(A769&lt;&gt;"",C769&lt;&gt;"",D769&lt;&gt;"",C769&gt;='Read Me'!$B$5)</f>
        <v>0</v>
      </c>
      <c r="F769" s="23" t="str">
        <f aca="false">IF(E769,D769,"")</f>
        <v/>
      </c>
      <c r="G769" s="21" t="n">
        <f aca="false">IF(E769,D769^2,0)</f>
        <v>0</v>
      </c>
      <c r="H769" s="3"/>
    </row>
    <row r="770" customFormat="false" ht="15" hidden="false" customHeight="true" outlineLevel="0" collapsed="false">
      <c r="A770" s="16"/>
      <c r="B770" s="16"/>
      <c r="C770" s="15"/>
      <c r="D770" s="19"/>
      <c r="E770" s="20" t="b">
        <f aca="false">AND(A770&lt;&gt;"",C770&lt;&gt;"",D770&lt;&gt;"",C770&gt;='Read Me'!$B$5)</f>
        <v>0</v>
      </c>
      <c r="F770" s="23" t="str">
        <f aca="false">IF(E770,D770,"")</f>
        <v/>
      </c>
      <c r="G770" s="21" t="n">
        <f aca="false">IF(E770,D770^2,0)</f>
        <v>0</v>
      </c>
      <c r="H770" s="3"/>
    </row>
    <row r="771" customFormat="false" ht="15" hidden="false" customHeight="true" outlineLevel="0" collapsed="false">
      <c r="A771" s="16"/>
      <c r="B771" s="16"/>
      <c r="C771" s="15"/>
      <c r="D771" s="19"/>
      <c r="E771" s="20" t="b">
        <f aca="false">AND(A771&lt;&gt;"",C771&lt;&gt;"",D771&lt;&gt;"",C771&gt;='Read Me'!$B$5)</f>
        <v>0</v>
      </c>
      <c r="F771" s="23" t="str">
        <f aca="false">IF(E771,D771,"")</f>
        <v/>
      </c>
      <c r="G771" s="21" t="n">
        <f aca="false">IF(E771,D771^2,0)</f>
        <v>0</v>
      </c>
      <c r="H771" s="3"/>
    </row>
    <row r="772" customFormat="false" ht="15" hidden="false" customHeight="true" outlineLevel="0" collapsed="false">
      <c r="A772" s="16"/>
      <c r="B772" s="16"/>
      <c r="C772" s="15"/>
      <c r="D772" s="19"/>
      <c r="E772" s="20" t="b">
        <f aca="false">AND(A772&lt;&gt;"",C772&lt;&gt;"",D772&lt;&gt;"",C772&gt;='Read Me'!$B$5)</f>
        <v>0</v>
      </c>
      <c r="F772" s="23" t="str">
        <f aca="false">IF(E772,D772,"")</f>
        <v/>
      </c>
      <c r="G772" s="21" t="n">
        <f aca="false">IF(E772,D772^2,0)</f>
        <v>0</v>
      </c>
      <c r="H772" s="3"/>
    </row>
    <row r="773" customFormat="false" ht="15" hidden="false" customHeight="true" outlineLevel="0" collapsed="false">
      <c r="A773" s="16"/>
      <c r="B773" s="16"/>
      <c r="C773" s="15"/>
      <c r="D773" s="19"/>
      <c r="E773" s="20" t="b">
        <f aca="false">AND(A773&lt;&gt;"",C773&lt;&gt;"",D773&lt;&gt;"",C773&gt;='Read Me'!$B$5)</f>
        <v>0</v>
      </c>
      <c r="F773" s="23" t="str">
        <f aca="false">IF(E773,D773,"")</f>
        <v/>
      </c>
      <c r="G773" s="21" t="n">
        <f aca="false">IF(E773,D773^2,0)</f>
        <v>0</v>
      </c>
      <c r="H773" s="3"/>
    </row>
    <row r="774" customFormat="false" ht="15" hidden="false" customHeight="true" outlineLevel="0" collapsed="false">
      <c r="A774" s="16"/>
      <c r="B774" s="16"/>
      <c r="C774" s="15"/>
      <c r="D774" s="19"/>
      <c r="E774" s="20" t="b">
        <f aca="false">AND(A774&lt;&gt;"",C774&lt;&gt;"",D774&lt;&gt;"",C774&gt;='Read Me'!$B$5)</f>
        <v>0</v>
      </c>
      <c r="F774" s="23" t="str">
        <f aca="false">IF(E774,D774,"")</f>
        <v/>
      </c>
      <c r="G774" s="21" t="n">
        <f aca="false">IF(E774,D774^2,0)</f>
        <v>0</v>
      </c>
      <c r="H774" s="3"/>
    </row>
    <row r="775" customFormat="false" ht="15" hidden="false" customHeight="true" outlineLevel="0" collapsed="false">
      <c r="A775" s="16"/>
      <c r="B775" s="16"/>
      <c r="C775" s="15"/>
      <c r="D775" s="19"/>
      <c r="E775" s="20" t="b">
        <f aca="false">AND(A775&lt;&gt;"",C775&lt;&gt;"",D775&lt;&gt;"",C775&gt;='Read Me'!$B$5)</f>
        <v>0</v>
      </c>
      <c r="F775" s="23" t="str">
        <f aca="false">IF(E775,D775,"")</f>
        <v/>
      </c>
      <c r="G775" s="21" t="n">
        <f aca="false">IF(E775,D775^2,0)</f>
        <v>0</v>
      </c>
      <c r="H775" s="3"/>
    </row>
    <row r="776" customFormat="false" ht="15" hidden="false" customHeight="true" outlineLevel="0" collapsed="false">
      <c r="A776" s="16"/>
      <c r="B776" s="16"/>
      <c r="C776" s="15"/>
      <c r="D776" s="19"/>
      <c r="E776" s="20" t="b">
        <f aca="false">AND(A776&lt;&gt;"",C776&lt;&gt;"",D776&lt;&gt;"",C776&gt;='Read Me'!$B$5)</f>
        <v>0</v>
      </c>
      <c r="F776" s="23" t="str">
        <f aca="false">IF(E776,D776,"")</f>
        <v/>
      </c>
      <c r="G776" s="21" t="n">
        <f aca="false">IF(E776,D776^2,0)</f>
        <v>0</v>
      </c>
      <c r="H776" s="3"/>
    </row>
    <row r="777" customFormat="false" ht="15" hidden="false" customHeight="true" outlineLevel="0" collapsed="false">
      <c r="A777" s="16"/>
      <c r="B777" s="16"/>
      <c r="C777" s="15"/>
      <c r="D777" s="19"/>
      <c r="E777" s="20" t="b">
        <f aca="false">AND(A777&lt;&gt;"",C777&lt;&gt;"",D777&lt;&gt;"",C777&gt;='Read Me'!$B$5)</f>
        <v>0</v>
      </c>
      <c r="F777" s="23" t="str">
        <f aca="false">IF(E777,D777,"")</f>
        <v/>
      </c>
      <c r="G777" s="21" t="n">
        <f aca="false">IF(E777,D777^2,0)</f>
        <v>0</v>
      </c>
      <c r="H777" s="3"/>
    </row>
    <row r="778" customFormat="false" ht="15" hidden="false" customHeight="true" outlineLevel="0" collapsed="false">
      <c r="A778" s="16"/>
      <c r="B778" s="16"/>
      <c r="C778" s="15"/>
      <c r="D778" s="19"/>
      <c r="E778" s="20" t="b">
        <f aca="false">AND(A778&lt;&gt;"",C778&lt;&gt;"",D778&lt;&gt;"",C778&gt;='Read Me'!$B$5)</f>
        <v>0</v>
      </c>
      <c r="F778" s="23" t="str">
        <f aca="false">IF(E778,D778,"")</f>
        <v/>
      </c>
      <c r="G778" s="21" t="n">
        <f aca="false">IF(E778,D778^2,0)</f>
        <v>0</v>
      </c>
      <c r="H778" s="3"/>
    </row>
    <row r="779" customFormat="false" ht="15" hidden="false" customHeight="true" outlineLevel="0" collapsed="false">
      <c r="A779" s="16"/>
      <c r="B779" s="16"/>
      <c r="C779" s="15"/>
      <c r="D779" s="19"/>
      <c r="E779" s="20" t="b">
        <f aca="false">AND(A779&lt;&gt;"",C779&lt;&gt;"",D779&lt;&gt;"",C779&gt;='Read Me'!$B$5)</f>
        <v>0</v>
      </c>
      <c r="F779" s="23" t="str">
        <f aca="false">IF(E779,D779,"")</f>
        <v/>
      </c>
      <c r="G779" s="21" t="n">
        <f aca="false">IF(E779,D779^2,0)</f>
        <v>0</v>
      </c>
      <c r="H779" s="3"/>
    </row>
    <row r="780" customFormat="false" ht="15" hidden="false" customHeight="true" outlineLevel="0" collapsed="false">
      <c r="A780" s="16"/>
      <c r="B780" s="16"/>
      <c r="C780" s="15"/>
      <c r="D780" s="19"/>
      <c r="E780" s="20" t="b">
        <f aca="false">AND(A780&lt;&gt;"",C780&lt;&gt;"",D780&lt;&gt;"",C780&gt;='Read Me'!$B$5)</f>
        <v>0</v>
      </c>
      <c r="F780" s="23" t="str">
        <f aca="false">IF(E780,D780,"")</f>
        <v/>
      </c>
      <c r="G780" s="21" t="n">
        <f aca="false">IF(E780,D780^2,0)</f>
        <v>0</v>
      </c>
      <c r="H780" s="3"/>
    </row>
    <row r="781" customFormat="false" ht="15" hidden="false" customHeight="true" outlineLevel="0" collapsed="false">
      <c r="A781" s="16"/>
      <c r="B781" s="16"/>
      <c r="C781" s="15"/>
      <c r="D781" s="19"/>
      <c r="E781" s="20" t="b">
        <f aca="false">AND(A781&lt;&gt;"",C781&lt;&gt;"",D781&lt;&gt;"",C781&gt;='Read Me'!$B$5)</f>
        <v>0</v>
      </c>
      <c r="F781" s="23" t="str">
        <f aca="false">IF(E781,D781,"")</f>
        <v/>
      </c>
      <c r="G781" s="21" t="n">
        <f aca="false">IF(E781,D781^2,0)</f>
        <v>0</v>
      </c>
      <c r="H781" s="3"/>
    </row>
    <row r="782" customFormat="false" ht="15" hidden="false" customHeight="true" outlineLevel="0" collapsed="false">
      <c r="A782" s="16"/>
      <c r="B782" s="16"/>
      <c r="C782" s="15"/>
      <c r="D782" s="19"/>
      <c r="E782" s="20" t="b">
        <f aca="false">AND(A782&lt;&gt;"",C782&lt;&gt;"",D782&lt;&gt;"",C782&gt;='Read Me'!$B$5)</f>
        <v>0</v>
      </c>
      <c r="F782" s="23" t="str">
        <f aca="false">IF(E782,D782,"")</f>
        <v/>
      </c>
      <c r="G782" s="21" t="n">
        <f aca="false">IF(E782,D782^2,0)</f>
        <v>0</v>
      </c>
      <c r="H782" s="3"/>
    </row>
    <row r="783" customFormat="false" ht="15" hidden="false" customHeight="true" outlineLevel="0" collapsed="false">
      <c r="A783" s="16"/>
      <c r="B783" s="16"/>
      <c r="C783" s="15"/>
      <c r="D783" s="19"/>
      <c r="E783" s="20" t="b">
        <f aca="false">AND(A783&lt;&gt;"",C783&lt;&gt;"",D783&lt;&gt;"",C783&gt;='Read Me'!$B$5)</f>
        <v>0</v>
      </c>
      <c r="F783" s="23" t="str">
        <f aca="false">IF(E783,D783,"")</f>
        <v/>
      </c>
      <c r="G783" s="21" t="n">
        <f aca="false">IF(E783,D783^2,0)</f>
        <v>0</v>
      </c>
      <c r="H783" s="3"/>
    </row>
    <row r="784" customFormat="false" ht="15" hidden="false" customHeight="true" outlineLevel="0" collapsed="false">
      <c r="A784" s="16"/>
      <c r="B784" s="16"/>
      <c r="C784" s="15"/>
      <c r="D784" s="19"/>
      <c r="E784" s="20" t="b">
        <f aca="false">AND(A784&lt;&gt;"",C784&lt;&gt;"",D784&lt;&gt;"",C784&gt;='Read Me'!$B$5)</f>
        <v>0</v>
      </c>
      <c r="F784" s="23" t="str">
        <f aca="false">IF(E784,D784,"")</f>
        <v/>
      </c>
      <c r="G784" s="21" t="n">
        <f aca="false">IF(E784,D784^2,0)</f>
        <v>0</v>
      </c>
      <c r="H784" s="3"/>
    </row>
    <row r="785" customFormat="false" ht="15" hidden="false" customHeight="true" outlineLevel="0" collapsed="false">
      <c r="A785" s="16"/>
      <c r="B785" s="16"/>
      <c r="C785" s="15"/>
      <c r="D785" s="19"/>
      <c r="E785" s="20" t="b">
        <f aca="false">AND(A785&lt;&gt;"",C785&lt;&gt;"",D785&lt;&gt;"",C785&gt;='Read Me'!$B$5)</f>
        <v>0</v>
      </c>
      <c r="F785" s="23" t="str">
        <f aca="false">IF(E785,D785,"")</f>
        <v/>
      </c>
      <c r="G785" s="21" t="n">
        <f aca="false">IF(E785,D785^2,0)</f>
        <v>0</v>
      </c>
      <c r="H785" s="3"/>
    </row>
    <row r="786" customFormat="false" ht="15" hidden="false" customHeight="true" outlineLevel="0" collapsed="false">
      <c r="A786" s="16"/>
      <c r="B786" s="16"/>
      <c r="C786" s="15"/>
      <c r="D786" s="19"/>
      <c r="E786" s="20" t="b">
        <f aca="false">AND(A786&lt;&gt;"",C786&lt;&gt;"",D786&lt;&gt;"",C786&gt;='Read Me'!$B$5)</f>
        <v>0</v>
      </c>
      <c r="F786" s="23" t="str">
        <f aca="false">IF(E786,D786,"")</f>
        <v/>
      </c>
      <c r="G786" s="21" t="n">
        <f aca="false">IF(E786,D786^2,0)</f>
        <v>0</v>
      </c>
      <c r="H786" s="3"/>
    </row>
    <row r="787" customFormat="false" ht="15" hidden="false" customHeight="true" outlineLevel="0" collapsed="false">
      <c r="A787" s="16"/>
      <c r="B787" s="16"/>
      <c r="C787" s="15"/>
      <c r="D787" s="19"/>
      <c r="E787" s="20" t="b">
        <f aca="false">AND(A787&lt;&gt;"",C787&lt;&gt;"",D787&lt;&gt;"",C787&gt;='Read Me'!$B$5)</f>
        <v>0</v>
      </c>
      <c r="F787" s="23" t="str">
        <f aca="false">IF(E787,D787,"")</f>
        <v/>
      </c>
      <c r="G787" s="21" t="n">
        <f aca="false">IF(E787,D787^2,0)</f>
        <v>0</v>
      </c>
      <c r="H787" s="3"/>
    </row>
    <row r="788" customFormat="false" ht="15" hidden="false" customHeight="true" outlineLevel="0" collapsed="false">
      <c r="A788" s="16"/>
      <c r="B788" s="16"/>
      <c r="C788" s="15"/>
      <c r="D788" s="19"/>
      <c r="E788" s="20" t="b">
        <f aca="false">AND(A788&lt;&gt;"",C788&lt;&gt;"",D788&lt;&gt;"",C788&gt;='Read Me'!$B$5)</f>
        <v>0</v>
      </c>
      <c r="F788" s="23" t="str">
        <f aca="false">IF(E788,D788,"")</f>
        <v/>
      </c>
      <c r="G788" s="21" t="n">
        <f aca="false">IF(E788,D788^2,0)</f>
        <v>0</v>
      </c>
      <c r="H788" s="3"/>
    </row>
    <row r="789" customFormat="false" ht="15" hidden="false" customHeight="true" outlineLevel="0" collapsed="false">
      <c r="A789" s="16"/>
      <c r="B789" s="16"/>
      <c r="C789" s="15"/>
      <c r="D789" s="19"/>
      <c r="E789" s="20" t="b">
        <f aca="false">AND(A789&lt;&gt;"",C789&lt;&gt;"",D789&lt;&gt;"",C789&gt;='Read Me'!$B$5)</f>
        <v>0</v>
      </c>
      <c r="F789" s="23" t="str">
        <f aca="false">IF(E789,D789,"")</f>
        <v/>
      </c>
      <c r="G789" s="21" t="n">
        <f aca="false">IF(E789,D789^2,0)</f>
        <v>0</v>
      </c>
      <c r="H789" s="3"/>
    </row>
    <row r="790" customFormat="false" ht="15" hidden="false" customHeight="true" outlineLevel="0" collapsed="false">
      <c r="A790" s="16"/>
      <c r="B790" s="16"/>
      <c r="C790" s="15"/>
      <c r="D790" s="19"/>
      <c r="E790" s="20" t="b">
        <f aca="false">AND(A790&lt;&gt;"",C790&lt;&gt;"",D790&lt;&gt;"",C790&gt;='Read Me'!$B$5)</f>
        <v>0</v>
      </c>
      <c r="F790" s="23" t="str">
        <f aca="false">IF(E790,D790,"")</f>
        <v/>
      </c>
      <c r="G790" s="21" t="n">
        <f aca="false">IF(E790,D790^2,0)</f>
        <v>0</v>
      </c>
      <c r="H790" s="3"/>
    </row>
    <row r="791" customFormat="false" ht="15" hidden="false" customHeight="true" outlineLevel="0" collapsed="false">
      <c r="A791" s="16"/>
      <c r="B791" s="16"/>
      <c r="C791" s="15"/>
      <c r="D791" s="19"/>
      <c r="E791" s="20" t="b">
        <f aca="false">AND(A791&lt;&gt;"",C791&lt;&gt;"",D791&lt;&gt;"",C791&gt;='Read Me'!$B$5)</f>
        <v>0</v>
      </c>
      <c r="F791" s="23" t="str">
        <f aca="false">IF(E791,D791,"")</f>
        <v/>
      </c>
      <c r="G791" s="21" t="n">
        <f aca="false">IF(E791,D791^2,0)</f>
        <v>0</v>
      </c>
      <c r="H791" s="3"/>
    </row>
    <row r="792" customFormat="false" ht="15" hidden="false" customHeight="true" outlineLevel="0" collapsed="false">
      <c r="A792" s="16"/>
      <c r="B792" s="16"/>
      <c r="C792" s="15"/>
      <c r="D792" s="19"/>
      <c r="E792" s="20" t="b">
        <f aca="false">AND(A792&lt;&gt;"",C792&lt;&gt;"",D792&lt;&gt;"",C792&gt;='Read Me'!$B$5)</f>
        <v>0</v>
      </c>
      <c r="F792" s="23" t="str">
        <f aca="false">IF(E792,D792,"")</f>
        <v/>
      </c>
      <c r="G792" s="21" t="n">
        <f aca="false">IF(E792,D792^2,0)</f>
        <v>0</v>
      </c>
      <c r="H792" s="3"/>
    </row>
    <row r="793" customFormat="false" ht="15" hidden="false" customHeight="true" outlineLevel="0" collapsed="false">
      <c r="A793" s="16"/>
      <c r="B793" s="16"/>
      <c r="C793" s="15"/>
      <c r="D793" s="19"/>
      <c r="E793" s="20" t="b">
        <f aca="false">AND(A793&lt;&gt;"",C793&lt;&gt;"",D793&lt;&gt;"",C793&gt;='Read Me'!$B$5)</f>
        <v>0</v>
      </c>
      <c r="F793" s="23" t="str">
        <f aca="false">IF(E793,D793,"")</f>
        <v/>
      </c>
      <c r="G793" s="21" t="n">
        <f aca="false">IF(E793,D793^2,0)</f>
        <v>0</v>
      </c>
      <c r="H793" s="3"/>
    </row>
    <row r="794" customFormat="false" ht="15" hidden="false" customHeight="true" outlineLevel="0" collapsed="false">
      <c r="A794" s="16"/>
      <c r="B794" s="16"/>
      <c r="C794" s="15"/>
      <c r="D794" s="19"/>
      <c r="E794" s="20" t="b">
        <f aca="false">AND(A794&lt;&gt;"",C794&lt;&gt;"",D794&lt;&gt;"",C794&gt;='Read Me'!$B$5)</f>
        <v>0</v>
      </c>
      <c r="F794" s="23" t="str">
        <f aca="false">IF(E794,D794,"")</f>
        <v/>
      </c>
      <c r="G794" s="21" t="n">
        <f aca="false">IF(E794,D794^2,0)</f>
        <v>0</v>
      </c>
      <c r="H794" s="3"/>
    </row>
    <row r="795" customFormat="false" ht="15" hidden="false" customHeight="true" outlineLevel="0" collapsed="false">
      <c r="A795" s="16"/>
      <c r="B795" s="16"/>
      <c r="C795" s="15"/>
      <c r="D795" s="19"/>
      <c r="E795" s="20" t="b">
        <f aca="false">AND(A795&lt;&gt;"",C795&lt;&gt;"",D795&lt;&gt;"",C795&gt;='Read Me'!$B$5)</f>
        <v>0</v>
      </c>
      <c r="F795" s="23" t="str">
        <f aca="false">IF(E795,D795,"")</f>
        <v/>
      </c>
      <c r="G795" s="21" t="n">
        <f aca="false">IF(E795,D795^2,0)</f>
        <v>0</v>
      </c>
      <c r="H795" s="3"/>
    </row>
    <row r="796" customFormat="false" ht="15" hidden="false" customHeight="true" outlineLevel="0" collapsed="false">
      <c r="A796" s="16"/>
      <c r="B796" s="16"/>
      <c r="C796" s="15"/>
      <c r="D796" s="19"/>
      <c r="E796" s="20" t="b">
        <f aca="false">AND(A796&lt;&gt;"",C796&lt;&gt;"",D796&lt;&gt;"",C796&gt;='Read Me'!$B$5)</f>
        <v>0</v>
      </c>
      <c r="F796" s="23" t="str">
        <f aca="false">IF(E796,D796,"")</f>
        <v/>
      </c>
      <c r="G796" s="21" t="n">
        <f aca="false">IF(E796,D796^2,0)</f>
        <v>0</v>
      </c>
      <c r="H796" s="3"/>
    </row>
    <row r="797" customFormat="false" ht="15" hidden="false" customHeight="true" outlineLevel="0" collapsed="false">
      <c r="A797" s="16"/>
      <c r="B797" s="16"/>
      <c r="C797" s="15"/>
      <c r="D797" s="19"/>
      <c r="E797" s="20" t="b">
        <f aca="false">AND(A797&lt;&gt;"",C797&lt;&gt;"",D797&lt;&gt;"",C797&gt;='Read Me'!$B$5)</f>
        <v>0</v>
      </c>
      <c r="F797" s="23" t="str">
        <f aca="false">IF(E797,D797,"")</f>
        <v/>
      </c>
      <c r="G797" s="21" t="n">
        <f aca="false">IF(E797,D797^2,0)</f>
        <v>0</v>
      </c>
      <c r="H797" s="3"/>
    </row>
    <row r="798" customFormat="false" ht="15" hidden="false" customHeight="true" outlineLevel="0" collapsed="false">
      <c r="A798" s="16"/>
      <c r="B798" s="16"/>
      <c r="C798" s="15"/>
      <c r="D798" s="19"/>
      <c r="E798" s="20" t="b">
        <f aca="false">AND(A798&lt;&gt;"",C798&lt;&gt;"",D798&lt;&gt;"",C798&gt;='Read Me'!$B$5)</f>
        <v>0</v>
      </c>
      <c r="F798" s="23" t="str">
        <f aca="false">IF(E798,D798,"")</f>
        <v/>
      </c>
      <c r="G798" s="21" t="n">
        <f aca="false">IF(E798,D798^2,0)</f>
        <v>0</v>
      </c>
      <c r="H798" s="3"/>
    </row>
    <row r="799" customFormat="false" ht="15" hidden="false" customHeight="true" outlineLevel="0" collapsed="false">
      <c r="A799" s="16"/>
      <c r="B799" s="16"/>
      <c r="C799" s="15"/>
      <c r="D799" s="19"/>
      <c r="E799" s="20" t="b">
        <f aca="false">AND(A799&lt;&gt;"",C799&lt;&gt;"",D799&lt;&gt;"",C799&gt;='Read Me'!$B$5)</f>
        <v>0</v>
      </c>
      <c r="F799" s="23" t="str">
        <f aca="false">IF(E799,D799,"")</f>
        <v/>
      </c>
      <c r="G799" s="21" t="n">
        <f aca="false">IF(E799,D799^2,0)</f>
        <v>0</v>
      </c>
      <c r="H799" s="3"/>
    </row>
    <row r="800" customFormat="false" ht="15" hidden="false" customHeight="true" outlineLevel="0" collapsed="false">
      <c r="A800" s="16"/>
      <c r="B800" s="16"/>
      <c r="C800" s="15"/>
      <c r="D800" s="19"/>
      <c r="E800" s="20" t="b">
        <f aca="false">AND(A800&lt;&gt;"",C800&lt;&gt;"",D800&lt;&gt;"",C800&gt;='Read Me'!$B$5)</f>
        <v>0</v>
      </c>
      <c r="F800" s="23" t="str">
        <f aca="false">IF(E800,D800,"")</f>
        <v/>
      </c>
      <c r="G800" s="21" t="n">
        <f aca="false">IF(E800,D800^2,0)</f>
        <v>0</v>
      </c>
      <c r="H800" s="3"/>
    </row>
    <row r="801" customFormat="false" ht="15" hidden="false" customHeight="true" outlineLevel="0" collapsed="false">
      <c r="A801" s="16"/>
      <c r="B801" s="16"/>
      <c r="C801" s="15"/>
      <c r="D801" s="19"/>
      <c r="E801" s="20" t="b">
        <f aca="false">AND(A801&lt;&gt;"",C801&lt;&gt;"",D801&lt;&gt;"",C801&gt;='Read Me'!$B$5)</f>
        <v>0</v>
      </c>
      <c r="F801" s="23" t="str">
        <f aca="false">IF(E801,D801,"")</f>
        <v/>
      </c>
      <c r="G801" s="21" t="n">
        <f aca="false">IF(E801,D801^2,0)</f>
        <v>0</v>
      </c>
      <c r="H801" s="3"/>
    </row>
    <row r="802" customFormat="false" ht="15" hidden="false" customHeight="true" outlineLevel="0" collapsed="false">
      <c r="A802" s="16"/>
      <c r="B802" s="16"/>
      <c r="C802" s="15"/>
      <c r="D802" s="19"/>
      <c r="E802" s="20" t="b">
        <f aca="false">AND(A802&lt;&gt;"",C802&lt;&gt;"",D802&lt;&gt;"",C802&gt;='Read Me'!$B$5)</f>
        <v>0</v>
      </c>
      <c r="F802" s="23" t="str">
        <f aca="false">IF(E802,D802,"")</f>
        <v/>
      </c>
      <c r="G802" s="21" t="n">
        <f aca="false">IF(E802,D802^2,0)</f>
        <v>0</v>
      </c>
      <c r="H802" s="3"/>
    </row>
    <row r="803" customFormat="false" ht="15" hidden="false" customHeight="true" outlineLevel="0" collapsed="false">
      <c r="A803" s="16"/>
      <c r="B803" s="16"/>
      <c r="C803" s="15"/>
      <c r="D803" s="19"/>
      <c r="E803" s="20" t="b">
        <f aca="false">AND(A803&lt;&gt;"",C803&lt;&gt;"",D803&lt;&gt;"",C803&gt;='Read Me'!$B$5)</f>
        <v>0</v>
      </c>
      <c r="F803" s="23" t="str">
        <f aca="false">IF(E803,D803,"")</f>
        <v/>
      </c>
      <c r="G803" s="21" t="n">
        <f aca="false">IF(E803,D803^2,0)</f>
        <v>0</v>
      </c>
      <c r="H803" s="3"/>
    </row>
    <row r="804" customFormat="false" ht="15" hidden="false" customHeight="true" outlineLevel="0" collapsed="false">
      <c r="A804" s="16"/>
      <c r="B804" s="16"/>
      <c r="C804" s="15"/>
      <c r="D804" s="19"/>
      <c r="E804" s="20" t="b">
        <f aca="false">AND(A804&lt;&gt;"",C804&lt;&gt;"",D804&lt;&gt;"",C804&gt;='Read Me'!$B$5)</f>
        <v>0</v>
      </c>
      <c r="F804" s="23" t="str">
        <f aca="false">IF(E804,D804,"")</f>
        <v/>
      </c>
      <c r="G804" s="21" t="n">
        <f aca="false">IF(E804,D804^2,0)</f>
        <v>0</v>
      </c>
      <c r="H804" s="3"/>
    </row>
    <row r="805" customFormat="false" ht="15" hidden="false" customHeight="true" outlineLevel="0" collapsed="false">
      <c r="A805" s="16"/>
      <c r="B805" s="16"/>
      <c r="C805" s="15"/>
      <c r="D805" s="19"/>
      <c r="E805" s="20" t="b">
        <f aca="false">AND(A805&lt;&gt;"",C805&lt;&gt;"",D805&lt;&gt;"",C805&gt;='Read Me'!$B$5)</f>
        <v>0</v>
      </c>
      <c r="F805" s="23" t="str">
        <f aca="false">IF(E805,D805,"")</f>
        <v/>
      </c>
      <c r="G805" s="21" t="n">
        <f aca="false">IF(E805,D805^2,0)</f>
        <v>0</v>
      </c>
      <c r="H805" s="3"/>
    </row>
    <row r="806" customFormat="false" ht="15" hidden="false" customHeight="true" outlineLevel="0" collapsed="false">
      <c r="A806" s="16"/>
      <c r="B806" s="16"/>
      <c r="C806" s="15"/>
      <c r="D806" s="19"/>
      <c r="E806" s="20" t="b">
        <f aca="false">AND(A806&lt;&gt;"",C806&lt;&gt;"",D806&lt;&gt;"",C806&gt;='Read Me'!$B$5)</f>
        <v>0</v>
      </c>
      <c r="F806" s="23" t="str">
        <f aca="false">IF(E806,D806,"")</f>
        <v/>
      </c>
      <c r="G806" s="21" t="n">
        <f aca="false">IF(E806,D806^2,0)</f>
        <v>0</v>
      </c>
      <c r="H806" s="3"/>
    </row>
    <row r="807" customFormat="false" ht="15" hidden="false" customHeight="true" outlineLevel="0" collapsed="false">
      <c r="A807" s="16"/>
      <c r="B807" s="16"/>
      <c r="C807" s="15"/>
      <c r="D807" s="19"/>
      <c r="E807" s="20" t="b">
        <f aca="false">AND(A807&lt;&gt;"",C807&lt;&gt;"",D807&lt;&gt;"",C807&gt;='Read Me'!$B$5)</f>
        <v>0</v>
      </c>
      <c r="F807" s="23" t="str">
        <f aca="false">IF(E807,D807,"")</f>
        <v/>
      </c>
      <c r="G807" s="21" t="n">
        <f aca="false">IF(E807,D807^2,0)</f>
        <v>0</v>
      </c>
      <c r="H807" s="3"/>
    </row>
    <row r="808" customFormat="false" ht="15" hidden="false" customHeight="true" outlineLevel="0" collapsed="false">
      <c r="A808" s="16"/>
      <c r="B808" s="16"/>
      <c r="C808" s="15"/>
      <c r="D808" s="19"/>
      <c r="E808" s="20" t="b">
        <f aca="false">AND(A808&lt;&gt;"",C808&lt;&gt;"",D808&lt;&gt;"",C808&gt;='Read Me'!$B$5)</f>
        <v>0</v>
      </c>
      <c r="F808" s="23" t="str">
        <f aca="false">IF(E808,D808,"")</f>
        <v/>
      </c>
      <c r="G808" s="21" t="n">
        <f aca="false">IF(E808,D808^2,0)</f>
        <v>0</v>
      </c>
      <c r="H808" s="3"/>
    </row>
    <row r="809" customFormat="false" ht="15" hidden="false" customHeight="true" outlineLevel="0" collapsed="false">
      <c r="A809" s="16"/>
      <c r="B809" s="16"/>
      <c r="C809" s="15"/>
      <c r="D809" s="19"/>
      <c r="E809" s="20" t="b">
        <f aca="false">AND(A809&lt;&gt;"",C809&lt;&gt;"",D809&lt;&gt;"",C809&gt;='Read Me'!$B$5)</f>
        <v>0</v>
      </c>
      <c r="F809" s="23" t="str">
        <f aca="false">IF(E809,D809,"")</f>
        <v/>
      </c>
      <c r="G809" s="21" t="n">
        <f aca="false">IF(E809,D809^2,0)</f>
        <v>0</v>
      </c>
      <c r="H809" s="3"/>
    </row>
    <row r="810" customFormat="false" ht="15" hidden="false" customHeight="true" outlineLevel="0" collapsed="false">
      <c r="A810" s="16"/>
      <c r="B810" s="16"/>
      <c r="C810" s="15"/>
      <c r="D810" s="19"/>
      <c r="E810" s="20" t="b">
        <f aca="false">AND(A810&lt;&gt;"",C810&lt;&gt;"",D810&lt;&gt;"",C810&gt;='Read Me'!$B$5)</f>
        <v>0</v>
      </c>
      <c r="F810" s="23" t="str">
        <f aca="false">IF(E810,D810,"")</f>
        <v/>
      </c>
      <c r="G810" s="21" t="n">
        <f aca="false">IF(E810,D810^2,0)</f>
        <v>0</v>
      </c>
      <c r="H810" s="3"/>
    </row>
    <row r="811" customFormat="false" ht="15" hidden="false" customHeight="true" outlineLevel="0" collapsed="false">
      <c r="A811" s="16"/>
      <c r="B811" s="16"/>
      <c r="C811" s="15"/>
      <c r="D811" s="19"/>
      <c r="E811" s="20" t="b">
        <f aca="false">AND(A811&lt;&gt;"",C811&lt;&gt;"",D811&lt;&gt;"",C811&gt;='Read Me'!$B$5)</f>
        <v>0</v>
      </c>
      <c r="F811" s="23" t="str">
        <f aca="false">IF(E811,D811,"")</f>
        <v/>
      </c>
      <c r="G811" s="21" t="n">
        <f aca="false">IF(E811,D811^2,0)</f>
        <v>0</v>
      </c>
      <c r="H811" s="3"/>
    </row>
    <row r="812" customFormat="false" ht="15" hidden="false" customHeight="true" outlineLevel="0" collapsed="false">
      <c r="A812" s="16"/>
      <c r="B812" s="16"/>
      <c r="C812" s="15"/>
      <c r="D812" s="19"/>
      <c r="E812" s="20" t="b">
        <f aca="false">AND(A812&lt;&gt;"",C812&lt;&gt;"",D812&lt;&gt;"",C812&gt;='Read Me'!$B$5)</f>
        <v>0</v>
      </c>
      <c r="F812" s="23" t="str">
        <f aca="false">IF(E812,D812,"")</f>
        <v/>
      </c>
      <c r="G812" s="21" t="n">
        <f aca="false">IF(E812,D812^2,0)</f>
        <v>0</v>
      </c>
      <c r="H812" s="3"/>
    </row>
    <row r="813" customFormat="false" ht="15" hidden="false" customHeight="true" outlineLevel="0" collapsed="false">
      <c r="A813" s="16"/>
      <c r="B813" s="16"/>
      <c r="C813" s="15"/>
      <c r="D813" s="19"/>
      <c r="E813" s="20" t="b">
        <f aca="false">AND(A813&lt;&gt;"",C813&lt;&gt;"",D813&lt;&gt;"",C813&gt;='Read Me'!$B$5)</f>
        <v>0</v>
      </c>
      <c r="F813" s="23" t="str">
        <f aca="false">IF(E813,D813,"")</f>
        <v/>
      </c>
      <c r="G813" s="21" t="n">
        <f aca="false">IF(E813,D813^2,0)</f>
        <v>0</v>
      </c>
      <c r="H813" s="3"/>
    </row>
    <row r="814" customFormat="false" ht="15" hidden="false" customHeight="true" outlineLevel="0" collapsed="false">
      <c r="A814" s="16"/>
      <c r="B814" s="16"/>
      <c r="C814" s="15"/>
      <c r="D814" s="19"/>
      <c r="E814" s="20" t="b">
        <f aca="false">AND(A814&lt;&gt;"",C814&lt;&gt;"",D814&lt;&gt;"",C814&gt;='Read Me'!$B$5)</f>
        <v>0</v>
      </c>
      <c r="F814" s="23" t="str">
        <f aca="false">IF(E814,D814,"")</f>
        <v/>
      </c>
      <c r="G814" s="21" t="n">
        <f aca="false">IF(E814,D814^2,0)</f>
        <v>0</v>
      </c>
      <c r="H814" s="3"/>
    </row>
    <row r="815" customFormat="false" ht="15" hidden="false" customHeight="true" outlineLevel="0" collapsed="false">
      <c r="A815" s="16"/>
      <c r="B815" s="16"/>
      <c r="C815" s="15"/>
      <c r="D815" s="19"/>
      <c r="E815" s="20" t="b">
        <f aca="false">AND(A815&lt;&gt;"",C815&lt;&gt;"",D815&lt;&gt;"",C815&gt;='Read Me'!$B$5)</f>
        <v>0</v>
      </c>
      <c r="F815" s="23" t="str">
        <f aca="false">IF(E815,D815,"")</f>
        <v/>
      </c>
      <c r="G815" s="21" t="n">
        <f aca="false">IF(E815,D815^2,0)</f>
        <v>0</v>
      </c>
      <c r="H815" s="3"/>
    </row>
    <row r="816" customFormat="false" ht="15" hidden="false" customHeight="true" outlineLevel="0" collapsed="false">
      <c r="A816" s="16"/>
      <c r="B816" s="16"/>
      <c r="C816" s="15"/>
      <c r="D816" s="19"/>
      <c r="E816" s="20" t="b">
        <f aca="false">AND(A816&lt;&gt;"",C816&lt;&gt;"",D816&lt;&gt;"",C816&gt;='Read Me'!$B$5)</f>
        <v>0</v>
      </c>
      <c r="F816" s="23" t="str">
        <f aca="false">IF(E816,D816,"")</f>
        <v/>
      </c>
      <c r="G816" s="21" t="n">
        <f aca="false">IF(E816,D816^2,0)</f>
        <v>0</v>
      </c>
      <c r="H816" s="3"/>
    </row>
    <row r="817" customFormat="false" ht="15" hidden="false" customHeight="true" outlineLevel="0" collapsed="false">
      <c r="A817" s="16"/>
      <c r="B817" s="16"/>
      <c r="C817" s="15"/>
      <c r="D817" s="19"/>
      <c r="E817" s="20" t="b">
        <f aca="false">AND(A817&lt;&gt;"",C817&lt;&gt;"",D817&lt;&gt;"",C817&gt;='Read Me'!$B$5)</f>
        <v>0</v>
      </c>
      <c r="F817" s="23" t="str">
        <f aca="false">IF(E817,D817,"")</f>
        <v/>
      </c>
      <c r="G817" s="21" t="n">
        <f aca="false">IF(E817,D817^2,0)</f>
        <v>0</v>
      </c>
      <c r="H817" s="3"/>
    </row>
    <row r="818" customFormat="false" ht="15" hidden="false" customHeight="true" outlineLevel="0" collapsed="false">
      <c r="A818" s="16"/>
      <c r="B818" s="16"/>
      <c r="C818" s="15"/>
      <c r="D818" s="19"/>
      <c r="E818" s="20" t="b">
        <f aca="false">AND(A818&lt;&gt;"",C818&lt;&gt;"",D818&lt;&gt;"",C818&gt;='Read Me'!$B$5)</f>
        <v>0</v>
      </c>
      <c r="F818" s="23" t="str">
        <f aca="false">IF(E818,D818,"")</f>
        <v/>
      </c>
      <c r="G818" s="21" t="n">
        <f aca="false">IF(E818,D818^2,0)</f>
        <v>0</v>
      </c>
      <c r="H818" s="3"/>
    </row>
    <row r="819" customFormat="false" ht="15" hidden="false" customHeight="true" outlineLevel="0" collapsed="false">
      <c r="A819" s="16"/>
      <c r="B819" s="16"/>
      <c r="C819" s="15"/>
      <c r="D819" s="19"/>
      <c r="E819" s="20" t="b">
        <f aca="false">AND(A819&lt;&gt;"",C819&lt;&gt;"",D819&lt;&gt;"",C819&gt;='Read Me'!$B$5)</f>
        <v>0</v>
      </c>
      <c r="F819" s="23" t="str">
        <f aca="false">IF(E819,D819,"")</f>
        <v/>
      </c>
      <c r="G819" s="21" t="n">
        <f aca="false">IF(E819,D819^2,0)</f>
        <v>0</v>
      </c>
      <c r="H819" s="3"/>
    </row>
    <row r="820" customFormat="false" ht="15" hidden="false" customHeight="true" outlineLevel="0" collapsed="false">
      <c r="A820" s="16"/>
      <c r="B820" s="16"/>
      <c r="C820" s="15"/>
      <c r="D820" s="19"/>
      <c r="E820" s="20" t="b">
        <f aca="false">AND(A820&lt;&gt;"",C820&lt;&gt;"",D820&lt;&gt;"",C820&gt;='Read Me'!$B$5)</f>
        <v>0</v>
      </c>
      <c r="F820" s="23" t="str">
        <f aca="false">IF(E820,D820,"")</f>
        <v/>
      </c>
      <c r="G820" s="21" t="n">
        <f aca="false">IF(E820,D820^2,0)</f>
        <v>0</v>
      </c>
      <c r="H820" s="3"/>
    </row>
    <row r="821" customFormat="false" ht="15" hidden="false" customHeight="true" outlineLevel="0" collapsed="false">
      <c r="A821" s="16"/>
      <c r="B821" s="16"/>
      <c r="C821" s="15"/>
      <c r="D821" s="19"/>
      <c r="E821" s="20" t="b">
        <f aca="false">AND(A821&lt;&gt;"",C821&lt;&gt;"",D821&lt;&gt;"",C821&gt;='Read Me'!$B$5)</f>
        <v>0</v>
      </c>
      <c r="F821" s="23" t="str">
        <f aca="false">IF(E821,D821,"")</f>
        <v/>
      </c>
      <c r="G821" s="21" t="n">
        <f aca="false">IF(E821,D821^2,0)</f>
        <v>0</v>
      </c>
      <c r="H821" s="3"/>
    </row>
    <row r="822" customFormat="false" ht="15" hidden="false" customHeight="true" outlineLevel="0" collapsed="false">
      <c r="A822" s="16"/>
      <c r="B822" s="16"/>
      <c r="C822" s="15"/>
      <c r="D822" s="19"/>
      <c r="E822" s="20" t="b">
        <f aca="false">AND(A822&lt;&gt;"",C822&lt;&gt;"",D822&lt;&gt;"",C822&gt;='Read Me'!$B$5)</f>
        <v>0</v>
      </c>
      <c r="F822" s="23" t="str">
        <f aca="false">IF(E822,D822,"")</f>
        <v/>
      </c>
      <c r="G822" s="21" t="n">
        <f aca="false">IF(E822,D822^2,0)</f>
        <v>0</v>
      </c>
      <c r="H822" s="3"/>
    </row>
    <row r="823" customFormat="false" ht="15" hidden="false" customHeight="true" outlineLevel="0" collapsed="false">
      <c r="A823" s="16"/>
      <c r="B823" s="16"/>
      <c r="C823" s="15"/>
      <c r="D823" s="19"/>
      <c r="E823" s="20" t="b">
        <f aca="false">AND(A823&lt;&gt;"",C823&lt;&gt;"",D823&lt;&gt;"",C823&gt;='Read Me'!$B$5)</f>
        <v>0</v>
      </c>
      <c r="F823" s="23" t="str">
        <f aca="false">IF(E823,D823,"")</f>
        <v/>
      </c>
      <c r="G823" s="21" t="n">
        <f aca="false">IF(E823,D823^2,0)</f>
        <v>0</v>
      </c>
      <c r="H823" s="3"/>
    </row>
    <row r="824" customFormat="false" ht="15" hidden="false" customHeight="true" outlineLevel="0" collapsed="false">
      <c r="A824" s="16"/>
      <c r="B824" s="16"/>
      <c r="C824" s="15"/>
      <c r="D824" s="19"/>
      <c r="E824" s="20" t="b">
        <f aca="false">AND(A824&lt;&gt;"",C824&lt;&gt;"",D824&lt;&gt;"",C824&gt;='Read Me'!$B$5)</f>
        <v>0</v>
      </c>
      <c r="F824" s="23" t="str">
        <f aca="false">IF(E824,D824,"")</f>
        <v/>
      </c>
      <c r="G824" s="21" t="n">
        <f aca="false">IF(E824,D824^2,0)</f>
        <v>0</v>
      </c>
      <c r="H824" s="3"/>
    </row>
    <row r="825" customFormat="false" ht="15" hidden="false" customHeight="true" outlineLevel="0" collapsed="false">
      <c r="A825" s="16"/>
      <c r="B825" s="16"/>
      <c r="C825" s="15"/>
      <c r="D825" s="19"/>
      <c r="E825" s="20" t="b">
        <f aca="false">AND(A825&lt;&gt;"",C825&lt;&gt;"",D825&lt;&gt;"",C825&gt;='Read Me'!$B$5)</f>
        <v>0</v>
      </c>
      <c r="F825" s="23" t="str">
        <f aca="false">IF(E825,D825,"")</f>
        <v/>
      </c>
      <c r="G825" s="21" t="n">
        <f aca="false">IF(E825,D825^2,0)</f>
        <v>0</v>
      </c>
      <c r="H825" s="3"/>
    </row>
    <row r="826" customFormat="false" ht="15" hidden="false" customHeight="true" outlineLevel="0" collapsed="false">
      <c r="A826" s="16"/>
      <c r="B826" s="16"/>
      <c r="C826" s="15"/>
      <c r="D826" s="19"/>
      <c r="E826" s="20" t="b">
        <f aca="false">AND(A826&lt;&gt;"",C826&lt;&gt;"",D826&lt;&gt;"",C826&gt;='Read Me'!$B$5)</f>
        <v>0</v>
      </c>
      <c r="F826" s="23" t="str">
        <f aca="false">IF(E826,D826,"")</f>
        <v/>
      </c>
      <c r="G826" s="21" t="n">
        <f aca="false">IF(E826,D826^2,0)</f>
        <v>0</v>
      </c>
      <c r="H826" s="3"/>
    </row>
    <row r="827" customFormat="false" ht="15" hidden="false" customHeight="true" outlineLevel="0" collapsed="false">
      <c r="A827" s="16"/>
      <c r="B827" s="16"/>
      <c r="C827" s="15"/>
      <c r="D827" s="19"/>
      <c r="E827" s="20" t="b">
        <f aca="false">AND(A827&lt;&gt;"",C827&lt;&gt;"",D827&lt;&gt;"",C827&gt;='Read Me'!$B$5)</f>
        <v>0</v>
      </c>
      <c r="F827" s="23" t="str">
        <f aca="false">IF(E827,D827,"")</f>
        <v/>
      </c>
      <c r="G827" s="21" t="n">
        <f aca="false">IF(E827,D827^2,0)</f>
        <v>0</v>
      </c>
      <c r="H827" s="3"/>
    </row>
    <row r="828" customFormat="false" ht="15" hidden="false" customHeight="true" outlineLevel="0" collapsed="false">
      <c r="A828" s="16"/>
      <c r="B828" s="16"/>
      <c r="C828" s="15"/>
      <c r="D828" s="19"/>
      <c r="E828" s="20" t="b">
        <f aca="false">AND(A828&lt;&gt;"",C828&lt;&gt;"",D828&lt;&gt;"",C828&gt;='Read Me'!$B$5)</f>
        <v>0</v>
      </c>
      <c r="F828" s="23" t="str">
        <f aca="false">IF(E828,D828,"")</f>
        <v/>
      </c>
      <c r="G828" s="21" t="n">
        <f aca="false">IF(E828,D828^2,0)</f>
        <v>0</v>
      </c>
      <c r="H828" s="3"/>
    </row>
    <row r="829" customFormat="false" ht="15" hidden="false" customHeight="true" outlineLevel="0" collapsed="false">
      <c r="A829" s="16"/>
      <c r="B829" s="16"/>
      <c r="C829" s="15"/>
      <c r="D829" s="19"/>
      <c r="E829" s="20" t="b">
        <f aca="false">AND(A829&lt;&gt;"",C829&lt;&gt;"",D829&lt;&gt;"",C829&gt;='Read Me'!$B$5)</f>
        <v>0</v>
      </c>
      <c r="F829" s="23" t="str">
        <f aca="false">IF(E829,D829,"")</f>
        <v/>
      </c>
      <c r="G829" s="21" t="n">
        <f aca="false">IF(E829,D829^2,0)</f>
        <v>0</v>
      </c>
      <c r="H829" s="3"/>
    </row>
    <row r="830" customFormat="false" ht="15" hidden="false" customHeight="true" outlineLevel="0" collapsed="false">
      <c r="A830" s="16"/>
      <c r="B830" s="16"/>
      <c r="C830" s="15"/>
      <c r="D830" s="19"/>
      <c r="E830" s="20" t="b">
        <f aca="false">AND(A830&lt;&gt;"",C830&lt;&gt;"",D830&lt;&gt;"",C830&gt;='Read Me'!$B$5)</f>
        <v>0</v>
      </c>
      <c r="F830" s="23" t="str">
        <f aca="false">IF(E830,D830,"")</f>
        <v/>
      </c>
      <c r="G830" s="21" t="n">
        <f aca="false">IF(E830,D830^2,0)</f>
        <v>0</v>
      </c>
      <c r="H830" s="3"/>
    </row>
    <row r="831" customFormat="false" ht="15" hidden="false" customHeight="true" outlineLevel="0" collapsed="false">
      <c r="A831" s="16"/>
      <c r="B831" s="16"/>
      <c r="C831" s="15"/>
      <c r="D831" s="19"/>
      <c r="E831" s="20" t="b">
        <f aca="false">AND(A831&lt;&gt;"",C831&lt;&gt;"",D831&lt;&gt;"",C831&gt;='Read Me'!$B$5)</f>
        <v>0</v>
      </c>
      <c r="F831" s="23" t="str">
        <f aca="false">IF(E831,D831,"")</f>
        <v/>
      </c>
      <c r="G831" s="21" t="n">
        <f aca="false">IF(E831,D831^2,0)</f>
        <v>0</v>
      </c>
      <c r="H831" s="3"/>
    </row>
    <row r="832" customFormat="false" ht="15" hidden="false" customHeight="true" outlineLevel="0" collapsed="false">
      <c r="A832" s="16"/>
      <c r="B832" s="16"/>
      <c r="C832" s="15"/>
      <c r="D832" s="19"/>
      <c r="E832" s="20" t="b">
        <f aca="false">AND(A832&lt;&gt;"",C832&lt;&gt;"",D832&lt;&gt;"",C832&gt;='Read Me'!$B$5)</f>
        <v>0</v>
      </c>
      <c r="F832" s="23" t="str">
        <f aca="false">IF(E832,D832,"")</f>
        <v/>
      </c>
      <c r="G832" s="21" t="n">
        <f aca="false">IF(E832,D832^2,0)</f>
        <v>0</v>
      </c>
      <c r="H832" s="3"/>
    </row>
    <row r="833" customFormat="false" ht="15" hidden="false" customHeight="true" outlineLevel="0" collapsed="false">
      <c r="A833" s="16"/>
      <c r="B833" s="16"/>
      <c r="C833" s="15"/>
      <c r="D833" s="19"/>
      <c r="E833" s="20" t="b">
        <f aca="false">AND(A833&lt;&gt;"",C833&lt;&gt;"",D833&lt;&gt;"",C833&gt;='Read Me'!$B$5)</f>
        <v>0</v>
      </c>
      <c r="F833" s="23" t="str">
        <f aca="false">IF(E833,D833,"")</f>
        <v/>
      </c>
      <c r="G833" s="21" t="n">
        <f aca="false">IF(E833,D833^2,0)</f>
        <v>0</v>
      </c>
      <c r="H833" s="3"/>
    </row>
    <row r="834" customFormat="false" ht="15" hidden="false" customHeight="true" outlineLevel="0" collapsed="false">
      <c r="A834" s="16"/>
      <c r="B834" s="16"/>
      <c r="C834" s="15"/>
      <c r="D834" s="19"/>
      <c r="E834" s="20" t="b">
        <f aca="false">AND(A834&lt;&gt;"",C834&lt;&gt;"",D834&lt;&gt;"",C834&gt;='Read Me'!$B$5)</f>
        <v>0</v>
      </c>
      <c r="F834" s="23" t="str">
        <f aca="false">IF(E834,D834,"")</f>
        <v/>
      </c>
      <c r="G834" s="21" t="n">
        <f aca="false">IF(E834,D834^2,0)</f>
        <v>0</v>
      </c>
      <c r="H834" s="3"/>
    </row>
    <row r="835" customFormat="false" ht="15" hidden="false" customHeight="true" outlineLevel="0" collapsed="false">
      <c r="A835" s="16"/>
      <c r="B835" s="16"/>
      <c r="C835" s="15"/>
      <c r="D835" s="19"/>
      <c r="E835" s="20" t="b">
        <f aca="false">AND(A835&lt;&gt;"",C835&lt;&gt;"",D835&lt;&gt;"",C835&gt;='Read Me'!$B$5)</f>
        <v>0</v>
      </c>
      <c r="F835" s="23" t="str">
        <f aca="false">IF(E835,D835,"")</f>
        <v/>
      </c>
      <c r="G835" s="21" t="n">
        <f aca="false">IF(E835,D835^2,0)</f>
        <v>0</v>
      </c>
      <c r="H835" s="3"/>
    </row>
    <row r="836" customFormat="false" ht="15" hidden="false" customHeight="true" outlineLevel="0" collapsed="false">
      <c r="A836" s="16"/>
      <c r="B836" s="16"/>
      <c r="C836" s="15"/>
      <c r="D836" s="19"/>
      <c r="E836" s="20" t="b">
        <f aca="false">AND(A836&lt;&gt;"",C836&lt;&gt;"",D836&lt;&gt;"",C836&gt;='Read Me'!$B$5)</f>
        <v>0</v>
      </c>
      <c r="F836" s="23" t="str">
        <f aca="false">IF(E836,D836,"")</f>
        <v/>
      </c>
      <c r="G836" s="21" t="n">
        <f aca="false">IF(E836,D836^2,0)</f>
        <v>0</v>
      </c>
      <c r="H836" s="3"/>
    </row>
    <row r="837" customFormat="false" ht="15" hidden="false" customHeight="true" outlineLevel="0" collapsed="false">
      <c r="A837" s="16"/>
      <c r="B837" s="16"/>
      <c r="C837" s="15"/>
      <c r="D837" s="19"/>
      <c r="E837" s="20" t="b">
        <f aca="false">AND(A837&lt;&gt;"",C837&lt;&gt;"",D837&lt;&gt;"",C837&gt;='Read Me'!$B$5)</f>
        <v>0</v>
      </c>
      <c r="F837" s="23" t="str">
        <f aca="false">IF(E837,D837,"")</f>
        <v/>
      </c>
      <c r="G837" s="21" t="n">
        <f aca="false">IF(E837,D837^2,0)</f>
        <v>0</v>
      </c>
      <c r="H837" s="3"/>
    </row>
    <row r="838" customFormat="false" ht="15" hidden="false" customHeight="true" outlineLevel="0" collapsed="false">
      <c r="A838" s="16"/>
      <c r="B838" s="16"/>
      <c r="C838" s="15"/>
      <c r="D838" s="19"/>
      <c r="E838" s="20" t="b">
        <f aca="false">AND(A838&lt;&gt;"",C838&lt;&gt;"",D838&lt;&gt;"",C838&gt;='Read Me'!$B$5)</f>
        <v>0</v>
      </c>
      <c r="F838" s="23" t="str">
        <f aca="false">IF(E838,D838,"")</f>
        <v/>
      </c>
      <c r="G838" s="21" t="n">
        <f aca="false">IF(E838,D838^2,0)</f>
        <v>0</v>
      </c>
      <c r="H838" s="3"/>
    </row>
    <row r="839" customFormat="false" ht="15" hidden="false" customHeight="true" outlineLevel="0" collapsed="false">
      <c r="A839" s="16"/>
      <c r="B839" s="16"/>
      <c r="C839" s="15"/>
      <c r="D839" s="19"/>
      <c r="E839" s="20" t="b">
        <f aca="false">AND(A839&lt;&gt;"",C839&lt;&gt;"",D839&lt;&gt;"",C839&gt;='Read Me'!$B$5)</f>
        <v>0</v>
      </c>
      <c r="F839" s="23" t="str">
        <f aca="false">IF(E839,D839,"")</f>
        <v/>
      </c>
      <c r="G839" s="21" t="n">
        <f aca="false">IF(E839,D839^2,0)</f>
        <v>0</v>
      </c>
      <c r="H839" s="3"/>
    </row>
    <row r="840" customFormat="false" ht="15" hidden="false" customHeight="true" outlineLevel="0" collapsed="false">
      <c r="A840" s="16"/>
      <c r="B840" s="16"/>
      <c r="C840" s="15"/>
      <c r="D840" s="19"/>
      <c r="E840" s="20" t="b">
        <f aca="false">AND(A840&lt;&gt;"",C840&lt;&gt;"",D840&lt;&gt;"",C840&gt;='Read Me'!$B$5)</f>
        <v>0</v>
      </c>
      <c r="F840" s="23" t="str">
        <f aca="false">IF(E840,D840,"")</f>
        <v/>
      </c>
      <c r="G840" s="21" t="n">
        <f aca="false">IF(E840,D840^2,0)</f>
        <v>0</v>
      </c>
      <c r="H840" s="3"/>
    </row>
    <row r="841" customFormat="false" ht="15" hidden="false" customHeight="true" outlineLevel="0" collapsed="false">
      <c r="A841" s="16"/>
      <c r="B841" s="16"/>
      <c r="C841" s="15"/>
      <c r="D841" s="19"/>
      <c r="E841" s="20" t="b">
        <f aca="false">AND(A841&lt;&gt;"",C841&lt;&gt;"",D841&lt;&gt;"",C841&gt;='Read Me'!$B$5)</f>
        <v>0</v>
      </c>
      <c r="F841" s="23" t="str">
        <f aca="false">IF(E841,D841,"")</f>
        <v/>
      </c>
      <c r="G841" s="21" t="n">
        <f aca="false">IF(E841,D841^2,0)</f>
        <v>0</v>
      </c>
      <c r="H841" s="3"/>
    </row>
    <row r="842" customFormat="false" ht="15" hidden="false" customHeight="true" outlineLevel="0" collapsed="false">
      <c r="A842" s="16"/>
      <c r="B842" s="16"/>
      <c r="C842" s="15"/>
      <c r="D842" s="19"/>
      <c r="E842" s="20" t="b">
        <f aca="false">AND(A842&lt;&gt;"",C842&lt;&gt;"",D842&lt;&gt;"",C842&gt;='Read Me'!$B$5)</f>
        <v>0</v>
      </c>
      <c r="F842" s="23" t="str">
        <f aca="false">IF(E842,D842,"")</f>
        <v/>
      </c>
      <c r="G842" s="21" t="n">
        <f aca="false">IF(E842,D842^2,0)</f>
        <v>0</v>
      </c>
      <c r="H842" s="3"/>
    </row>
    <row r="843" customFormat="false" ht="15" hidden="false" customHeight="true" outlineLevel="0" collapsed="false">
      <c r="A843" s="16"/>
      <c r="B843" s="16"/>
      <c r="C843" s="15"/>
      <c r="D843" s="19"/>
      <c r="E843" s="20" t="b">
        <f aca="false">AND(A843&lt;&gt;"",C843&lt;&gt;"",D843&lt;&gt;"",C843&gt;='Read Me'!$B$5)</f>
        <v>0</v>
      </c>
      <c r="F843" s="23" t="str">
        <f aca="false">IF(E843,D843,"")</f>
        <v/>
      </c>
      <c r="G843" s="21" t="n">
        <f aca="false">IF(E843,D843^2,0)</f>
        <v>0</v>
      </c>
      <c r="H843" s="3"/>
    </row>
    <row r="844" customFormat="false" ht="15" hidden="false" customHeight="true" outlineLevel="0" collapsed="false">
      <c r="A844" s="16"/>
      <c r="B844" s="16"/>
      <c r="C844" s="15"/>
      <c r="D844" s="19"/>
      <c r="E844" s="20" t="b">
        <f aca="false">AND(A844&lt;&gt;"",C844&lt;&gt;"",D844&lt;&gt;"",C844&gt;='Read Me'!$B$5)</f>
        <v>0</v>
      </c>
      <c r="F844" s="23" t="str">
        <f aca="false">IF(E844,D844,"")</f>
        <v/>
      </c>
      <c r="G844" s="21" t="n">
        <f aca="false">IF(E844,D844^2,0)</f>
        <v>0</v>
      </c>
      <c r="H844" s="3"/>
    </row>
    <row r="845" customFormat="false" ht="15" hidden="false" customHeight="true" outlineLevel="0" collapsed="false">
      <c r="A845" s="16"/>
      <c r="B845" s="16"/>
      <c r="C845" s="15"/>
      <c r="D845" s="19"/>
      <c r="E845" s="20" t="b">
        <f aca="false">AND(A845&lt;&gt;"",C845&lt;&gt;"",D845&lt;&gt;"",C845&gt;='Read Me'!$B$5)</f>
        <v>0</v>
      </c>
      <c r="F845" s="23" t="str">
        <f aca="false">IF(E845,D845,"")</f>
        <v/>
      </c>
      <c r="G845" s="21" t="n">
        <f aca="false">IF(E845,D845^2,0)</f>
        <v>0</v>
      </c>
      <c r="H845" s="3"/>
    </row>
    <row r="846" customFormat="false" ht="15" hidden="false" customHeight="true" outlineLevel="0" collapsed="false">
      <c r="A846" s="16"/>
      <c r="B846" s="16"/>
      <c r="C846" s="15"/>
      <c r="D846" s="19"/>
      <c r="E846" s="20" t="b">
        <f aca="false">AND(A846&lt;&gt;"",C846&lt;&gt;"",D846&lt;&gt;"",C846&gt;='Read Me'!$B$5)</f>
        <v>0</v>
      </c>
      <c r="F846" s="23" t="str">
        <f aca="false">IF(E846,D846,"")</f>
        <v/>
      </c>
      <c r="G846" s="21" t="n">
        <f aca="false">IF(E846,D846^2,0)</f>
        <v>0</v>
      </c>
      <c r="H846" s="3"/>
    </row>
    <row r="847" customFormat="false" ht="15" hidden="false" customHeight="true" outlineLevel="0" collapsed="false">
      <c r="A847" s="16"/>
      <c r="B847" s="16"/>
      <c r="C847" s="15"/>
      <c r="D847" s="19"/>
      <c r="E847" s="20" t="b">
        <f aca="false">AND(A847&lt;&gt;"",C847&lt;&gt;"",D847&lt;&gt;"",C847&gt;='Read Me'!$B$5)</f>
        <v>0</v>
      </c>
      <c r="F847" s="23" t="str">
        <f aca="false">IF(E847,D847,"")</f>
        <v/>
      </c>
      <c r="G847" s="21" t="n">
        <f aca="false">IF(E847,D847^2,0)</f>
        <v>0</v>
      </c>
      <c r="H847" s="3"/>
    </row>
    <row r="848" customFormat="false" ht="15" hidden="false" customHeight="true" outlineLevel="0" collapsed="false">
      <c r="A848" s="16"/>
      <c r="B848" s="16"/>
      <c r="C848" s="15"/>
      <c r="D848" s="19"/>
      <c r="E848" s="20" t="b">
        <f aca="false">AND(A848&lt;&gt;"",C848&lt;&gt;"",D848&lt;&gt;"",C848&gt;='Read Me'!$B$5)</f>
        <v>0</v>
      </c>
      <c r="F848" s="23" t="str">
        <f aca="false">IF(E848,D848,"")</f>
        <v/>
      </c>
      <c r="G848" s="21" t="n">
        <f aca="false">IF(E848,D848^2,0)</f>
        <v>0</v>
      </c>
      <c r="H848" s="3"/>
    </row>
    <row r="849" customFormat="false" ht="15" hidden="false" customHeight="true" outlineLevel="0" collapsed="false">
      <c r="A849" s="16"/>
      <c r="B849" s="16"/>
      <c r="C849" s="15"/>
      <c r="D849" s="19"/>
      <c r="E849" s="20" t="b">
        <f aca="false">AND(A849&lt;&gt;"",C849&lt;&gt;"",D849&lt;&gt;"",C849&gt;='Read Me'!$B$5)</f>
        <v>0</v>
      </c>
      <c r="F849" s="23" t="str">
        <f aca="false">IF(E849,D849,"")</f>
        <v/>
      </c>
      <c r="G849" s="21" t="n">
        <f aca="false">IF(E849,D849^2,0)</f>
        <v>0</v>
      </c>
      <c r="H849" s="3"/>
    </row>
    <row r="850" customFormat="false" ht="15" hidden="false" customHeight="true" outlineLevel="0" collapsed="false">
      <c r="A850" s="16"/>
      <c r="B850" s="16"/>
      <c r="C850" s="15"/>
      <c r="D850" s="19"/>
      <c r="E850" s="20" t="b">
        <f aca="false">AND(A850&lt;&gt;"",C850&lt;&gt;"",D850&lt;&gt;"",C850&gt;='Read Me'!$B$5)</f>
        <v>0</v>
      </c>
      <c r="F850" s="23" t="str">
        <f aca="false">IF(E850,D850,"")</f>
        <v/>
      </c>
      <c r="G850" s="21" t="n">
        <f aca="false">IF(E850,D850^2,0)</f>
        <v>0</v>
      </c>
      <c r="H850" s="3"/>
    </row>
    <row r="851" customFormat="false" ht="15" hidden="false" customHeight="true" outlineLevel="0" collapsed="false">
      <c r="A851" s="16"/>
      <c r="B851" s="16"/>
      <c r="C851" s="15"/>
      <c r="D851" s="19"/>
      <c r="E851" s="20" t="b">
        <f aca="false">AND(A851&lt;&gt;"",C851&lt;&gt;"",D851&lt;&gt;"",C851&gt;='Read Me'!$B$5)</f>
        <v>0</v>
      </c>
      <c r="F851" s="23" t="str">
        <f aca="false">IF(E851,D851,"")</f>
        <v/>
      </c>
      <c r="G851" s="21" t="n">
        <f aca="false">IF(E851,D851^2,0)</f>
        <v>0</v>
      </c>
      <c r="H851" s="3"/>
    </row>
    <row r="852" customFormat="false" ht="15" hidden="false" customHeight="true" outlineLevel="0" collapsed="false">
      <c r="A852" s="16"/>
      <c r="B852" s="16"/>
      <c r="C852" s="15"/>
      <c r="D852" s="19"/>
      <c r="E852" s="20" t="b">
        <f aca="false">AND(A852&lt;&gt;"",C852&lt;&gt;"",D852&lt;&gt;"",C852&gt;='Read Me'!$B$5)</f>
        <v>0</v>
      </c>
      <c r="F852" s="23" t="str">
        <f aca="false">IF(E852,D852,"")</f>
        <v/>
      </c>
      <c r="G852" s="21" t="n">
        <f aca="false">IF(E852,D852^2,0)</f>
        <v>0</v>
      </c>
      <c r="H852" s="3"/>
    </row>
    <row r="853" customFormat="false" ht="15" hidden="false" customHeight="true" outlineLevel="0" collapsed="false">
      <c r="A853" s="16"/>
      <c r="B853" s="16"/>
      <c r="C853" s="15"/>
      <c r="D853" s="19"/>
      <c r="E853" s="20" t="b">
        <f aca="false">AND(A853&lt;&gt;"",C853&lt;&gt;"",D853&lt;&gt;"",C853&gt;='Read Me'!$B$5)</f>
        <v>0</v>
      </c>
      <c r="F853" s="23" t="str">
        <f aca="false">IF(E853,D853,"")</f>
        <v/>
      </c>
      <c r="G853" s="21" t="n">
        <f aca="false">IF(E853,D853^2,0)</f>
        <v>0</v>
      </c>
      <c r="H853" s="3"/>
    </row>
    <row r="854" customFormat="false" ht="15" hidden="false" customHeight="true" outlineLevel="0" collapsed="false">
      <c r="A854" s="16"/>
      <c r="B854" s="16"/>
      <c r="C854" s="15"/>
      <c r="D854" s="19"/>
      <c r="E854" s="20" t="b">
        <f aca="false">AND(A854&lt;&gt;"",C854&lt;&gt;"",D854&lt;&gt;"",C854&gt;='Read Me'!$B$5)</f>
        <v>0</v>
      </c>
      <c r="F854" s="23" t="str">
        <f aca="false">IF(E854,D854,"")</f>
        <v/>
      </c>
      <c r="G854" s="21" t="n">
        <f aca="false">IF(E854,D854^2,0)</f>
        <v>0</v>
      </c>
      <c r="H854" s="3"/>
    </row>
    <row r="855" customFormat="false" ht="15" hidden="false" customHeight="true" outlineLevel="0" collapsed="false">
      <c r="A855" s="16"/>
      <c r="B855" s="16"/>
      <c r="C855" s="15"/>
      <c r="D855" s="19"/>
      <c r="E855" s="20" t="b">
        <f aca="false">AND(A855&lt;&gt;"",C855&lt;&gt;"",D855&lt;&gt;"",C855&gt;='Read Me'!$B$5)</f>
        <v>0</v>
      </c>
      <c r="F855" s="23" t="str">
        <f aca="false">IF(E855,D855,"")</f>
        <v/>
      </c>
      <c r="G855" s="21" t="n">
        <f aca="false">IF(E855,D855^2,0)</f>
        <v>0</v>
      </c>
      <c r="H855" s="3"/>
    </row>
    <row r="856" customFormat="false" ht="15" hidden="false" customHeight="true" outlineLevel="0" collapsed="false">
      <c r="A856" s="16"/>
      <c r="B856" s="16"/>
      <c r="C856" s="15"/>
      <c r="D856" s="19"/>
      <c r="E856" s="20" t="b">
        <f aca="false">AND(A856&lt;&gt;"",C856&lt;&gt;"",D856&lt;&gt;"",C856&gt;='Read Me'!$B$5)</f>
        <v>0</v>
      </c>
      <c r="F856" s="23" t="str">
        <f aca="false">IF(E856,D856,"")</f>
        <v/>
      </c>
      <c r="G856" s="21" t="n">
        <f aca="false">IF(E856,D856^2,0)</f>
        <v>0</v>
      </c>
      <c r="H856" s="3"/>
    </row>
    <row r="857" customFormat="false" ht="15" hidden="false" customHeight="true" outlineLevel="0" collapsed="false">
      <c r="A857" s="16"/>
      <c r="B857" s="16"/>
      <c r="C857" s="15"/>
      <c r="D857" s="19"/>
      <c r="E857" s="20" t="b">
        <f aca="false">AND(A857&lt;&gt;"",C857&lt;&gt;"",D857&lt;&gt;"",C857&gt;='Read Me'!$B$5)</f>
        <v>0</v>
      </c>
      <c r="F857" s="23" t="str">
        <f aca="false">IF(E857,D857,"")</f>
        <v/>
      </c>
      <c r="G857" s="21" t="n">
        <f aca="false">IF(E857,D857^2,0)</f>
        <v>0</v>
      </c>
      <c r="H857" s="3"/>
    </row>
    <row r="858" customFormat="false" ht="15" hidden="false" customHeight="true" outlineLevel="0" collapsed="false">
      <c r="A858" s="16"/>
      <c r="B858" s="16"/>
      <c r="C858" s="15"/>
      <c r="D858" s="19"/>
      <c r="E858" s="20" t="b">
        <f aca="false">AND(A858&lt;&gt;"",C858&lt;&gt;"",D858&lt;&gt;"",C858&gt;='Read Me'!$B$5)</f>
        <v>0</v>
      </c>
      <c r="F858" s="23" t="str">
        <f aca="false">IF(E858,D858,"")</f>
        <v/>
      </c>
      <c r="G858" s="21" t="n">
        <f aca="false">IF(E858,D858^2,0)</f>
        <v>0</v>
      </c>
      <c r="H858" s="3"/>
    </row>
    <row r="859" customFormat="false" ht="15" hidden="false" customHeight="true" outlineLevel="0" collapsed="false">
      <c r="A859" s="16"/>
      <c r="B859" s="16"/>
      <c r="C859" s="15"/>
      <c r="D859" s="19"/>
      <c r="E859" s="20" t="b">
        <f aca="false">AND(A859&lt;&gt;"",C859&lt;&gt;"",D859&lt;&gt;"",C859&gt;='Read Me'!$B$5)</f>
        <v>0</v>
      </c>
      <c r="F859" s="23" t="str">
        <f aca="false">IF(E859,D859,"")</f>
        <v/>
      </c>
      <c r="G859" s="21" t="n">
        <f aca="false">IF(E859,D859^2,0)</f>
        <v>0</v>
      </c>
      <c r="H859" s="3"/>
    </row>
    <row r="860" customFormat="false" ht="15" hidden="false" customHeight="true" outlineLevel="0" collapsed="false">
      <c r="A860" s="16"/>
      <c r="B860" s="16"/>
      <c r="C860" s="15"/>
      <c r="D860" s="19"/>
      <c r="E860" s="20" t="b">
        <f aca="false">AND(A860&lt;&gt;"",C860&lt;&gt;"",D860&lt;&gt;"",C860&gt;='Read Me'!$B$5)</f>
        <v>0</v>
      </c>
      <c r="F860" s="23" t="str">
        <f aca="false">IF(E860,D860,"")</f>
        <v/>
      </c>
      <c r="G860" s="21" t="n">
        <f aca="false">IF(E860,D860^2,0)</f>
        <v>0</v>
      </c>
      <c r="H860" s="3"/>
    </row>
    <row r="861" customFormat="false" ht="15" hidden="false" customHeight="true" outlineLevel="0" collapsed="false">
      <c r="A861" s="16"/>
      <c r="B861" s="16"/>
      <c r="C861" s="15"/>
      <c r="D861" s="19"/>
      <c r="E861" s="20" t="b">
        <f aca="false">AND(A861&lt;&gt;"",C861&lt;&gt;"",D861&lt;&gt;"",C861&gt;='Read Me'!$B$5)</f>
        <v>0</v>
      </c>
      <c r="F861" s="23" t="str">
        <f aca="false">IF(E861,D861,"")</f>
        <v/>
      </c>
      <c r="G861" s="21" t="n">
        <f aca="false">IF(E861,D861^2,0)</f>
        <v>0</v>
      </c>
      <c r="H861" s="3"/>
    </row>
    <row r="862" customFormat="false" ht="15" hidden="false" customHeight="true" outlineLevel="0" collapsed="false">
      <c r="A862" s="16"/>
      <c r="B862" s="16"/>
      <c r="C862" s="15"/>
      <c r="D862" s="19"/>
      <c r="E862" s="20" t="b">
        <f aca="false">AND(A862&lt;&gt;"",C862&lt;&gt;"",D862&lt;&gt;"",C862&gt;='Read Me'!$B$5)</f>
        <v>0</v>
      </c>
      <c r="F862" s="23" t="str">
        <f aca="false">IF(E862,D862,"")</f>
        <v/>
      </c>
      <c r="G862" s="21" t="n">
        <f aca="false">IF(E862,D862^2,0)</f>
        <v>0</v>
      </c>
      <c r="H862" s="3"/>
    </row>
    <row r="863" customFormat="false" ht="15" hidden="false" customHeight="true" outlineLevel="0" collapsed="false">
      <c r="A863" s="16"/>
      <c r="B863" s="16"/>
      <c r="C863" s="15"/>
      <c r="D863" s="19"/>
      <c r="E863" s="20" t="b">
        <f aca="false">AND(A863&lt;&gt;"",C863&lt;&gt;"",D863&lt;&gt;"",C863&gt;='Read Me'!$B$5)</f>
        <v>0</v>
      </c>
      <c r="F863" s="23" t="str">
        <f aca="false">IF(E863,D863,"")</f>
        <v/>
      </c>
      <c r="G863" s="21" t="n">
        <f aca="false">IF(E863,D863^2,0)</f>
        <v>0</v>
      </c>
      <c r="H863" s="3"/>
    </row>
    <row r="864" customFormat="false" ht="15" hidden="false" customHeight="true" outlineLevel="0" collapsed="false">
      <c r="A864" s="16"/>
      <c r="B864" s="16"/>
      <c r="C864" s="15"/>
      <c r="D864" s="19"/>
      <c r="E864" s="20" t="b">
        <f aca="false">AND(A864&lt;&gt;"",C864&lt;&gt;"",D864&lt;&gt;"",C864&gt;='Read Me'!$B$5)</f>
        <v>0</v>
      </c>
      <c r="F864" s="23" t="str">
        <f aca="false">IF(E864,D864,"")</f>
        <v/>
      </c>
      <c r="G864" s="21" t="n">
        <f aca="false">IF(E864,D864^2,0)</f>
        <v>0</v>
      </c>
      <c r="H864" s="3"/>
    </row>
    <row r="865" customFormat="false" ht="15" hidden="false" customHeight="true" outlineLevel="0" collapsed="false">
      <c r="A865" s="16"/>
      <c r="B865" s="16"/>
      <c r="C865" s="15"/>
      <c r="D865" s="19"/>
      <c r="E865" s="20" t="b">
        <f aca="false">AND(A865&lt;&gt;"",C865&lt;&gt;"",D865&lt;&gt;"",C865&gt;='Read Me'!$B$5)</f>
        <v>0</v>
      </c>
      <c r="F865" s="23" t="str">
        <f aca="false">IF(E865,D865,"")</f>
        <v/>
      </c>
      <c r="G865" s="21" t="n">
        <f aca="false">IF(E865,D865^2,0)</f>
        <v>0</v>
      </c>
      <c r="H865" s="3"/>
    </row>
    <row r="866" customFormat="false" ht="15" hidden="false" customHeight="true" outlineLevel="0" collapsed="false">
      <c r="A866" s="16"/>
      <c r="B866" s="16"/>
      <c r="C866" s="15"/>
      <c r="D866" s="19"/>
      <c r="E866" s="20" t="b">
        <f aca="false">AND(A866&lt;&gt;"",C866&lt;&gt;"",D866&lt;&gt;"",C866&gt;='Read Me'!$B$5)</f>
        <v>0</v>
      </c>
      <c r="F866" s="23" t="str">
        <f aca="false">IF(E866,D866,"")</f>
        <v/>
      </c>
      <c r="G866" s="21" t="n">
        <f aca="false">IF(E866,D866^2,0)</f>
        <v>0</v>
      </c>
      <c r="H866" s="3"/>
    </row>
    <row r="867" customFormat="false" ht="15" hidden="false" customHeight="true" outlineLevel="0" collapsed="false">
      <c r="A867" s="16"/>
      <c r="B867" s="16"/>
      <c r="C867" s="15"/>
      <c r="D867" s="19"/>
      <c r="E867" s="20" t="b">
        <f aca="false">AND(A867&lt;&gt;"",C867&lt;&gt;"",D867&lt;&gt;"",C867&gt;='Read Me'!$B$5)</f>
        <v>0</v>
      </c>
      <c r="F867" s="23" t="str">
        <f aca="false">IF(E867,D867,"")</f>
        <v/>
      </c>
      <c r="G867" s="21" t="n">
        <f aca="false">IF(E867,D867^2,0)</f>
        <v>0</v>
      </c>
      <c r="H867" s="3"/>
    </row>
    <row r="868" customFormat="false" ht="15" hidden="false" customHeight="true" outlineLevel="0" collapsed="false">
      <c r="A868" s="16"/>
      <c r="B868" s="16"/>
      <c r="C868" s="15"/>
      <c r="D868" s="19"/>
      <c r="E868" s="20" t="b">
        <f aca="false">AND(A868&lt;&gt;"",C868&lt;&gt;"",D868&lt;&gt;"",C868&gt;='Read Me'!$B$5)</f>
        <v>0</v>
      </c>
      <c r="F868" s="23" t="str">
        <f aca="false">IF(E868,D868,"")</f>
        <v/>
      </c>
      <c r="G868" s="21" t="n">
        <f aca="false">IF(E868,D868^2,0)</f>
        <v>0</v>
      </c>
      <c r="H868" s="3"/>
    </row>
    <row r="869" customFormat="false" ht="15" hidden="false" customHeight="true" outlineLevel="0" collapsed="false">
      <c r="A869" s="16"/>
      <c r="B869" s="16"/>
      <c r="C869" s="15"/>
      <c r="D869" s="19"/>
      <c r="E869" s="20" t="b">
        <f aca="false">AND(A869&lt;&gt;"",C869&lt;&gt;"",D869&lt;&gt;"",C869&gt;='Read Me'!$B$5)</f>
        <v>0</v>
      </c>
      <c r="F869" s="23" t="str">
        <f aca="false">IF(E869,D869,"")</f>
        <v/>
      </c>
      <c r="G869" s="21" t="n">
        <f aca="false">IF(E869,D869^2,0)</f>
        <v>0</v>
      </c>
      <c r="H869" s="3"/>
    </row>
    <row r="870" customFormat="false" ht="15" hidden="false" customHeight="true" outlineLevel="0" collapsed="false">
      <c r="A870" s="16"/>
      <c r="B870" s="16"/>
      <c r="C870" s="15"/>
      <c r="D870" s="19"/>
      <c r="E870" s="20" t="b">
        <f aca="false">AND(A870&lt;&gt;"",C870&lt;&gt;"",D870&lt;&gt;"",C870&gt;='Read Me'!$B$5)</f>
        <v>0</v>
      </c>
      <c r="F870" s="23" t="str">
        <f aca="false">IF(E870,D870,"")</f>
        <v/>
      </c>
      <c r="G870" s="21" t="n">
        <f aca="false">IF(E870,D870^2,0)</f>
        <v>0</v>
      </c>
      <c r="H870" s="3"/>
    </row>
    <row r="871" customFormat="false" ht="15" hidden="false" customHeight="true" outlineLevel="0" collapsed="false">
      <c r="A871" s="16"/>
      <c r="B871" s="16"/>
      <c r="C871" s="15"/>
      <c r="D871" s="19"/>
      <c r="E871" s="20" t="b">
        <f aca="false">AND(A871&lt;&gt;"",C871&lt;&gt;"",D871&lt;&gt;"",C871&gt;='Read Me'!$B$5)</f>
        <v>0</v>
      </c>
      <c r="F871" s="23" t="str">
        <f aca="false">IF(E871,D871,"")</f>
        <v/>
      </c>
      <c r="G871" s="21" t="n">
        <f aca="false">IF(E871,D871^2,0)</f>
        <v>0</v>
      </c>
      <c r="H871" s="3"/>
    </row>
    <row r="872" customFormat="false" ht="15" hidden="false" customHeight="true" outlineLevel="0" collapsed="false">
      <c r="A872" s="16"/>
      <c r="B872" s="16"/>
      <c r="C872" s="15"/>
      <c r="D872" s="19"/>
      <c r="E872" s="20" t="b">
        <f aca="false">AND(A872&lt;&gt;"",C872&lt;&gt;"",D872&lt;&gt;"",C872&gt;='Read Me'!$B$5)</f>
        <v>0</v>
      </c>
      <c r="F872" s="23" t="str">
        <f aca="false">IF(E872,D872,"")</f>
        <v/>
      </c>
      <c r="G872" s="21" t="n">
        <f aca="false">IF(E872,D872^2,0)</f>
        <v>0</v>
      </c>
      <c r="H872" s="3"/>
    </row>
    <row r="873" customFormat="false" ht="15" hidden="false" customHeight="true" outlineLevel="0" collapsed="false">
      <c r="A873" s="16"/>
      <c r="B873" s="16"/>
      <c r="C873" s="15"/>
      <c r="D873" s="19"/>
      <c r="E873" s="20" t="b">
        <f aca="false">AND(A873&lt;&gt;"",C873&lt;&gt;"",D873&lt;&gt;"",C873&gt;='Read Me'!$B$5)</f>
        <v>0</v>
      </c>
      <c r="F873" s="23" t="str">
        <f aca="false">IF(E873,D873,"")</f>
        <v/>
      </c>
      <c r="G873" s="21" t="n">
        <f aca="false">IF(E873,D873^2,0)</f>
        <v>0</v>
      </c>
      <c r="H873" s="3"/>
    </row>
    <row r="874" customFormat="false" ht="15" hidden="false" customHeight="true" outlineLevel="0" collapsed="false">
      <c r="A874" s="16"/>
      <c r="B874" s="16"/>
      <c r="C874" s="15"/>
      <c r="D874" s="19"/>
      <c r="E874" s="20" t="b">
        <f aca="false">AND(A874&lt;&gt;"",C874&lt;&gt;"",D874&lt;&gt;"",C874&gt;='Read Me'!$B$5)</f>
        <v>0</v>
      </c>
      <c r="F874" s="23" t="str">
        <f aca="false">IF(E874,D874,"")</f>
        <v/>
      </c>
      <c r="G874" s="21" t="n">
        <f aca="false">IF(E874,D874^2,0)</f>
        <v>0</v>
      </c>
      <c r="H874" s="3"/>
    </row>
    <row r="875" customFormat="false" ht="15" hidden="false" customHeight="true" outlineLevel="0" collapsed="false">
      <c r="A875" s="16"/>
      <c r="B875" s="16"/>
      <c r="C875" s="15"/>
      <c r="D875" s="19"/>
      <c r="E875" s="20" t="b">
        <f aca="false">AND(A875&lt;&gt;"",C875&lt;&gt;"",D875&lt;&gt;"",C875&gt;='Read Me'!$B$5)</f>
        <v>0</v>
      </c>
      <c r="F875" s="23" t="str">
        <f aca="false">IF(E875,D875,"")</f>
        <v/>
      </c>
      <c r="G875" s="21" t="n">
        <f aca="false">IF(E875,D875^2,0)</f>
        <v>0</v>
      </c>
      <c r="H875" s="3"/>
    </row>
    <row r="876" customFormat="false" ht="15" hidden="false" customHeight="true" outlineLevel="0" collapsed="false">
      <c r="A876" s="16"/>
      <c r="B876" s="16"/>
      <c r="C876" s="15"/>
      <c r="D876" s="19"/>
      <c r="E876" s="20" t="b">
        <f aca="false">AND(A876&lt;&gt;"",C876&lt;&gt;"",D876&lt;&gt;"",C876&gt;='Read Me'!$B$5)</f>
        <v>0</v>
      </c>
      <c r="F876" s="23" t="str">
        <f aca="false">IF(E876,D876,"")</f>
        <v/>
      </c>
      <c r="G876" s="21" t="n">
        <f aca="false">IF(E876,D876^2,0)</f>
        <v>0</v>
      </c>
      <c r="H876" s="3"/>
    </row>
    <row r="877" customFormat="false" ht="15" hidden="false" customHeight="true" outlineLevel="0" collapsed="false">
      <c r="A877" s="16"/>
      <c r="B877" s="16"/>
      <c r="C877" s="15"/>
      <c r="D877" s="19"/>
      <c r="E877" s="20" t="b">
        <f aca="false">AND(A877&lt;&gt;"",C877&lt;&gt;"",D877&lt;&gt;"",C877&gt;='Read Me'!$B$5)</f>
        <v>0</v>
      </c>
      <c r="F877" s="23" t="str">
        <f aca="false">IF(E877,D877,"")</f>
        <v/>
      </c>
      <c r="G877" s="21" t="n">
        <f aca="false">IF(E877,D877^2,0)</f>
        <v>0</v>
      </c>
      <c r="H877" s="3"/>
    </row>
    <row r="878" customFormat="false" ht="15" hidden="false" customHeight="true" outlineLevel="0" collapsed="false">
      <c r="A878" s="16"/>
      <c r="B878" s="16"/>
      <c r="C878" s="15"/>
      <c r="D878" s="19"/>
      <c r="E878" s="20" t="b">
        <f aca="false">AND(A878&lt;&gt;"",C878&lt;&gt;"",D878&lt;&gt;"",C878&gt;='Read Me'!$B$5)</f>
        <v>0</v>
      </c>
      <c r="F878" s="23" t="str">
        <f aca="false">IF(E878,D878,"")</f>
        <v/>
      </c>
      <c r="G878" s="21" t="n">
        <f aca="false">IF(E878,D878^2,0)</f>
        <v>0</v>
      </c>
      <c r="H878" s="3"/>
    </row>
    <row r="879" customFormat="false" ht="15" hidden="false" customHeight="true" outlineLevel="0" collapsed="false">
      <c r="A879" s="16"/>
      <c r="B879" s="16"/>
      <c r="C879" s="15"/>
      <c r="D879" s="19"/>
      <c r="E879" s="20" t="b">
        <f aca="false">AND(A879&lt;&gt;"",C879&lt;&gt;"",D879&lt;&gt;"",C879&gt;='Read Me'!$B$5)</f>
        <v>0</v>
      </c>
      <c r="F879" s="23" t="str">
        <f aca="false">IF(E879,D879,"")</f>
        <v/>
      </c>
      <c r="G879" s="21" t="n">
        <f aca="false">IF(E879,D879^2,0)</f>
        <v>0</v>
      </c>
      <c r="H879" s="3"/>
    </row>
    <row r="880" customFormat="false" ht="15" hidden="false" customHeight="true" outlineLevel="0" collapsed="false">
      <c r="A880" s="16"/>
      <c r="B880" s="16"/>
      <c r="C880" s="15"/>
      <c r="D880" s="19"/>
      <c r="E880" s="20" t="b">
        <f aca="false">AND(A880&lt;&gt;"",C880&lt;&gt;"",D880&lt;&gt;"",C880&gt;='Read Me'!$B$5)</f>
        <v>0</v>
      </c>
      <c r="F880" s="23" t="str">
        <f aca="false">IF(E880,D880,"")</f>
        <v/>
      </c>
      <c r="G880" s="21" t="n">
        <f aca="false">IF(E880,D880^2,0)</f>
        <v>0</v>
      </c>
      <c r="H880" s="3"/>
    </row>
    <row r="881" customFormat="false" ht="15" hidden="false" customHeight="true" outlineLevel="0" collapsed="false">
      <c r="A881" s="16"/>
      <c r="B881" s="16"/>
      <c r="C881" s="15"/>
      <c r="D881" s="19"/>
      <c r="E881" s="20" t="b">
        <f aca="false">AND(A881&lt;&gt;"",C881&lt;&gt;"",D881&lt;&gt;"",C881&gt;='Read Me'!$B$5)</f>
        <v>0</v>
      </c>
      <c r="F881" s="23" t="str">
        <f aca="false">IF(E881,D881,"")</f>
        <v/>
      </c>
      <c r="G881" s="21" t="n">
        <f aca="false">IF(E881,D881^2,0)</f>
        <v>0</v>
      </c>
      <c r="H881" s="3"/>
    </row>
    <row r="882" customFormat="false" ht="15" hidden="false" customHeight="true" outlineLevel="0" collapsed="false">
      <c r="A882" s="16"/>
      <c r="B882" s="16"/>
      <c r="C882" s="15"/>
      <c r="D882" s="19"/>
      <c r="E882" s="20" t="b">
        <f aca="false">AND(A882&lt;&gt;"",C882&lt;&gt;"",D882&lt;&gt;"",C882&gt;='Read Me'!$B$5)</f>
        <v>0</v>
      </c>
      <c r="F882" s="23" t="str">
        <f aca="false">IF(E882,D882,"")</f>
        <v/>
      </c>
      <c r="G882" s="21" t="n">
        <f aca="false">IF(E882,D882^2,0)</f>
        <v>0</v>
      </c>
      <c r="H882" s="3"/>
    </row>
    <row r="883" customFormat="false" ht="15" hidden="false" customHeight="true" outlineLevel="0" collapsed="false">
      <c r="A883" s="16"/>
      <c r="B883" s="16"/>
      <c r="C883" s="15"/>
      <c r="D883" s="19"/>
      <c r="E883" s="20" t="b">
        <f aca="false">AND(A883&lt;&gt;"",C883&lt;&gt;"",D883&lt;&gt;"",C883&gt;='Read Me'!$B$5)</f>
        <v>0</v>
      </c>
      <c r="F883" s="23" t="str">
        <f aca="false">IF(E883,D883,"")</f>
        <v/>
      </c>
      <c r="G883" s="21" t="n">
        <f aca="false">IF(E883,D883^2,0)</f>
        <v>0</v>
      </c>
      <c r="H883" s="3"/>
    </row>
    <row r="884" customFormat="false" ht="15" hidden="false" customHeight="true" outlineLevel="0" collapsed="false">
      <c r="A884" s="16"/>
      <c r="B884" s="16"/>
      <c r="C884" s="15"/>
      <c r="D884" s="19"/>
      <c r="E884" s="20" t="b">
        <f aca="false">AND(A884&lt;&gt;"",C884&lt;&gt;"",D884&lt;&gt;"",C884&gt;='Read Me'!$B$5)</f>
        <v>0</v>
      </c>
      <c r="F884" s="23" t="str">
        <f aca="false">IF(E884,D884,"")</f>
        <v/>
      </c>
      <c r="G884" s="21" t="n">
        <f aca="false">IF(E884,D884^2,0)</f>
        <v>0</v>
      </c>
      <c r="H884" s="3"/>
    </row>
    <row r="885" customFormat="false" ht="15" hidden="false" customHeight="true" outlineLevel="0" collapsed="false">
      <c r="A885" s="16"/>
      <c r="B885" s="16"/>
      <c r="C885" s="15"/>
      <c r="D885" s="19"/>
      <c r="E885" s="20" t="b">
        <f aca="false">AND(A885&lt;&gt;"",C885&lt;&gt;"",D885&lt;&gt;"",C885&gt;='Read Me'!$B$5)</f>
        <v>0</v>
      </c>
      <c r="F885" s="23" t="str">
        <f aca="false">IF(E885,D885,"")</f>
        <v/>
      </c>
      <c r="G885" s="21" t="n">
        <f aca="false">IF(E885,D885^2,0)</f>
        <v>0</v>
      </c>
      <c r="H885" s="3"/>
    </row>
    <row r="886" customFormat="false" ht="15" hidden="false" customHeight="true" outlineLevel="0" collapsed="false">
      <c r="A886" s="16"/>
      <c r="B886" s="16"/>
      <c r="C886" s="15"/>
      <c r="D886" s="19"/>
      <c r="E886" s="20" t="b">
        <f aca="false">AND(A886&lt;&gt;"",C886&lt;&gt;"",D886&lt;&gt;"",C886&gt;='Read Me'!$B$5)</f>
        <v>0</v>
      </c>
      <c r="F886" s="23" t="str">
        <f aca="false">IF(E886,D886,"")</f>
        <v/>
      </c>
      <c r="G886" s="21" t="n">
        <f aca="false">IF(E886,D886^2,0)</f>
        <v>0</v>
      </c>
      <c r="H886" s="3"/>
    </row>
    <row r="887" customFormat="false" ht="15" hidden="false" customHeight="true" outlineLevel="0" collapsed="false">
      <c r="A887" s="16"/>
      <c r="B887" s="16"/>
      <c r="C887" s="15"/>
      <c r="D887" s="19"/>
      <c r="E887" s="20" t="b">
        <f aca="false">AND(A887&lt;&gt;"",C887&lt;&gt;"",D887&lt;&gt;"",C887&gt;='Read Me'!$B$5)</f>
        <v>0</v>
      </c>
      <c r="F887" s="23" t="str">
        <f aca="false">IF(E887,D887,"")</f>
        <v/>
      </c>
      <c r="G887" s="21" t="n">
        <f aca="false">IF(E887,D887^2,0)</f>
        <v>0</v>
      </c>
      <c r="H887" s="3"/>
    </row>
    <row r="888" customFormat="false" ht="15" hidden="false" customHeight="true" outlineLevel="0" collapsed="false">
      <c r="A888" s="16"/>
      <c r="B888" s="16"/>
      <c r="C888" s="15"/>
      <c r="D888" s="19"/>
      <c r="E888" s="20" t="b">
        <f aca="false">AND(A888&lt;&gt;"",C888&lt;&gt;"",D888&lt;&gt;"",C888&gt;='Read Me'!$B$5)</f>
        <v>0</v>
      </c>
      <c r="F888" s="23" t="str">
        <f aca="false">IF(E888,D888,"")</f>
        <v/>
      </c>
      <c r="G888" s="21" t="n">
        <f aca="false">IF(E888,D888^2,0)</f>
        <v>0</v>
      </c>
      <c r="H888" s="3"/>
    </row>
    <row r="889" customFormat="false" ht="15" hidden="false" customHeight="true" outlineLevel="0" collapsed="false">
      <c r="A889" s="16"/>
      <c r="B889" s="16"/>
      <c r="C889" s="15"/>
      <c r="D889" s="19"/>
      <c r="E889" s="20" t="b">
        <f aca="false">AND(A889&lt;&gt;"",C889&lt;&gt;"",D889&lt;&gt;"",C889&gt;='Read Me'!$B$5)</f>
        <v>0</v>
      </c>
      <c r="F889" s="23" t="str">
        <f aca="false">IF(E889,D889,"")</f>
        <v/>
      </c>
      <c r="G889" s="21" t="n">
        <f aca="false">IF(E889,D889^2,0)</f>
        <v>0</v>
      </c>
      <c r="H889" s="3"/>
    </row>
    <row r="890" customFormat="false" ht="15" hidden="false" customHeight="true" outlineLevel="0" collapsed="false">
      <c r="A890" s="16"/>
      <c r="B890" s="16"/>
      <c r="C890" s="15"/>
      <c r="D890" s="19"/>
      <c r="E890" s="20" t="b">
        <f aca="false">AND(A890&lt;&gt;"",C890&lt;&gt;"",D890&lt;&gt;"",C890&gt;='Read Me'!$B$5)</f>
        <v>0</v>
      </c>
      <c r="F890" s="23" t="str">
        <f aca="false">IF(E890,D890,"")</f>
        <v/>
      </c>
      <c r="G890" s="21" t="n">
        <f aca="false">IF(E890,D890^2,0)</f>
        <v>0</v>
      </c>
      <c r="H890" s="3"/>
    </row>
    <row r="891" customFormat="false" ht="15" hidden="false" customHeight="true" outlineLevel="0" collapsed="false">
      <c r="A891" s="16"/>
      <c r="B891" s="16"/>
      <c r="C891" s="15"/>
      <c r="D891" s="19"/>
      <c r="E891" s="20" t="b">
        <f aca="false">AND(A891&lt;&gt;"",C891&lt;&gt;"",D891&lt;&gt;"",C891&gt;='Read Me'!$B$5)</f>
        <v>0</v>
      </c>
      <c r="F891" s="23" t="str">
        <f aca="false">IF(E891,D891,"")</f>
        <v/>
      </c>
      <c r="G891" s="21" t="n">
        <f aca="false">IF(E891,D891^2,0)</f>
        <v>0</v>
      </c>
      <c r="H891" s="3"/>
    </row>
    <row r="892" customFormat="false" ht="15" hidden="false" customHeight="true" outlineLevel="0" collapsed="false">
      <c r="A892" s="16"/>
      <c r="B892" s="16"/>
      <c r="C892" s="15"/>
      <c r="D892" s="19"/>
      <c r="E892" s="20" t="b">
        <f aca="false">AND(A892&lt;&gt;"",C892&lt;&gt;"",D892&lt;&gt;"",C892&gt;='Read Me'!$B$5)</f>
        <v>0</v>
      </c>
      <c r="F892" s="23" t="str">
        <f aca="false">IF(E892,D892,"")</f>
        <v/>
      </c>
      <c r="G892" s="21" t="n">
        <f aca="false">IF(E892,D892^2,0)</f>
        <v>0</v>
      </c>
      <c r="H892" s="3"/>
    </row>
    <row r="893" customFormat="false" ht="15" hidden="false" customHeight="true" outlineLevel="0" collapsed="false">
      <c r="A893" s="16"/>
      <c r="B893" s="16"/>
      <c r="C893" s="15"/>
      <c r="D893" s="19"/>
      <c r="E893" s="20" t="b">
        <f aca="false">AND(A893&lt;&gt;"",C893&lt;&gt;"",D893&lt;&gt;"",C893&gt;='Read Me'!$B$5)</f>
        <v>0</v>
      </c>
      <c r="F893" s="23" t="str">
        <f aca="false">IF(E893,D893,"")</f>
        <v/>
      </c>
      <c r="G893" s="21" t="n">
        <f aca="false">IF(E893,D893^2,0)</f>
        <v>0</v>
      </c>
      <c r="H893" s="3"/>
    </row>
    <row r="894" customFormat="false" ht="15" hidden="false" customHeight="true" outlineLevel="0" collapsed="false">
      <c r="A894" s="16"/>
      <c r="B894" s="16"/>
      <c r="C894" s="15"/>
      <c r="D894" s="19"/>
      <c r="E894" s="20" t="b">
        <f aca="false">AND(A894&lt;&gt;"",C894&lt;&gt;"",D894&lt;&gt;"",C894&gt;='Read Me'!$B$5)</f>
        <v>0</v>
      </c>
      <c r="F894" s="23" t="str">
        <f aca="false">IF(E894,D894,"")</f>
        <v/>
      </c>
      <c r="G894" s="21" t="n">
        <f aca="false">IF(E894,D894^2,0)</f>
        <v>0</v>
      </c>
      <c r="H894" s="3"/>
    </row>
    <row r="895" customFormat="false" ht="15" hidden="false" customHeight="true" outlineLevel="0" collapsed="false">
      <c r="A895" s="16"/>
      <c r="B895" s="16"/>
      <c r="C895" s="15"/>
      <c r="D895" s="19"/>
      <c r="E895" s="20" t="b">
        <f aca="false">AND(A895&lt;&gt;"",C895&lt;&gt;"",D895&lt;&gt;"",C895&gt;='Read Me'!$B$5)</f>
        <v>0</v>
      </c>
      <c r="F895" s="23" t="str">
        <f aca="false">IF(E895,D895,"")</f>
        <v/>
      </c>
      <c r="G895" s="21" t="n">
        <f aca="false">IF(E895,D895^2,0)</f>
        <v>0</v>
      </c>
      <c r="H895" s="3"/>
    </row>
    <row r="896" customFormat="false" ht="15" hidden="false" customHeight="true" outlineLevel="0" collapsed="false">
      <c r="A896" s="16"/>
      <c r="B896" s="16"/>
      <c r="C896" s="15"/>
      <c r="D896" s="19"/>
      <c r="E896" s="20" t="b">
        <f aca="false">AND(A896&lt;&gt;"",C896&lt;&gt;"",D896&lt;&gt;"",C896&gt;='Read Me'!$B$5)</f>
        <v>0</v>
      </c>
      <c r="F896" s="23" t="str">
        <f aca="false">IF(E896,D896,"")</f>
        <v/>
      </c>
      <c r="G896" s="21" t="n">
        <f aca="false">IF(E896,D896^2,0)</f>
        <v>0</v>
      </c>
      <c r="H896" s="3"/>
    </row>
    <row r="897" customFormat="false" ht="15" hidden="false" customHeight="true" outlineLevel="0" collapsed="false">
      <c r="A897" s="16"/>
      <c r="B897" s="16"/>
      <c r="C897" s="15"/>
      <c r="D897" s="19"/>
      <c r="E897" s="20" t="b">
        <f aca="false">AND(A897&lt;&gt;"",C897&lt;&gt;"",D897&lt;&gt;"",C897&gt;='Read Me'!$B$5)</f>
        <v>0</v>
      </c>
      <c r="F897" s="23" t="str">
        <f aca="false">IF(E897,D897,"")</f>
        <v/>
      </c>
      <c r="G897" s="21" t="n">
        <f aca="false">IF(E897,D897^2,0)</f>
        <v>0</v>
      </c>
      <c r="H897" s="3"/>
    </row>
    <row r="898" customFormat="false" ht="15" hidden="false" customHeight="true" outlineLevel="0" collapsed="false">
      <c r="A898" s="16"/>
      <c r="B898" s="16"/>
      <c r="C898" s="15"/>
      <c r="D898" s="19"/>
      <c r="E898" s="20" t="b">
        <f aca="false">AND(A898&lt;&gt;"",C898&lt;&gt;"",D898&lt;&gt;"",C898&gt;='Read Me'!$B$5)</f>
        <v>0</v>
      </c>
      <c r="F898" s="23" t="str">
        <f aca="false">IF(E898,D898,"")</f>
        <v/>
      </c>
      <c r="G898" s="21" t="n">
        <f aca="false">IF(E898,D898^2,0)</f>
        <v>0</v>
      </c>
      <c r="H898" s="3"/>
    </row>
    <row r="899" customFormat="false" ht="15" hidden="false" customHeight="true" outlineLevel="0" collapsed="false">
      <c r="A899" s="16"/>
      <c r="B899" s="16"/>
      <c r="C899" s="15"/>
      <c r="D899" s="19"/>
      <c r="E899" s="20" t="b">
        <f aca="false">AND(A899&lt;&gt;"",C899&lt;&gt;"",D899&lt;&gt;"",C899&gt;='Read Me'!$B$5)</f>
        <v>0</v>
      </c>
      <c r="F899" s="23" t="str">
        <f aca="false">IF(E899,D899,"")</f>
        <v/>
      </c>
      <c r="G899" s="21" t="n">
        <f aca="false">IF(E899,D899^2,0)</f>
        <v>0</v>
      </c>
      <c r="H899" s="3"/>
    </row>
    <row r="900" customFormat="false" ht="15" hidden="false" customHeight="true" outlineLevel="0" collapsed="false">
      <c r="A900" s="16"/>
      <c r="B900" s="16"/>
      <c r="C900" s="15"/>
      <c r="D900" s="19"/>
      <c r="E900" s="20" t="b">
        <f aca="false">AND(A900&lt;&gt;"",C900&lt;&gt;"",D900&lt;&gt;"",C900&gt;='Read Me'!$B$5)</f>
        <v>0</v>
      </c>
      <c r="F900" s="23" t="str">
        <f aca="false">IF(E900,D900,"")</f>
        <v/>
      </c>
      <c r="G900" s="21" t="n">
        <f aca="false">IF(E900,D900^2,0)</f>
        <v>0</v>
      </c>
      <c r="H900" s="3"/>
    </row>
    <row r="901" customFormat="false" ht="15" hidden="false" customHeight="true" outlineLevel="0" collapsed="false">
      <c r="A901" s="16"/>
      <c r="B901" s="16"/>
      <c r="C901" s="15"/>
      <c r="D901" s="19"/>
      <c r="E901" s="20" t="b">
        <f aca="false">AND(A901&lt;&gt;"",C901&lt;&gt;"",D901&lt;&gt;"",C901&gt;='Read Me'!$B$5)</f>
        <v>0</v>
      </c>
      <c r="F901" s="23" t="str">
        <f aca="false">IF(E901,D901,"")</f>
        <v/>
      </c>
      <c r="G901" s="21" t="n">
        <f aca="false">IF(E901,D901^2,0)</f>
        <v>0</v>
      </c>
      <c r="H901" s="3"/>
    </row>
    <row r="902" customFormat="false" ht="15" hidden="false" customHeight="true" outlineLevel="0" collapsed="false">
      <c r="A902" s="16"/>
      <c r="B902" s="16"/>
      <c r="C902" s="15"/>
      <c r="D902" s="19"/>
      <c r="E902" s="20" t="b">
        <f aca="false">AND(A902&lt;&gt;"",C902&lt;&gt;"",D902&lt;&gt;"",C902&gt;='Read Me'!$B$5)</f>
        <v>0</v>
      </c>
      <c r="F902" s="23" t="str">
        <f aca="false">IF(E902,D902,"")</f>
        <v/>
      </c>
      <c r="G902" s="21" t="n">
        <f aca="false">IF(E902,D902^2,0)</f>
        <v>0</v>
      </c>
      <c r="H902" s="3"/>
    </row>
    <row r="903" customFormat="false" ht="15" hidden="false" customHeight="true" outlineLevel="0" collapsed="false">
      <c r="A903" s="16"/>
      <c r="B903" s="16"/>
      <c r="C903" s="15"/>
      <c r="D903" s="19"/>
      <c r="E903" s="20" t="b">
        <f aca="false">AND(A903&lt;&gt;"",C903&lt;&gt;"",D903&lt;&gt;"",C903&gt;='Read Me'!$B$5)</f>
        <v>0</v>
      </c>
      <c r="F903" s="23" t="str">
        <f aca="false">IF(E903,D903,"")</f>
        <v/>
      </c>
      <c r="G903" s="21" t="n">
        <f aca="false">IF(E903,D903^2,0)</f>
        <v>0</v>
      </c>
      <c r="H903" s="3"/>
    </row>
    <row r="904" customFormat="false" ht="15" hidden="false" customHeight="true" outlineLevel="0" collapsed="false">
      <c r="A904" s="16"/>
      <c r="B904" s="16"/>
      <c r="C904" s="15"/>
      <c r="D904" s="19"/>
      <c r="E904" s="20" t="b">
        <f aca="false">AND(A904&lt;&gt;"",C904&lt;&gt;"",D904&lt;&gt;"",C904&gt;='Read Me'!$B$5)</f>
        <v>0</v>
      </c>
      <c r="F904" s="23" t="str">
        <f aca="false">IF(E904,D904,"")</f>
        <v/>
      </c>
      <c r="G904" s="21" t="n">
        <f aca="false">IF(E904,D904^2,0)</f>
        <v>0</v>
      </c>
      <c r="H904" s="3"/>
    </row>
    <row r="905" customFormat="false" ht="15" hidden="false" customHeight="true" outlineLevel="0" collapsed="false">
      <c r="A905" s="16"/>
      <c r="B905" s="16"/>
      <c r="C905" s="15"/>
      <c r="D905" s="19"/>
      <c r="E905" s="20" t="b">
        <f aca="false">AND(A905&lt;&gt;"",C905&lt;&gt;"",D905&lt;&gt;"",C905&gt;='Read Me'!$B$5)</f>
        <v>0</v>
      </c>
      <c r="F905" s="23" t="str">
        <f aca="false">IF(E905,D905,"")</f>
        <v/>
      </c>
      <c r="G905" s="21" t="n">
        <f aca="false">IF(E905,D905^2,0)</f>
        <v>0</v>
      </c>
      <c r="H905" s="3"/>
    </row>
    <row r="906" customFormat="false" ht="15" hidden="false" customHeight="true" outlineLevel="0" collapsed="false">
      <c r="A906" s="16"/>
      <c r="B906" s="16"/>
      <c r="C906" s="15"/>
      <c r="D906" s="19"/>
      <c r="E906" s="20" t="b">
        <f aca="false">AND(A906&lt;&gt;"",C906&lt;&gt;"",D906&lt;&gt;"",C906&gt;='Read Me'!$B$5)</f>
        <v>0</v>
      </c>
      <c r="F906" s="23" t="str">
        <f aca="false">IF(E906,D906,"")</f>
        <v/>
      </c>
      <c r="G906" s="21" t="n">
        <f aca="false">IF(E906,D906^2,0)</f>
        <v>0</v>
      </c>
      <c r="H906" s="3"/>
    </row>
    <row r="907" customFormat="false" ht="15" hidden="false" customHeight="true" outlineLevel="0" collapsed="false">
      <c r="A907" s="16"/>
      <c r="B907" s="16"/>
      <c r="C907" s="15"/>
      <c r="D907" s="19"/>
      <c r="E907" s="20" t="b">
        <f aca="false">AND(A907&lt;&gt;"",C907&lt;&gt;"",D907&lt;&gt;"",C907&gt;='Read Me'!$B$5)</f>
        <v>0</v>
      </c>
      <c r="F907" s="23" t="str">
        <f aca="false">IF(E907,D907,"")</f>
        <v/>
      </c>
      <c r="G907" s="21" t="n">
        <f aca="false">IF(E907,D907^2,0)</f>
        <v>0</v>
      </c>
      <c r="H907" s="3"/>
    </row>
    <row r="908" customFormat="false" ht="15" hidden="false" customHeight="true" outlineLevel="0" collapsed="false">
      <c r="A908" s="16"/>
      <c r="B908" s="16"/>
      <c r="C908" s="15"/>
      <c r="D908" s="19"/>
      <c r="E908" s="20" t="b">
        <f aca="false">AND(A908&lt;&gt;"",C908&lt;&gt;"",D908&lt;&gt;"",C908&gt;='Read Me'!$B$5)</f>
        <v>0</v>
      </c>
      <c r="F908" s="23" t="str">
        <f aca="false">IF(E908,D908,"")</f>
        <v/>
      </c>
      <c r="G908" s="21" t="n">
        <f aca="false">IF(E908,D908^2,0)</f>
        <v>0</v>
      </c>
      <c r="H908" s="3"/>
    </row>
    <row r="909" customFormat="false" ht="15" hidden="false" customHeight="true" outlineLevel="0" collapsed="false">
      <c r="A909" s="16"/>
      <c r="B909" s="16"/>
      <c r="C909" s="15"/>
      <c r="D909" s="19"/>
      <c r="E909" s="20" t="b">
        <f aca="false">AND(A909&lt;&gt;"",C909&lt;&gt;"",D909&lt;&gt;"",C909&gt;='Read Me'!$B$5)</f>
        <v>0</v>
      </c>
      <c r="F909" s="23" t="str">
        <f aca="false">IF(E909,D909,"")</f>
        <v/>
      </c>
      <c r="G909" s="21" t="n">
        <f aca="false">IF(E909,D909^2,0)</f>
        <v>0</v>
      </c>
      <c r="H909" s="3"/>
    </row>
    <row r="910" customFormat="false" ht="15" hidden="false" customHeight="true" outlineLevel="0" collapsed="false">
      <c r="A910" s="16"/>
      <c r="B910" s="16"/>
      <c r="C910" s="15"/>
      <c r="D910" s="19"/>
      <c r="E910" s="20" t="b">
        <f aca="false">AND(A910&lt;&gt;"",C910&lt;&gt;"",D910&lt;&gt;"",C910&gt;='Read Me'!$B$5)</f>
        <v>0</v>
      </c>
      <c r="F910" s="23" t="str">
        <f aca="false">IF(E910,D910,"")</f>
        <v/>
      </c>
      <c r="G910" s="21" t="n">
        <f aca="false">IF(E910,D910^2,0)</f>
        <v>0</v>
      </c>
      <c r="H910" s="3"/>
    </row>
    <row r="911" customFormat="false" ht="15" hidden="false" customHeight="true" outlineLevel="0" collapsed="false">
      <c r="A911" s="16"/>
      <c r="B911" s="16"/>
      <c r="C911" s="15"/>
      <c r="D911" s="19"/>
      <c r="E911" s="20" t="b">
        <f aca="false">AND(A911&lt;&gt;"",C911&lt;&gt;"",D911&lt;&gt;"",C911&gt;='Read Me'!$B$5)</f>
        <v>0</v>
      </c>
      <c r="F911" s="23" t="str">
        <f aca="false">IF(E911,D911,"")</f>
        <v/>
      </c>
      <c r="G911" s="21" t="n">
        <f aca="false">IF(E911,D911^2,0)</f>
        <v>0</v>
      </c>
      <c r="H911" s="3"/>
    </row>
    <row r="912" customFormat="false" ht="15" hidden="false" customHeight="true" outlineLevel="0" collapsed="false">
      <c r="A912" s="16"/>
      <c r="B912" s="16"/>
      <c r="C912" s="15"/>
      <c r="D912" s="19"/>
      <c r="E912" s="20" t="b">
        <f aca="false">AND(A912&lt;&gt;"",C912&lt;&gt;"",D912&lt;&gt;"",C912&gt;='Read Me'!$B$5)</f>
        <v>0</v>
      </c>
      <c r="F912" s="23" t="str">
        <f aca="false">IF(E912,D912,"")</f>
        <v/>
      </c>
      <c r="G912" s="21" t="n">
        <f aca="false">IF(E912,D912^2,0)</f>
        <v>0</v>
      </c>
      <c r="H912" s="3"/>
    </row>
    <row r="913" customFormat="false" ht="15" hidden="false" customHeight="true" outlineLevel="0" collapsed="false">
      <c r="A913" s="16"/>
      <c r="B913" s="16"/>
      <c r="C913" s="15"/>
      <c r="D913" s="19"/>
      <c r="E913" s="20" t="b">
        <f aca="false">AND(A913&lt;&gt;"",C913&lt;&gt;"",D913&lt;&gt;"",C913&gt;='Read Me'!$B$5)</f>
        <v>0</v>
      </c>
      <c r="F913" s="23" t="str">
        <f aca="false">IF(E913,D913,"")</f>
        <v/>
      </c>
      <c r="G913" s="21" t="n">
        <f aca="false">IF(E913,D913^2,0)</f>
        <v>0</v>
      </c>
      <c r="H913" s="3"/>
    </row>
    <row r="914" customFormat="false" ht="15" hidden="false" customHeight="true" outlineLevel="0" collapsed="false">
      <c r="A914" s="16"/>
      <c r="B914" s="16"/>
      <c r="C914" s="15"/>
      <c r="D914" s="19"/>
      <c r="E914" s="20" t="b">
        <f aca="false">AND(A914&lt;&gt;"",C914&lt;&gt;"",D914&lt;&gt;"",C914&gt;='Read Me'!$B$5)</f>
        <v>0</v>
      </c>
      <c r="F914" s="23" t="str">
        <f aca="false">IF(E914,D914,"")</f>
        <v/>
      </c>
      <c r="G914" s="21" t="n">
        <f aca="false">IF(E914,D914^2,0)</f>
        <v>0</v>
      </c>
      <c r="H914" s="3"/>
    </row>
    <row r="915" customFormat="false" ht="15" hidden="false" customHeight="true" outlineLevel="0" collapsed="false">
      <c r="A915" s="16"/>
      <c r="B915" s="16"/>
      <c r="C915" s="15"/>
      <c r="D915" s="19"/>
      <c r="E915" s="20" t="b">
        <f aca="false">AND(A915&lt;&gt;"",C915&lt;&gt;"",D915&lt;&gt;"",C915&gt;='Read Me'!$B$5)</f>
        <v>0</v>
      </c>
      <c r="F915" s="23" t="str">
        <f aca="false">IF(E915,D915,"")</f>
        <v/>
      </c>
      <c r="G915" s="21" t="n">
        <f aca="false">IF(E915,D915^2,0)</f>
        <v>0</v>
      </c>
      <c r="H915" s="3"/>
    </row>
    <row r="916" customFormat="false" ht="15" hidden="false" customHeight="true" outlineLevel="0" collapsed="false">
      <c r="A916" s="16"/>
      <c r="B916" s="16"/>
      <c r="C916" s="15"/>
      <c r="D916" s="19"/>
      <c r="E916" s="20" t="b">
        <f aca="false">AND(A916&lt;&gt;"",C916&lt;&gt;"",D916&lt;&gt;"",C916&gt;='Read Me'!$B$5)</f>
        <v>0</v>
      </c>
      <c r="F916" s="23" t="str">
        <f aca="false">IF(E916,D916,"")</f>
        <v/>
      </c>
      <c r="G916" s="21" t="n">
        <f aca="false">IF(E916,D916^2,0)</f>
        <v>0</v>
      </c>
      <c r="H916" s="3"/>
    </row>
    <row r="917" customFormat="false" ht="15" hidden="false" customHeight="true" outlineLevel="0" collapsed="false">
      <c r="A917" s="16"/>
      <c r="B917" s="16"/>
      <c r="C917" s="15"/>
      <c r="D917" s="19"/>
      <c r="E917" s="20" t="b">
        <f aca="false">AND(A917&lt;&gt;"",C917&lt;&gt;"",D917&lt;&gt;"",C917&gt;='Read Me'!$B$5)</f>
        <v>0</v>
      </c>
      <c r="F917" s="23" t="str">
        <f aca="false">IF(E917,D917,"")</f>
        <v/>
      </c>
      <c r="G917" s="21" t="n">
        <f aca="false">IF(E917,D917^2,0)</f>
        <v>0</v>
      </c>
      <c r="H917" s="3"/>
    </row>
    <row r="918" customFormat="false" ht="15" hidden="false" customHeight="true" outlineLevel="0" collapsed="false">
      <c r="A918" s="16"/>
      <c r="B918" s="16"/>
      <c r="C918" s="15"/>
      <c r="D918" s="19"/>
      <c r="E918" s="20" t="b">
        <f aca="false">AND(A918&lt;&gt;"",C918&lt;&gt;"",D918&lt;&gt;"",C918&gt;='Read Me'!$B$5)</f>
        <v>0</v>
      </c>
      <c r="F918" s="23" t="str">
        <f aca="false">IF(E918,D918,"")</f>
        <v/>
      </c>
      <c r="G918" s="21" t="n">
        <f aca="false">IF(E918,D918^2,0)</f>
        <v>0</v>
      </c>
      <c r="H918" s="3"/>
    </row>
    <row r="919" customFormat="false" ht="15" hidden="false" customHeight="true" outlineLevel="0" collapsed="false">
      <c r="A919" s="16"/>
      <c r="B919" s="16"/>
      <c r="C919" s="15"/>
      <c r="D919" s="19"/>
      <c r="E919" s="20" t="b">
        <f aca="false">AND(A919&lt;&gt;"",C919&lt;&gt;"",D919&lt;&gt;"",C919&gt;='Read Me'!$B$5)</f>
        <v>0</v>
      </c>
      <c r="F919" s="23" t="str">
        <f aca="false">IF(E919,D919,"")</f>
        <v/>
      </c>
      <c r="G919" s="21" t="n">
        <f aca="false">IF(E919,D919^2,0)</f>
        <v>0</v>
      </c>
      <c r="H919" s="3"/>
    </row>
    <row r="920" customFormat="false" ht="15" hidden="false" customHeight="true" outlineLevel="0" collapsed="false">
      <c r="A920" s="16"/>
      <c r="B920" s="16"/>
      <c r="C920" s="15"/>
      <c r="D920" s="19"/>
      <c r="E920" s="20" t="b">
        <f aca="false">AND(A920&lt;&gt;"",C920&lt;&gt;"",D920&lt;&gt;"",C920&gt;='Read Me'!$B$5)</f>
        <v>0</v>
      </c>
      <c r="F920" s="23" t="str">
        <f aca="false">IF(E920,D920,"")</f>
        <v/>
      </c>
      <c r="G920" s="21" t="n">
        <f aca="false">IF(E920,D920^2,0)</f>
        <v>0</v>
      </c>
      <c r="H920" s="3"/>
    </row>
    <row r="921" customFormat="false" ht="15" hidden="false" customHeight="true" outlineLevel="0" collapsed="false">
      <c r="A921" s="16"/>
      <c r="B921" s="16"/>
      <c r="C921" s="15"/>
      <c r="D921" s="19"/>
      <c r="E921" s="20" t="b">
        <f aca="false">AND(A921&lt;&gt;"",C921&lt;&gt;"",D921&lt;&gt;"",C921&gt;='Read Me'!$B$5)</f>
        <v>0</v>
      </c>
      <c r="F921" s="23" t="str">
        <f aca="false">IF(E921,D921,"")</f>
        <v/>
      </c>
      <c r="G921" s="21" t="n">
        <f aca="false">IF(E921,D921^2,0)</f>
        <v>0</v>
      </c>
      <c r="H921" s="3"/>
    </row>
    <row r="922" customFormat="false" ht="15" hidden="false" customHeight="true" outlineLevel="0" collapsed="false">
      <c r="A922" s="16"/>
      <c r="B922" s="16"/>
      <c r="C922" s="15"/>
      <c r="D922" s="19"/>
      <c r="E922" s="20" t="b">
        <f aca="false">AND(A922&lt;&gt;"",C922&lt;&gt;"",D922&lt;&gt;"",C922&gt;='Read Me'!$B$5)</f>
        <v>0</v>
      </c>
      <c r="F922" s="23" t="str">
        <f aca="false">IF(E922,D922,"")</f>
        <v/>
      </c>
      <c r="G922" s="21" t="n">
        <f aca="false">IF(E922,D922^2,0)</f>
        <v>0</v>
      </c>
      <c r="H922" s="3"/>
    </row>
    <row r="923" customFormat="false" ht="15" hidden="false" customHeight="true" outlineLevel="0" collapsed="false">
      <c r="A923" s="16"/>
      <c r="B923" s="16"/>
      <c r="C923" s="15"/>
      <c r="D923" s="19"/>
      <c r="E923" s="20" t="b">
        <f aca="false">AND(A923&lt;&gt;"",C923&lt;&gt;"",D923&lt;&gt;"",C923&gt;='Read Me'!$B$5)</f>
        <v>0</v>
      </c>
      <c r="F923" s="23" t="str">
        <f aca="false">IF(E923,D923,"")</f>
        <v/>
      </c>
      <c r="G923" s="21" t="n">
        <f aca="false">IF(E923,D923^2,0)</f>
        <v>0</v>
      </c>
      <c r="H923" s="3"/>
    </row>
    <row r="924" customFormat="false" ht="15" hidden="false" customHeight="true" outlineLevel="0" collapsed="false">
      <c r="A924" s="16"/>
      <c r="B924" s="16"/>
      <c r="C924" s="15"/>
      <c r="D924" s="19"/>
      <c r="E924" s="20" t="b">
        <f aca="false">AND(A924&lt;&gt;"",C924&lt;&gt;"",D924&lt;&gt;"",C924&gt;='Read Me'!$B$5)</f>
        <v>0</v>
      </c>
      <c r="F924" s="23" t="str">
        <f aca="false">IF(E924,D924,"")</f>
        <v/>
      </c>
      <c r="G924" s="21" t="n">
        <f aca="false">IF(E924,D924^2,0)</f>
        <v>0</v>
      </c>
      <c r="H924" s="3"/>
    </row>
    <row r="925" customFormat="false" ht="15" hidden="false" customHeight="true" outlineLevel="0" collapsed="false">
      <c r="A925" s="16"/>
      <c r="B925" s="16"/>
      <c r="C925" s="15"/>
      <c r="D925" s="19"/>
      <c r="E925" s="20" t="b">
        <f aca="false">AND(A925&lt;&gt;"",C925&lt;&gt;"",D925&lt;&gt;"",C925&gt;='Read Me'!$B$5)</f>
        <v>0</v>
      </c>
      <c r="F925" s="23" t="str">
        <f aca="false">IF(E925,D925,"")</f>
        <v/>
      </c>
      <c r="G925" s="21" t="n">
        <f aca="false">IF(E925,D925^2,0)</f>
        <v>0</v>
      </c>
      <c r="H925" s="3"/>
    </row>
    <row r="926" customFormat="false" ht="15" hidden="false" customHeight="true" outlineLevel="0" collapsed="false">
      <c r="A926" s="16"/>
      <c r="B926" s="16"/>
      <c r="C926" s="15"/>
      <c r="D926" s="19"/>
      <c r="E926" s="20" t="b">
        <f aca="false">AND(A926&lt;&gt;"",C926&lt;&gt;"",D926&lt;&gt;"",C926&gt;='Read Me'!$B$5)</f>
        <v>0</v>
      </c>
      <c r="F926" s="23" t="str">
        <f aca="false">IF(E926,D926,"")</f>
        <v/>
      </c>
      <c r="G926" s="21" t="n">
        <f aca="false">IF(E926,D926^2,0)</f>
        <v>0</v>
      </c>
      <c r="H926" s="3"/>
    </row>
    <row r="927" customFormat="false" ht="15" hidden="false" customHeight="true" outlineLevel="0" collapsed="false">
      <c r="A927" s="16"/>
      <c r="B927" s="16"/>
      <c r="C927" s="15"/>
      <c r="D927" s="19"/>
      <c r="E927" s="20" t="b">
        <f aca="false">AND(A927&lt;&gt;"",C927&lt;&gt;"",D927&lt;&gt;"",C927&gt;='Read Me'!$B$5)</f>
        <v>0</v>
      </c>
      <c r="F927" s="23" t="str">
        <f aca="false">IF(E927,D927,"")</f>
        <v/>
      </c>
      <c r="G927" s="21" t="n">
        <f aca="false">IF(E927,D927^2,0)</f>
        <v>0</v>
      </c>
      <c r="H927" s="3"/>
    </row>
    <row r="928" customFormat="false" ht="15" hidden="false" customHeight="true" outlineLevel="0" collapsed="false">
      <c r="A928" s="16"/>
      <c r="B928" s="16"/>
      <c r="C928" s="15"/>
      <c r="D928" s="19"/>
      <c r="E928" s="20" t="b">
        <f aca="false">AND(A928&lt;&gt;"",C928&lt;&gt;"",D928&lt;&gt;"",C928&gt;='Read Me'!$B$5)</f>
        <v>0</v>
      </c>
      <c r="F928" s="23" t="str">
        <f aca="false">IF(E928,D928,"")</f>
        <v/>
      </c>
      <c r="G928" s="21" t="n">
        <f aca="false">IF(E928,D928^2,0)</f>
        <v>0</v>
      </c>
      <c r="H928" s="3"/>
    </row>
    <row r="929" customFormat="false" ht="15" hidden="false" customHeight="true" outlineLevel="0" collapsed="false">
      <c r="A929" s="16"/>
      <c r="B929" s="16"/>
      <c r="C929" s="15"/>
      <c r="D929" s="19"/>
      <c r="E929" s="20" t="b">
        <f aca="false">AND(A929&lt;&gt;"",C929&lt;&gt;"",D929&lt;&gt;"",C929&gt;='Read Me'!$B$5)</f>
        <v>0</v>
      </c>
      <c r="F929" s="23" t="str">
        <f aca="false">IF(E929,D929,"")</f>
        <v/>
      </c>
      <c r="G929" s="21" t="n">
        <f aca="false">IF(E929,D929^2,0)</f>
        <v>0</v>
      </c>
      <c r="H929" s="3"/>
    </row>
    <row r="930" customFormat="false" ht="15" hidden="false" customHeight="true" outlineLevel="0" collapsed="false">
      <c r="A930" s="16"/>
      <c r="B930" s="16"/>
      <c r="C930" s="15"/>
      <c r="D930" s="19"/>
      <c r="E930" s="20" t="b">
        <f aca="false">AND(A930&lt;&gt;"",C930&lt;&gt;"",D930&lt;&gt;"",C930&gt;='Read Me'!$B$5)</f>
        <v>0</v>
      </c>
      <c r="F930" s="23" t="str">
        <f aca="false">IF(E930,D930,"")</f>
        <v/>
      </c>
      <c r="G930" s="21" t="n">
        <f aca="false">IF(E930,D930^2,0)</f>
        <v>0</v>
      </c>
      <c r="H930" s="3"/>
    </row>
    <row r="931" customFormat="false" ht="15" hidden="false" customHeight="true" outlineLevel="0" collapsed="false">
      <c r="A931" s="16"/>
      <c r="B931" s="16"/>
      <c r="C931" s="15"/>
      <c r="D931" s="19"/>
      <c r="E931" s="20" t="b">
        <f aca="false">AND(A931&lt;&gt;"",C931&lt;&gt;"",D931&lt;&gt;"",C931&gt;='Read Me'!$B$5)</f>
        <v>0</v>
      </c>
      <c r="F931" s="23" t="str">
        <f aca="false">IF(E931,D931,"")</f>
        <v/>
      </c>
      <c r="G931" s="21" t="n">
        <f aca="false">IF(E931,D931^2,0)</f>
        <v>0</v>
      </c>
      <c r="H931" s="3"/>
    </row>
    <row r="932" customFormat="false" ht="15" hidden="false" customHeight="true" outlineLevel="0" collapsed="false">
      <c r="A932" s="16"/>
      <c r="B932" s="16"/>
      <c r="C932" s="15"/>
      <c r="D932" s="19"/>
      <c r="E932" s="20" t="b">
        <f aca="false">AND(A932&lt;&gt;"",C932&lt;&gt;"",D932&lt;&gt;"",C932&gt;='Read Me'!$B$5)</f>
        <v>0</v>
      </c>
      <c r="F932" s="23" t="str">
        <f aca="false">IF(E932,D932,"")</f>
        <v/>
      </c>
      <c r="G932" s="21" t="n">
        <f aca="false">IF(E932,D932^2,0)</f>
        <v>0</v>
      </c>
      <c r="H932" s="3"/>
    </row>
    <row r="933" customFormat="false" ht="15" hidden="false" customHeight="true" outlineLevel="0" collapsed="false">
      <c r="A933" s="16"/>
      <c r="B933" s="16"/>
      <c r="C933" s="15"/>
      <c r="D933" s="19"/>
      <c r="E933" s="20" t="b">
        <f aca="false">AND(A933&lt;&gt;"",C933&lt;&gt;"",D933&lt;&gt;"",C933&gt;='Read Me'!$B$5)</f>
        <v>0</v>
      </c>
      <c r="F933" s="23" t="str">
        <f aca="false">IF(E933,D933,"")</f>
        <v/>
      </c>
      <c r="G933" s="21" t="n">
        <f aca="false">IF(E933,D933^2,0)</f>
        <v>0</v>
      </c>
      <c r="H933" s="3"/>
    </row>
    <row r="934" customFormat="false" ht="15" hidden="false" customHeight="true" outlineLevel="0" collapsed="false">
      <c r="A934" s="16"/>
      <c r="B934" s="16"/>
      <c r="C934" s="15"/>
      <c r="D934" s="19"/>
      <c r="E934" s="20" t="b">
        <f aca="false">AND(A934&lt;&gt;"",C934&lt;&gt;"",D934&lt;&gt;"",C934&gt;='Read Me'!$B$5)</f>
        <v>0</v>
      </c>
      <c r="F934" s="23" t="str">
        <f aca="false">IF(E934,D934,"")</f>
        <v/>
      </c>
      <c r="G934" s="21" t="n">
        <f aca="false">IF(E934,D934^2,0)</f>
        <v>0</v>
      </c>
      <c r="H934" s="3"/>
    </row>
    <row r="935" customFormat="false" ht="15" hidden="false" customHeight="true" outlineLevel="0" collapsed="false">
      <c r="A935" s="16"/>
      <c r="B935" s="16"/>
      <c r="C935" s="15"/>
      <c r="D935" s="19"/>
      <c r="E935" s="20" t="b">
        <f aca="false">AND(A935&lt;&gt;"",C935&lt;&gt;"",D935&lt;&gt;"",C935&gt;='Read Me'!$B$5)</f>
        <v>0</v>
      </c>
      <c r="F935" s="23" t="str">
        <f aca="false">IF(E935,D935,"")</f>
        <v/>
      </c>
      <c r="G935" s="21" t="n">
        <f aca="false">IF(E935,D935^2,0)</f>
        <v>0</v>
      </c>
      <c r="H935" s="3"/>
    </row>
    <row r="936" customFormat="false" ht="15" hidden="false" customHeight="true" outlineLevel="0" collapsed="false">
      <c r="A936" s="16"/>
      <c r="B936" s="16"/>
      <c r="C936" s="15"/>
      <c r="D936" s="19"/>
      <c r="E936" s="20" t="b">
        <f aca="false">AND(A936&lt;&gt;"",C936&lt;&gt;"",D936&lt;&gt;"",C936&gt;='Read Me'!$B$5)</f>
        <v>0</v>
      </c>
      <c r="F936" s="23" t="str">
        <f aca="false">IF(E936,D936,"")</f>
        <v/>
      </c>
      <c r="G936" s="21" t="n">
        <f aca="false">IF(E936,D936^2,0)</f>
        <v>0</v>
      </c>
      <c r="H936" s="3"/>
    </row>
    <row r="937" customFormat="false" ht="15" hidden="false" customHeight="true" outlineLevel="0" collapsed="false">
      <c r="A937" s="16"/>
      <c r="B937" s="16"/>
      <c r="C937" s="15"/>
      <c r="D937" s="19"/>
      <c r="E937" s="20" t="b">
        <f aca="false">AND(A937&lt;&gt;"",C937&lt;&gt;"",D937&lt;&gt;"",C937&gt;='Read Me'!$B$5)</f>
        <v>0</v>
      </c>
      <c r="F937" s="23" t="str">
        <f aca="false">IF(E937,D937,"")</f>
        <v/>
      </c>
      <c r="G937" s="21" t="n">
        <f aca="false">IF(E937,D937^2,0)</f>
        <v>0</v>
      </c>
      <c r="H937" s="3"/>
    </row>
    <row r="938" customFormat="false" ht="15" hidden="false" customHeight="true" outlineLevel="0" collapsed="false">
      <c r="A938" s="16"/>
      <c r="B938" s="16"/>
      <c r="C938" s="15"/>
      <c r="D938" s="19"/>
      <c r="E938" s="20" t="b">
        <f aca="false">AND(A938&lt;&gt;"",C938&lt;&gt;"",D938&lt;&gt;"",C938&gt;='Read Me'!$B$5)</f>
        <v>0</v>
      </c>
      <c r="F938" s="23" t="str">
        <f aca="false">IF(E938,D938,"")</f>
        <v/>
      </c>
      <c r="G938" s="21" t="n">
        <f aca="false">IF(E938,D938^2,0)</f>
        <v>0</v>
      </c>
      <c r="H938" s="3"/>
    </row>
    <row r="939" customFormat="false" ht="15" hidden="false" customHeight="true" outlineLevel="0" collapsed="false">
      <c r="A939" s="16"/>
      <c r="B939" s="16"/>
      <c r="C939" s="15"/>
      <c r="D939" s="19"/>
      <c r="E939" s="20" t="b">
        <f aca="false">AND(A939&lt;&gt;"",C939&lt;&gt;"",D939&lt;&gt;"",C939&gt;='Read Me'!$B$5)</f>
        <v>0</v>
      </c>
      <c r="F939" s="23" t="str">
        <f aca="false">IF(E939,D939,"")</f>
        <v/>
      </c>
      <c r="G939" s="21" t="n">
        <f aca="false">IF(E939,D939^2,0)</f>
        <v>0</v>
      </c>
      <c r="H939" s="3"/>
    </row>
    <row r="940" customFormat="false" ht="15" hidden="false" customHeight="true" outlineLevel="0" collapsed="false">
      <c r="A940" s="16"/>
      <c r="B940" s="16"/>
      <c r="C940" s="15"/>
      <c r="D940" s="19"/>
      <c r="E940" s="20" t="b">
        <f aca="false">AND(A940&lt;&gt;"",C940&lt;&gt;"",D940&lt;&gt;"",C940&gt;='Read Me'!$B$5)</f>
        <v>0</v>
      </c>
      <c r="F940" s="23" t="str">
        <f aca="false">IF(E940,D940,"")</f>
        <v/>
      </c>
      <c r="G940" s="21" t="n">
        <f aca="false">IF(E940,D940^2,0)</f>
        <v>0</v>
      </c>
      <c r="H940" s="3"/>
    </row>
    <row r="941" customFormat="false" ht="15" hidden="false" customHeight="true" outlineLevel="0" collapsed="false">
      <c r="A941" s="16"/>
      <c r="B941" s="16"/>
      <c r="C941" s="15"/>
      <c r="D941" s="19"/>
      <c r="E941" s="20" t="b">
        <f aca="false">AND(A941&lt;&gt;"",C941&lt;&gt;"",D941&lt;&gt;"",C941&gt;='Read Me'!$B$5)</f>
        <v>0</v>
      </c>
      <c r="F941" s="23" t="str">
        <f aca="false">IF(E941,D941,"")</f>
        <v/>
      </c>
      <c r="G941" s="21" t="n">
        <f aca="false">IF(E941,D941^2,0)</f>
        <v>0</v>
      </c>
      <c r="H941" s="3"/>
    </row>
    <row r="942" customFormat="false" ht="15" hidden="false" customHeight="true" outlineLevel="0" collapsed="false">
      <c r="A942" s="16"/>
      <c r="B942" s="16"/>
      <c r="C942" s="15"/>
      <c r="D942" s="19"/>
      <c r="E942" s="20" t="b">
        <f aca="false">AND(A942&lt;&gt;"",C942&lt;&gt;"",D942&lt;&gt;"",C942&gt;='Read Me'!$B$5)</f>
        <v>0</v>
      </c>
      <c r="F942" s="23" t="str">
        <f aca="false">IF(E942,D942,"")</f>
        <v/>
      </c>
      <c r="G942" s="21" t="n">
        <f aca="false">IF(E942,D942^2,0)</f>
        <v>0</v>
      </c>
      <c r="H942" s="3"/>
    </row>
    <row r="943" customFormat="false" ht="15" hidden="false" customHeight="true" outlineLevel="0" collapsed="false">
      <c r="A943" s="16"/>
      <c r="B943" s="16"/>
      <c r="C943" s="15"/>
      <c r="D943" s="19"/>
      <c r="E943" s="20" t="b">
        <f aca="false">AND(A943&lt;&gt;"",C943&lt;&gt;"",D943&lt;&gt;"",C943&gt;='Read Me'!$B$5)</f>
        <v>0</v>
      </c>
      <c r="F943" s="23" t="str">
        <f aca="false">IF(E943,D943,"")</f>
        <v/>
      </c>
      <c r="G943" s="21" t="n">
        <f aca="false">IF(E943,D943^2,0)</f>
        <v>0</v>
      </c>
      <c r="H943" s="3"/>
    </row>
    <row r="944" customFormat="false" ht="15" hidden="false" customHeight="true" outlineLevel="0" collapsed="false">
      <c r="A944" s="16"/>
      <c r="B944" s="16"/>
      <c r="C944" s="15"/>
      <c r="D944" s="19"/>
      <c r="E944" s="20" t="b">
        <f aca="false">AND(A944&lt;&gt;"",C944&lt;&gt;"",D944&lt;&gt;"",C944&gt;='Read Me'!$B$5)</f>
        <v>0</v>
      </c>
      <c r="F944" s="23" t="str">
        <f aca="false">IF(E944,D944,"")</f>
        <v/>
      </c>
      <c r="G944" s="21" t="n">
        <f aca="false">IF(E944,D944^2,0)</f>
        <v>0</v>
      </c>
      <c r="H944" s="3"/>
    </row>
    <row r="945" customFormat="false" ht="15" hidden="false" customHeight="true" outlineLevel="0" collapsed="false">
      <c r="A945" s="16"/>
      <c r="B945" s="16"/>
      <c r="C945" s="15"/>
      <c r="D945" s="19"/>
      <c r="E945" s="20" t="b">
        <f aca="false">AND(A945&lt;&gt;"",C945&lt;&gt;"",D945&lt;&gt;"",C945&gt;='Read Me'!$B$5)</f>
        <v>0</v>
      </c>
      <c r="F945" s="23" t="str">
        <f aca="false">IF(E945,D945,"")</f>
        <v/>
      </c>
      <c r="G945" s="21" t="n">
        <f aca="false">IF(E945,D945^2,0)</f>
        <v>0</v>
      </c>
      <c r="H945" s="3"/>
    </row>
    <row r="946" customFormat="false" ht="15" hidden="false" customHeight="true" outlineLevel="0" collapsed="false">
      <c r="A946" s="16"/>
      <c r="B946" s="16"/>
      <c r="C946" s="15"/>
      <c r="D946" s="19"/>
      <c r="E946" s="20" t="b">
        <f aca="false">AND(A946&lt;&gt;"",C946&lt;&gt;"",D946&lt;&gt;"",C946&gt;='Read Me'!$B$5)</f>
        <v>0</v>
      </c>
      <c r="F946" s="23" t="str">
        <f aca="false">IF(E946,D946,"")</f>
        <v/>
      </c>
      <c r="G946" s="21" t="n">
        <f aca="false">IF(E946,D946^2,0)</f>
        <v>0</v>
      </c>
      <c r="H946" s="3"/>
    </row>
    <row r="947" customFormat="false" ht="15" hidden="false" customHeight="true" outlineLevel="0" collapsed="false">
      <c r="A947" s="16"/>
      <c r="B947" s="16"/>
      <c r="C947" s="15"/>
      <c r="D947" s="19"/>
      <c r="E947" s="20" t="b">
        <f aca="false">AND(A947&lt;&gt;"",C947&lt;&gt;"",D947&lt;&gt;"",C947&gt;='Read Me'!$B$5)</f>
        <v>0</v>
      </c>
      <c r="F947" s="23" t="str">
        <f aca="false">IF(E947,D947,"")</f>
        <v/>
      </c>
      <c r="G947" s="21" t="n">
        <f aca="false">IF(E947,D947^2,0)</f>
        <v>0</v>
      </c>
      <c r="H947" s="3"/>
    </row>
    <row r="948" customFormat="false" ht="15" hidden="false" customHeight="true" outlineLevel="0" collapsed="false">
      <c r="A948" s="16"/>
      <c r="B948" s="16"/>
      <c r="C948" s="15"/>
      <c r="D948" s="19"/>
      <c r="E948" s="20" t="b">
        <f aca="false">AND(A948&lt;&gt;"",C948&lt;&gt;"",D948&lt;&gt;"",C948&gt;='Read Me'!$B$5)</f>
        <v>0</v>
      </c>
      <c r="F948" s="23" t="str">
        <f aca="false">IF(E948,D948,"")</f>
        <v/>
      </c>
      <c r="G948" s="21" t="n">
        <f aca="false">IF(E948,D948^2,0)</f>
        <v>0</v>
      </c>
      <c r="H948" s="3"/>
    </row>
    <row r="949" customFormat="false" ht="15" hidden="false" customHeight="true" outlineLevel="0" collapsed="false">
      <c r="A949" s="16"/>
      <c r="B949" s="16"/>
      <c r="C949" s="15"/>
      <c r="D949" s="19"/>
      <c r="E949" s="20" t="b">
        <f aca="false">AND(A949&lt;&gt;"",C949&lt;&gt;"",D949&lt;&gt;"",C949&gt;='Read Me'!$B$5)</f>
        <v>0</v>
      </c>
      <c r="F949" s="23" t="str">
        <f aca="false">IF(E949,D949,"")</f>
        <v/>
      </c>
      <c r="G949" s="21" t="n">
        <f aca="false">IF(E949,D949^2,0)</f>
        <v>0</v>
      </c>
      <c r="H949" s="3"/>
    </row>
    <row r="950" customFormat="false" ht="15" hidden="false" customHeight="true" outlineLevel="0" collapsed="false">
      <c r="A950" s="16"/>
      <c r="B950" s="16"/>
      <c r="C950" s="15"/>
      <c r="D950" s="19"/>
      <c r="E950" s="20" t="b">
        <f aca="false">AND(A950&lt;&gt;"",C950&lt;&gt;"",D950&lt;&gt;"",C950&gt;='Read Me'!$B$5)</f>
        <v>0</v>
      </c>
      <c r="F950" s="23" t="str">
        <f aca="false">IF(E950,D950,"")</f>
        <v/>
      </c>
      <c r="G950" s="21" t="n">
        <f aca="false">IF(E950,D950^2,0)</f>
        <v>0</v>
      </c>
      <c r="H950" s="3"/>
    </row>
    <row r="951" customFormat="false" ht="15" hidden="false" customHeight="true" outlineLevel="0" collapsed="false">
      <c r="A951" s="16"/>
      <c r="B951" s="16"/>
      <c r="C951" s="15"/>
      <c r="D951" s="19"/>
      <c r="E951" s="20" t="b">
        <f aca="false">AND(A951&lt;&gt;"",C951&lt;&gt;"",D951&lt;&gt;"",C951&gt;='Read Me'!$B$5)</f>
        <v>0</v>
      </c>
      <c r="F951" s="23" t="str">
        <f aca="false">IF(E951,D951,"")</f>
        <v/>
      </c>
      <c r="G951" s="21" t="n">
        <f aca="false">IF(E951,D951^2,0)</f>
        <v>0</v>
      </c>
      <c r="H951" s="3"/>
    </row>
    <row r="952" customFormat="false" ht="15" hidden="false" customHeight="true" outlineLevel="0" collapsed="false">
      <c r="A952" s="16"/>
      <c r="B952" s="16"/>
      <c r="C952" s="15"/>
      <c r="D952" s="19"/>
      <c r="E952" s="20" t="b">
        <f aca="false">AND(A952&lt;&gt;"",C952&lt;&gt;"",D952&lt;&gt;"",C952&gt;='Read Me'!$B$5)</f>
        <v>0</v>
      </c>
      <c r="F952" s="23" t="str">
        <f aca="false">IF(E952,D952,"")</f>
        <v/>
      </c>
      <c r="G952" s="21" t="n">
        <f aca="false">IF(E952,D952^2,0)</f>
        <v>0</v>
      </c>
      <c r="H952" s="3"/>
    </row>
    <row r="953" customFormat="false" ht="15" hidden="false" customHeight="true" outlineLevel="0" collapsed="false">
      <c r="A953" s="16"/>
      <c r="B953" s="16"/>
      <c r="C953" s="15"/>
      <c r="D953" s="19"/>
      <c r="E953" s="20" t="b">
        <f aca="false">AND(A953&lt;&gt;"",C953&lt;&gt;"",D953&lt;&gt;"",C953&gt;='Read Me'!$B$5)</f>
        <v>0</v>
      </c>
      <c r="F953" s="23" t="str">
        <f aca="false">IF(E953,D953,"")</f>
        <v/>
      </c>
      <c r="G953" s="21" t="n">
        <f aca="false">IF(E953,D953^2,0)</f>
        <v>0</v>
      </c>
      <c r="H953" s="3"/>
    </row>
    <row r="954" customFormat="false" ht="15" hidden="false" customHeight="true" outlineLevel="0" collapsed="false">
      <c r="A954" s="16"/>
      <c r="B954" s="16"/>
      <c r="C954" s="15"/>
      <c r="D954" s="19"/>
      <c r="E954" s="20" t="b">
        <f aca="false">AND(A954&lt;&gt;"",C954&lt;&gt;"",D954&lt;&gt;"",C954&gt;='Read Me'!$B$5)</f>
        <v>0</v>
      </c>
      <c r="F954" s="23" t="str">
        <f aca="false">IF(E954,D954,"")</f>
        <v/>
      </c>
      <c r="G954" s="21" t="n">
        <f aca="false">IF(E954,D954^2,0)</f>
        <v>0</v>
      </c>
      <c r="H954" s="3"/>
    </row>
    <row r="955" customFormat="false" ht="15" hidden="false" customHeight="true" outlineLevel="0" collapsed="false">
      <c r="A955" s="16"/>
      <c r="B955" s="16"/>
      <c r="C955" s="15"/>
      <c r="D955" s="19"/>
      <c r="E955" s="20" t="b">
        <f aca="false">AND(A955&lt;&gt;"",C955&lt;&gt;"",D955&lt;&gt;"",C955&gt;='Read Me'!$B$5)</f>
        <v>0</v>
      </c>
      <c r="F955" s="23" t="str">
        <f aca="false">IF(E955,D955,"")</f>
        <v/>
      </c>
      <c r="G955" s="21" t="n">
        <f aca="false">IF(E955,D955^2,0)</f>
        <v>0</v>
      </c>
      <c r="H955" s="3"/>
    </row>
    <row r="956" customFormat="false" ht="15" hidden="false" customHeight="true" outlineLevel="0" collapsed="false">
      <c r="A956" s="16"/>
      <c r="B956" s="16"/>
      <c r="C956" s="15"/>
      <c r="D956" s="19"/>
      <c r="E956" s="20" t="b">
        <f aca="false">AND(A956&lt;&gt;"",C956&lt;&gt;"",D956&lt;&gt;"",C956&gt;='Read Me'!$B$5)</f>
        <v>0</v>
      </c>
      <c r="F956" s="23" t="str">
        <f aca="false">IF(E956,D956,"")</f>
        <v/>
      </c>
      <c r="G956" s="21" t="n">
        <f aca="false">IF(E956,D956^2,0)</f>
        <v>0</v>
      </c>
      <c r="H956" s="3"/>
    </row>
    <row r="957" customFormat="false" ht="15" hidden="false" customHeight="true" outlineLevel="0" collapsed="false">
      <c r="A957" s="16"/>
      <c r="B957" s="16"/>
      <c r="C957" s="15"/>
      <c r="D957" s="19"/>
      <c r="E957" s="20" t="b">
        <f aca="false">AND(A957&lt;&gt;"",C957&lt;&gt;"",D957&lt;&gt;"",C957&gt;='Read Me'!$B$5)</f>
        <v>0</v>
      </c>
      <c r="F957" s="23" t="str">
        <f aca="false">IF(E957,D957,"")</f>
        <v/>
      </c>
      <c r="G957" s="21" t="n">
        <f aca="false">IF(E957,D957^2,0)</f>
        <v>0</v>
      </c>
      <c r="H957" s="3"/>
    </row>
    <row r="958" customFormat="false" ht="15" hidden="false" customHeight="true" outlineLevel="0" collapsed="false">
      <c r="A958" s="16"/>
      <c r="B958" s="16"/>
      <c r="C958" s="15"/>
      <c r="D958" s="19"/>
      <c r="E958" s="20" t="b">
        <f aca="false">AND(A958&lt;&gt;"",C958&lt;&gt;"",D958&lt;&gt;"",C958&gt;='Read Me'!$B$5)</f>
        <v>0</v>
      </c>
      <c r="F958" s="23" t="str">
        <f aca="false">IF(E958,D958,"")</f>
        <v/>
      </c>
      <c r="G958" s="21" t="n">
        <f aca="false">IF(E958,D958^2,0)</f>
        <v>0</v>
      </c>
      <c r="H958" s="3"/>
    </row>
    <row r="959" customFormat="false" ht="15" hidden="false" customHeight="true" outlineLevel="0" collapsed="false">
      <c r="A959" s="16"/>
      <c r="B959" s="16"/>
      <c r="C959" s="15"/>
      <c r="D959" s="19"/>
      <c r="E959" s="20" t="b">
        <f aca="false">AND(A959&lt;&gt;"",C959&lt;&gt;"",D959&lt;&gt;"",C959&gt;='Read Me'!$B$5)</f>
        <v>0</v>
      </c>
      <c r="F959" s="23" t="str">
        <f aca="false">IF(E959,D959,"")</f>
        <v/>
      </c>
      <c r="G959" s="21" t="n">
        <f aca="false">IF(E959,D959^2,0)</f>
        <v>0</v>
      </c>
      <c r="H959" s="3"/>
    </row>
    <row r="960" customFormat="false" ht="15" hidden="false" customHeight="true" outlineLevel="0" collapsed="false">
      <c r="A960" s="16"/>
      <c r="B960" s="16"/>
      <c r="C960" s="15"/>
      <c r="D960" s="19"/>
      <c r="E960" s="20" t="b">
        <f aca="false">AND(A960&lt;&gt;"",C960&lt;&gt;"",D960&lt;&gt;"",C960&gt;='Read Me'!$B$5)</f>
        <v>0</v>
      </c>
      <c r="F960" s="23" t="str">
        <f aca="false">IF(E960,D960,"")</f>
        <v/>
      </c>
      <c r="G960" s="21" t="n">
        <f aca="false">IF(E960,D960^2,0)</f>
        <v>0</v>
      </c>
      <c r="H960" s="3"/>
    </row>
    <row r="961" customFormat="false" ht="15" hidden="false" customHeight="true" outlineLevel="0" collapsed="false">
      <c r="A961" s="16"/>
      <c r="B961" s="16"/>
      <c r="C961" s="15"/>
      <c r="D961" s="19"/>
      <c r="E961" s="20" t="b">
        <f aca="false">AND(A961&lt;&gt;"",C961&lt;&gt;"",D961&lt;&gt;"",C961&gt;='Read Me'!$B$5)</f>
        <v>0</v>
      </c>
      <c r="F961" s="23" t="str">
        <f aca="false">IF(E961,D961,"")</f>
        <v/>
      </c>
      <c r="G961" s="21" t="n">
        <f aca="false">IF(E961,D961^2,0)</f>
        <v>0</v>
      </c>
      <c r="H961" s="3"/>
    </row>
    <row r="962" customFormat="false" ht="15" hidden="false" customHeight="true" outlineLevel="0" collapsed="false">
      <c r="A962" s="16"/>
      <c r="B962" s="16"/>
      <c r="C962" s="15"/>
      <c r="D962" s="19"/>
      <c r="E962" s="20" t="b">
        <f aca="false">AND(A962&lt;&gt;"",C962&lt;&gt;"",D962&lt;&gt;"",C962&gt;='Read Me'!$B$5)</f>
        <v>0</v>
      </c>
      <c r="F962" s="23" t="str">
        <f aca="false">IF(E962,D962,"")</f>
        <v/>
      </c>
      <c r="G962" s="21" t="n">
        <f aca="false">IF(E962,D962^2,0)</f>
        <v>0</v>
      </c>
      <c r="H962" s="3"/>
    </row>
    <row r="963" customFormat="false" ht="15" hidden="false" customHeight="true" outlineLevel="0" collapsed="false">
      <c r="A963" s="16"/>
      <c r="B963" s="16"/>
      <c r="C963" s="15"/>
      <c r="D963" s="19"/>
      <c r="E963" s="20" t="b">
        <f aca="false">AND(A963&lt;&gt;"",C963&lt;&gt;"",D963&lt;&gt;"",C963&gt;='Read Me'!$B$5)</f>
        <v>0</v>
      </c>
      <c r="F963" s="23" t="str">
        <f aca="false">IF(E963,D963,"")</f>
        <v/>
      </c>
      <c r="G963" s="21" t="n">
        <f aca="false">IF(E963,D963^2,0)</f>
        <v>0</v>
      </c>
      <c r="H963" s="3"/>
    </row>
    <row r="964" customFormat="false" ht="15" hidden="false" customHeight="true" outlineLevel="0" collapsed="false">
      <c r="A964" s="16"/>
      <c r="B964" s="16"/>
      <c r="C964" s="15"/>
      <c r="D964" s="19"/>
      <c r="E964" s="20" t="b">
        <f aca="false">AND(A964&lt;&gt;"",C964&lt;&gt;"",D964&lt;&gt;"",C964&gt;='Read Me'!$B$5)</f>
        <v>0</v>
      </c>
      <c r="F964" s="23" t="str">
        <f aca="false">IF(E964,D964,"")</f>
        <v/>
      </c>
      <c r="G964" s="21" t="n">
        <f aca="false">IF(E964,D964^2,0)</f>
        <v>0</v>
      </c>
      <c r="H964" s="3"/>
    </row>
    <row r="965" customFormat="false" ht="15" hidden="false" customHeight="true" outlineLevel="0" collapsed="false">
      <c r="A965" s="16"/>
      <c r="B965" s="16"/>
      <c r="C965" s="15"/>
      <c r="D965" s="19"/>
      <c r="E965" s="20" t="b">
        <f aca="false">AND(A965&lt;&gt;"",C965&lt;&gt;"",D965&lt;&gt;"",C965&gt;='Read Me'!$B$5)</f>
        <v>0</v>
      </c>
      <c r="F965" s="23" t="str">
        <f aca="false">IF(E965,D965,"")</f>
        <v/>
      </c>
      <c r="G965" s="21" t="n">
        <f aca="false">IF(E965,D965^2,0)</f>
        <v>0</v>
      </c>
      <c r="H965" s="3"/>
    </row>
    <row r="966" customFormat="false" ht="15" hidden="false" customHeight="true" outlineLevel="0" collapsed="false">
      <c r="A966" s="16"/>
      <c r="B966" s="16"/>
      <c r="C966" s="15"/>
      <c r="D966" s="19"/>
      <c r="E966" s="20" t="b">
        <f aca="false">AND(A966&lt;&gt;"",C966&lt;&gt;"",D966&lt;&gt;"",C966&gt;='Read Me'!$B$5)</f>
        <v>0</v>
      </c>
      <c r="F966" s="23" t="str">
        <f aca="false">IF(E966,D966,"")</f>
        <v/>
      </c>
      <c r="G966" s="21" t="n">
        <f aca="false">IF(E966,D966^2,0)</f>
        <v>0</v>
      </c>
      <c r="H966" s="3"/>
    </row>
    <row r="967" customFormat="false" ht="15" hidden="false" customHeight="true" outlineLevel="0" collapsed="false">
      <c r="A967" s="16"/>
      <c r="B967" s="16"/>
      <c r="C967" s="15"/>
      <c r="D967" s="19"/>
      <c r="E967" s="20" t="b">
        <f aca="false">AND(A967&lt;&gt;"",C967&lt;&gt;"",D967&lt;&gt;"",C967&gt;='Read Me'!$B$5)</f>
        <v>0</v>
      </c>
      <c r="F967" s="23" t="str">
        <f aca="false">IF(E967,D967,"")</f>
        <v/>
      </c>
      <c r="G967" s="21" t="n">
        <f aca="false">IF(E967,D967^2,0)</f>
        <v>0</v>
      </c>
      <c r="H967" s="3"/>
    </row>
    <row r="968" customFormat="false" ht="15" hidden="false" customHeight="true" outlineLevel="0" collapsed="false">
      <c r="A968" s="16"/>
      <c r="B968" s="16"/>
      <c r="C968" s="15"/>
      <c r="D968" s="19"/>
      <c r="E968" s="20" t="b">
        <f aca="false">AND(A968&lt;&gt;"",C968&lt;&gt;"",D968&lt;&gt;"",C968&gt;='Read Me'!$B$5)</f>
        <v>0</v>
      </c>
      <c r="F968" s="23" t="str">
        <f aca="false">IF(E968,D968,"")</f>
        <v/>
      </c>
      <c r="G968" s="21" t="n">
        <f aca="false">IF(E968,D968^2,0)</f>
        <v>0</v>
      </c>
      <c r="H968" s="3"/>
    </row>
    <row r="969" customFormat="false" ht="15" hidden="false" customHeight="true" outlineLevel="0" collapsed="false">
      <c r="A969" s="16"/>
      <c r="B969" s="16"/>
      <c r="C969" s="15"/>
      <c r="D969" s="19"/>
      <c r="E969" s="20" t="b">
        <f aca="false">AND(A969&lt;&gt;"",C969&lt;&gt;"",D969&lt;&gt;"",C969&gt;='Read Me'!$B$5)</f>
        <v>0</v>
      </c>
      <c r="F969" s="23" t="str">
        <f aca="false">IF(E969,D969,"")</f>
        <v/>
      </c>
      <c r="G969" s="21" t="n">
        <f aca="false">IF(E969,D969^2,0)</f>
        <v>0</v>
      </c>
      <c r="H969" s="3"/>
    </row>
    <row r="970" customFormat="false" ht="15" hidden="false" customHeight="true" outlineLevel="0" collapsed="false">
      <c r="A970" s="16"/>
      <c r="B970" s="16"/>
      <c r="C970" s="15"/>
      <c r="D970" s="19"/>
      <c r="E970" s="20" t="b">
        <f aca="false">AND(A970&lt;&gt;"",C970&lt;&gt;"",D970&lt;&gt;"",C970&gt;='Read Me'!$B$5)</f>
        <v>0</v>
      </c>
      <c r="F970" s="23" t="str">
        <f aca="false">IF(E970,D970,"")</f>
        <v/>
      </c>
      <c r="G970" s="21" t="n">
        <f aca="false">IF(E970,D970^2,0)</f>
        <v>0</v>
      </c>
      <c r="H970" s="3"/>
    </row>
    <row r="971" customFormat="false" ht="15" hidden="false" customHeight="true" outlineLevel="0" collapsed="false">
      <c r="A971" s="16"/>
      <c r="B971" s="16"/>
      <c r="C971" s="15"/>
      <c r="D971" s="19"/>
      <c r="E971" s="20" t="b">
        <f aca="false">AND(A971&lt;&gt;"",C971&lt;&gt;"",D971&lt;&gt;"",C971&gt;='Read Me'!$B$5)</f>
        <v>0</v>
      </c>
      <c r="F971" s="23" t="str">
        <f aca="false">IF(E971,D971,"")</f>
        <v/>
      </c>
      <c r="G971" s="21" t="n">
        <f aca="false">IF(E971,D971^2,0)</f>
        <v>0</v>
      </c>
      <c r="H971" s="3"/>
    </row>
    <row r="972" customFormat="false" ht="15" hidden="false" customHeight="true" outlineLevel="0" collapsed="false">
      <c r="A972" s="16"/>
      <c r="B972" s="16"/>
      <c r="C972" s="15"/>
      <c r="D972" s="19"/>
      <c r="E972" s="20" t="b">
        <f aca="false">AND(A972&lt;&gt;"",C972&lt;&gt;"",D972&lt;&gt;"",C972&gt;='Read Me'!$B$5)</f>
        <v>0</v>
      </c>
      <c r="F972" s="23" t="str">
        <f aca="false">IF(E972,D972,"")</f>
        <v/>
      </c>
      <c r="G972" s="21" t="n">
        <f aca="false">IF(E972,D972^2,0)</f>
        <v>0</v>
      </c>
      <c r="H972" s="3"/>
    </row>
    <row r="973" customFormat="false" ht="15" hidden="false" customHeight="true" outlineLevel="0" collapsed="false">
      <c r="A973" s="16"/>
      <c r="B973" s="16"/>
      <c r="C973" s="15"/>
      <c r="D973" s="19"/>
      <c r="E973" s="20" t="b">
        <f aca="false">AND(A973&lt;&gt;"",C973&lt;&gt;"",D973&lt;&gt;"",C973&gt;='Read Me'!$B$5)</f>
        <v>0</v>
      </c>
      <c r="F973" s="23" t="str">
        <f aca="false">IF(E973,D973,"")</f>
        <v/>
      </c>
      <c r="G973" s="21" t="n">
        <f aca="false">IF(E973,D973^2,0)</f>
        <v>0</v>
      </c>
      <c r="H973" s="3"/>
    </row>
    <row r="974" customFormat="false" ht="15" hidden="false" customHeight="true" outlineLevel="0" collapsed="false">
      <c r="A974" s="16"/>
      <c r="B974" s="16"/>
      <c r="C974" s="15"/>
      <c r="D974" s="19"/>
      <c r="E974" s="20" t="b">
        <f aca="false">AND(A974&lt;&gt;"",C974&lt;&gt;"",D974&lt;&gt;"",C974&gt;='Read Me'!$B$5)</f>
        <v>0</v>
      </c>
      <c r="F974" s="23" t="str">
        <f aca="false">IF(E974,D974,"")</f>
        <v/>
      </c>
      <c r="G974" s="21" t="n">
        <f aca="false">IF(E974,D974^2,0)</f>
        <v>0</v>
      </c>
      <c r="H974" s="3"/>
    </row>
    <row r="975" customFormat="false" ht="15" hidden="false" customHeight="true" outlineLevel="0" collapsed="false">
      <c r="A975" s="16"/>
      <c r="B975" s="16"/>
      <c r="C975" s="15"/>
      <c r="D975" s="19"/>
      <c r="E975" s="20" t="b">
        <f aca="false">AND(A975&lt;&gt;"",C975&lt;&gt;"",D975&lt;&gt;"",C975&gt;='Read Me'!$B$5)</f>
        <v>0</v>
      </c>
      <c r="F975" s="23" t="str">
        <f aca="false">IF(E975,D975,"")</f>
        <v/>
      </c>
      <c r="G975" s="21" t="n">
        <f aca="false">IF(E975,D975^2,0)</f>
        <v>0</v>
      </c>
      <c r="H975" s="3"/>
    </row>
    <row r="976" customFormat="false" ht="15" hidden="false" customHeight="true" outlineLevel="0" collapsed="false">
      <c r="A976" s="16"/>
      <c r="B976" s="16"/>
      <c r="C976" s="15"/>
      <c r="D976" s="19"/>
      <c r="E976" s="20" t="b">
        <f aca="false">AND(A976&lt;&gt;"",C976&lt;&gt;"",D976&lt;&gt;"",C976&gt;='Read Me'!$B$5)</f>
        <v>0</v>
      </c>
      <c r="F976" s="23" t="str">
        <f aca="false">IF(E976,D976,"")</f>
        <v/>
      </c>
      <c r="G976" s="21" t="n">
        <f aca="false">IF(E976,D976^2,0)</f>
        <v>0</v>
      </c>
      <c r="H976" s="3"/>
    </row>
    <row r="977" customFormat="false" ht="15" hidden="false" customHeight="true" outlineLevel="0" collapsed="false">
      <c r="A977" s="16"/>
      <c r="B977" s="16"/>
      <c r="C977" s="15"/>
      <c r="D977" s="19"/>
      <c r="E977" s="20" t="b">
        <f aca="false">AND(A977&lt;&gt;"",C977&lt;&gt;"",D977&lt;&gt;"",C977&gt;='Read Me'!$B$5)</f>
        <v>0</v>
      </c>
      <c r="F977" s="23" t="str">
        <f aca="false">IF(E977,D977,"")</f>
        <v/>
      </c>
      <c r="G977" s="21" t="n">
        <f aca="false">IF(E977,D977^2,0)</f>
        <v>0</v>
      </c>
      <c r="H977" s="3"/>
    </row>
    <row r="978" customFormat="false" ht="15" hidden="false" customHeight="true" outlineLevel="0" collapsed="false">
      <c r="A978" s="16"/>
      <c r="B978" s="16"/>
      <c r="C978" s="15"/>
      <c r="D978" s="19"/>
      <c r="E978" s="20" t="b">
        <f aca="false">AND(A978&lt;&gt;"",C978&lt;&gt;"",D978&lt;&gt;"",C978&gt;='Read Me'!$B$5)</f>
        <v>0</v>
      </c>
      <c r="F978" s="23" t="str">
        <f aca="false">IF(E978,D978,"")</f>
        <v/>
      </c>
      <c r="G978" s="21" t="n">
        <f aca="false">IF(E978,D978^2,0)</f>
        <v>0</v>
      </c>
      <c r="H978" s="3"/>
    </row>
    <row r="979" customFormat="false" ht="15" hidden="false" customHeight="true" outlineLevel="0" collapsed="false">
      <c r="A979" s="16"/>
      <c r="B979" s="16"/>
      <c r="C979" s="15"/>
      <c r="D979" s="19"/>
      <c r="E979" s="20" t="b">
        <f aca="false">AND(A979&lt;&gt;"",C979&lt;&gt;"",D979&lt;&gt;"",C979&gt;='Read Me'!$B$5)</f>
        <v>0</v>
      </c>
      <c r="F979" s="23" t="str">
        <f aca="false">IF(E979,D979,"")</f>
        <v/>
      </c>
      <c r="G979" s="21" t="n">
        <f aca="false">IF(E979,D979^2,0)</f>
        <v>0</v>
      </c>
      <c r="H979" s="3"/>
    </row>
    <row r="980" customFormat="false" ht="15" hidden="false" customHeight="true" outlineLevel="0" collapsed="false">
      <c r="A980" s="16"/>
      <c r="B980" s="16"/>
      <c r="C980" s="15"/>
      <c r="D980" s="19"/>
      <c r="E980" s="20" t="b">
        <f aca="false">AND(A980&lt;&gt;"",C980&lt;&gt;"",D980&lt;&gt;"",C980&gt;='Read Me'!$B$5)</f>
        <v>0</v>
      </c>
      <c r="F980" s="23" t="str">
        <f aca="false">IF(E980,D980,"")</f>
        <v/>
      </c>
      <c r="G980" s="21" t="n">
        <f aca="false">IF(E980,D980^2,0)</f>
        <v>0</v>
      </c>
      <c r="H980" s="3"/>
    </row>
    <row r="981" customFormat="false" ht="15" hidden="false" customHeight="true" outlineLevel="0" collapsed="false">
      <c r="A981" s="16"/>
      <c r="B981" s="16"/>
      <c r="C981" s="15"/>
      <c r="D981" s="19"/>
      <c r="E981" s="20" t="b">
        <f aca="false">AND(A981&lt;&gt;"",C981&lt;&gt;"",D981&lt;&gt;"",C981&gt;='Read Me'!$B$5)</f>
        <v>0</v>
      </c>
      <c r="F981" s="23" t="str">
        <f aca="false">IF(E981,D981,"")</f>
        <v/>
      </c>
      <c r="G981" s="21" t="n">
        <f aca="false">IF(E981,D981^2,0)</f>
        <v>0</v>
      </c>
      <c r="H981" s="3"/>
    </row>
    <row r="982" customFormat="false" ht="15" hidden="false" customHeight="true" outlineLevel="0" collapsed="false">
      <c r="A982" s="16"/>
      <c r="B982" s="16"/>
      <c r="C982" s="15"/>
      <c r="D982" s="19"/>
      <c r="E982" s="20" t="b">
        <f aca="false">AND(A982&lt;&gt;"",C982&lt;&gt;"",D982&lt;&gt;"",C982&gt;='Read Me'!$B$5)</f>
        <v>0</v>
      </c>
      <c r="F982" s="23" t="str">
        <f aca="false">IF(E982,D982,"")</f>
        <v/>
      </c>
      <c r="G982" s="21" t="n">
        <f aca="false">IF(E982,D982^2,0)</f>
        <v>0</v>
      </c>
      <c r="H982" s="3"/>
    </row>
    <row r="983" customFormat="false" ht="15" hidden="false" customHeight="true" outlineLevel="0" collapsed="false">
      <c r="A983" s="16"/>
      <c r="B983" s="16"/>
      <c r="C983" s="15"/>
      <c r="D983" s="19"/>
      <c r="E983" s="20" t="b">
        <f aca="false">AND(A983&lt;&gt;"",C983&lt;&gt;"",D983&lt;&gt;"",C983&gt;='Read Me'!$B$5)</f>
        <v>0</v>
      </c>
      <c r="F983" s="23" t="str">
        <f aca="false">IF(E983,D983,"")</f>
        <v/>
      </c>
      <c r="G983" s="21" t="n">
        <f aca="false">IF(E983,D983^2,0)</f>
        <v>0</v>
      </c>
      <c r="H983" s="3"/>
    </row>
    <row r="984" customFormat="false" ht="15" hidden="false" customHeight="true" outlineLevel="0" collapsed="false">
      <c r="A984" s="16"/>
      <c r="B984" s="16"/>
      <c r="C984" s="15"/>
      <c r="D984" s="19"/>
      <c r="E984" s="20" t="b">
        <f aca="false">AND(A984&lt;&gt;"",C984&lt;&gt;"",D984&lt;&gt;"",C984&gt;='Read Me'!$B$5)</f>
        <v>0</v>
      </c>
      <c r="F984" s="23" t="str">
        <f aca="false">IF(E984,D984,"")</f>
        <v/>
      </c>
      <c r="G984" s="21" t="n">
        <f aca="false">IF(E984,D984^2,0)</f>
        <v>0</v>
      </c>
      <c r="H984" s="3"/>
    </row>
    <row r="985" customFormat="false" ht="15" hidden="false" customHeight="true" outlineLevel="0" collapsed="false">
      <c r="A985" s="16"/>
      <c r="B985" s="16"/>
      <c r="C985" s="15"/>
      <c r="D985" s="19"/>
      <c r="E985" s="20" t="b">
        <f aca="false">AND(A985&lt;&gt;"",C985&lt;&gt;"",D985&lt;&gt;"",C985&gt;='Read Me'!$B$5)</f>
        <v>0</v>
      </c>
      <c r="F985" s="23" t="str">
        <f aca="false">IF(E985,D985,"")</f>
        <v/>
      </c>
      <c r="G985" s="21" t="n">
        <f aca="false">IF(E985,D985^2,0)</f>
        <v>0</v>
      </c>
      <c r="H985" s="3"/>
    </row>
    <row r="986" customFormat="false" ht="15" hidden="false" customHeight="true" outlineLevel="0" collapsed="false">
      <c r="A986" s="16"/>
      <c r="B986" s="16"/>
      <c r="C986" s="15"/>
      <c r="D986" s="19"/>
      <c r="E986" s="20" t="b">
        <f aca="false">AND(A986&lt;&gt;"",C986&lt;&gt;"",D986&lt;&gt;"",C986&gt;='Read Me'!$B$5)</f>
        <v>0</v>
      </c>
      <c r="F986" s="23" t="str">
        <f aca="false">IF(E986,D986,"")</f>
        <v/>
      </c>
      <c r="G986" s="21" t="n">
        <f aca="false">IF(E986,D986^2,0)</f>
        <v>0</v>
      </c>
      <c r="H986" s="3"/>
    </row>
    <row r="987" customFormat="false" ht="15" hidden="false" customHeight="true" outlineLevel="0" collapsed="false">
      <c r="A987" s="16"/>
      <c r="B987" s="16"/>
      <c r="C987" s="15"/>
      <c r="D987" s="19"/>
      <c r="E987" s="20" t="b">
        <f aca="false">AND(A987&lt;&gt;"",C987&lt;&gt;"",D987&lt;&gt;"",C987&gt;='Read Me'!$B$5)</f>
        <v>0</v>
      </c>
      <c r="F987" s="23" t="str">
        <f aca="false">IF(E987,D987,"")</f>
        <v/>
      </c>
      <c r="G987" s="21" t="n">
        <f aca="false">IF(E987,D987^2,0)</f>
        <v>0</v>
      </c>
      <c r="H987" s="3"/>
    </row>
    <row r="988" customFormat="false" ht="15" hidden="false" customHeight="true" outlineLevel="0" collapsed="false">
      <c r="A988" s="16"/>
      <c r="B988" s="16"/>
      <c r="C988" s="15"/>
      <c r="D988" s="19"/>
      <c r="E988" s="20" t="b">
        <f aca="false">AND(A988&lt;&gt;"",C988&lt;&gt;"",D988&lt;&gt;"",C988&gt;='Read Me'!$B$5)</f>
        <v>0</v>
      </c>
      <c r="F988" s="23" t="str">
        <f aca="false">IF(E988,D988,"")</f>
        <v/>
      </c>
      <c r="G988" s="21" t="n">
        <f aca="false">IF(E988,D988^2,0)</f>
        <v>0</v>
      </c>
      <c r="H988" s="3"/>
    </row>
    <row r="989" customFormat="false" ht="15" hidden="false" customHeight="true" outlineLevel="0" collapsed="false">
      <c r="A989" s="16"/>
      <c r="B989" s="16"/>
      <c r="C989" s="15"/>
      <c r="D989" s="19"/>
      <c r="E989" s="20" t="b">
        <f aca="false">AND(A989&lt;&gt;"",C989&lt;&gt;"",D989&lt;&gt;"",C989&gt;='Read Me'!$B$5)</f>
        <v>0</v>
      </c>
      <c r="F989" s="23" t="str">
        <f aca="false">IF(E989,D989,"")</f>
        <v/>
      </c>
      <c r="G989" s="21" t="n">
        <f aca="false">IF(E989,D989^2,0)</f>
        <v>0</v>
      </c>
      <c r="H989" s="3"/>
    </row>
    <row r="990" customFormat="false" ht="15" hidden="false" customHeight="true" outlineLevel="0" collapsed="false">
      <c r="A990" s="16"/>
      <c r="B990" s="16"/>
      <c r="C990" s="15"/>
      <c r="D990" s="19"/>
      <c r="E990" s="20" t="b">
        <f aca="false">AND(A990&lt;&gt;"",C990&lt;&gt;"",D990&lt;&gt;"",C990&gt;='Read Me'!$B$5)</f>
        <v>0</v>
      </c>
      <c r="F990" s="23" t="str">
        <f aca="false">IF(E990,D990,"")</f>
        <v/>
      </c>
      <c r="G990" s="21" t="n">
        <f aca="false">IF(E990,D990^2,0)</f>
        <v>0</v>
      </c>
      <c r="H990" s="3"/>
    </row>
    <row r="991" customFormat="false" ht="15" hidden="false" customHeight="true" outlineLevel="0" collapsed="false">
      <c r="A991" s="16"/>
      <c r="B991" s="16"/>
      <c r="C991" s="15"/>
      <c r="D991" s="19"/>
      <c r="E991" s="20" t="b">
        <f aca="false">AND(A991&lt;&gt;"",C991&lt;&gt;"",D991&lt;&gt;"",C991&gt;='Read Me'!$B$5)</f>
        <v>0</v>
      </c>
      <c r="F991" s="23" t="str">
        <f aca="false">IF(E991,D991,"")</f>
        <v/>
      </c>
      <c r="G991" s="21" t="n">
        <f aca="false">IF(E991,D991^2,0)</f>
        <v>0</v>
      </c>
      <c r="H991" s="3"/>
    </row>
    <row r="992" customFormat="false" ht="15" hidden="false" customHeight="true" outlineLevel="0" collapsed="false">
      <c r="A992" s="16"/>
      <c r="B992" s="16"/>
      <c r="C992" s="15"/>
      <c r="D992" s="19"/>
      <c r="E992" s="20" t="b">
        <f aca="false">AND(A992&lt;&gt;"",C992&lt;&gt;"",D992&lt;&gt;"",C992&gt;='Read Me'!$B$5)</f>
        <v>0</v>
      </c>
      <c r="F992" s="23" t="str">
        <f aca="false">IF(E992,D992,"")</f>
        <v/>
      </c>
      <c r="G992" s="21" t="n">
        <f aca="false">IF(E992,D992^2,0)</f>
        <v>0</v>
      </c>
      <c r="H992" s="3"/>
    </row>
    <row r="993" customFormat="false" ht="15" hidden="false" customHeight="true" outlineLevel="0" collapsed="false">
      <c r="A993" s="16"/>
      <c r="B993" s="16"/>
      <c r="C993" s="15"/>
      <c r="D993" s="19"/>
      <c r="E993" s="20" t="b">
        <f aca="false">AND(A993&lt;&gt;"",C993&lt;&gt;"",D993&lt;&gt;"",C993&gt;='Read Me'!$B$5)</f>
        <v>0</v>
      </c>
      <c r="F993" s="23" t="str">
        <f aca="false">IF(E993,D993,"")</f>
        <v/>
      </c>
      <c r="G993" s="21" t="n">
        <f aca="false">IF(E993,D993^2,0)</f>
        <v>0</v>
      </c>
      <c r="H993" s="3"/>
    </row>
    <row r="994" customFormat="false" ht="15" hidden="false" customHeight="true" outlineLevel="0" collapsed="false">
      <c r="A994" s="16"/>
      <c r="B994" s="16"/>
      <c r="C994" s="15"/>
      <c r="D994" s="19"/>
      <c r="E994" s="20" t="b">
        <f aca="false">AND(A994&lt;&gt;"",C994&lt;&gt;"",D994&lt;&gt;"",C994&gt;='Read Me'!$B$5)</f>
        <v>0</v>
      </c>
      <c r="F994" s="23" t="str">
        <f aca="false">IF(E994,D994,"")</f>
        <v/>
      </c>
      <c r="G994" s="21" t="n">
        <f aca="false">IF(E994,D994^2,0)</f>
        <v>0</v>
      </c>
      <c r="H994" s="3"/>
    </row>
    <row r="995" customFormat="false" ht="15" hidden="false" customHeight="true" outlineLevel="0" collapsed="false">
      <c r="A995" s="16"/>
      <c r="B995" s="16"/>
      <c r="C995" s="15"/>
      <c r="D995" s="19"/>
      <c r="E995" s="20" t="b">
        <f aca="false">AND(A995&lt;&gt;"",C995&lt;&gt;"",D995&lt;&gt;"",C995&gt;='Read Me'!$B$5)</f>
        <v>0</v>
      </c>
      <c r="F995" s="23" t="str">
        <f aca="false">IF(E995,D995,"")</f>
        <v/>
      </c>
      <c r="G995" s="21" t="n">
        <f aca="false">IF(E995,D995^2,0)</f>
        <v>0</v>
      </c>
      <c r="H995" s="3"/>
    </row>
    <row r="996" customFormat="false" ht="15" hidden="false" customHeight="true" outlineLevel="0" collapsed="false">
      <c r="A996" s="16"/>
      <c r="B996" s="16"/>
      <c r="C996" s="15"/>
      <c r="D996" s="19"/>
      <c r="E996" s="20" t="b">
        <f aca="false">AND(A996&lt;&gt;"",C996&lt;&gt;"",D996&lt;&gt;"",C996&gt;='Read Me'!$B$5)</f>
        <v>0</v>
      </c>
      <c r="F996" s="23" t="str">
        <f aca="false">IF(E996,D996,"")</f>
        <v/>
      </c>
      <c r="G996" s="21" t="n">
        <f aca="false">IF(E996,D996^2,0)</f>
        <v>0</v>
      </c>
      <c r="H996" s="3"/>
    </row>
    <row r="997" customFormat="false" ht="15" hidden="false" customHeight="true" outlineLevel="0" collapsed="false">
      <c r="A997" s="16"/>
      <c r="B997" s="16"/>
      <c r="C997" s="15"/>
      <c r="D997" s="19"/>
      <c r="E997" s="20" t="b">
        <f aca="false">AND(A997&lt;&gt;"",C997&lt;&gt;"",D997&lt;&gt;"",C997&gt;='Read Me'!$B$5)</f>
        <v>0</v>
      </c>
      <c r="F997" s="23" t="str">
        <f aca="false">IF(E997,D997,"")</f>
        <v/>
      </c>
      <c r="G997" s="21" t="n">
        <f aca="false">IF(E997,D997^2,0)</f>
        <v>0</v>
      </c>
      <c r="H997" s="3"/>
    </row>
    <row r="998" customFormat="false" ht="15" hidden="false" customHeight="true" outlineLevel="0" collapsed="false">
      <c r="A998" s="16"/>
      <c r="B998" s="16"/>
      <c r="C998" s="15"/>
      <c r="D998" s="19"/>
      <c r="E998" s="20" t="b">
        <f aca="false">AND(A998&lt;&gt;"",C998&lt;&gt;"",D998&lt;&gt;"",C998&gt;='Read Me'!$B$5)</f>
        <v>0</v>
      </c>
      <c r="F998" s="23" t="str">
        <f aca="false">IF(E998,D998,"")</f>
        <v/>
      </c>
      <c r="G998" s="21" t="n">
        <f aca="false">IF(E998,D998^2,0)</f>
        <v>0</v>
      </c>
      <c r="H998" s="3"/>
    </row>
    <row r="999" customFormat="false" ht="15" hidden="false" customHeight="true" outlineLevel="0" collapsed="false">
      <c r="A999" s="16"/>
      <c r="B999" s="16"/>
      <c r="C999" s="15"/>
      <c r="D999" s="19"/>
      <c r="E999" s="20" t="b">
        <f aca="false">AND(A999&lt;&gt;"",C999&lt;&gt;"",D999&lt;&gt;"",C999&gt;='Read Me'!$B$5)</f>
        <v>0</v>
      </c>
      <c r="F999" s="23" t="str">
        <f aca="false">IF(E999,D999,"")</f>
        <v/>
      </c>
      <c r="G999" s="21" t="n">
        <f aca="false">IF(E999,D999^2,0)</f>
        <v>0</v>
      </c>
      <c r="H999" s="3"/>
    </row>
    <row r="1000" customFormat="false" ht="15" hidden="false" customHeight="true" outlineLevel="0" collapsed="false">
      <c r="A1000" s="16"/>
      <c r="B1000" s="16"/>
      <c r="C1000" s="15"/>
      <c r="D1000" s="19"/>
      <c r="E1000" s="20" t="b">
        <f aca="false">AND(A1000&lt;&gt;"",C1000&lt;&gt;"",D1000&lt;&gt;"",C1000&gt;='Read Me'!$B$5)</f>
        <v>0</v>
      </c>
      <c r="F1000" s="23" t="str">
        <f aca="false">IF(E1000,D1000,"")</f>
        <v/>
      </c>
      <c r="G1000" s="21" t="n">
        <f aca="false">IF(E1000,D1000^2,0)</f>
        <v>0</v>
      </c>
      <c r="H1000" s="3"/>
    </row>
    <row r="1001" customFormat="false" ht="15" hidden="false" customHeight="true" outlineLevel="0" collapsed="false">
      <c r="A1001" s="16"/>
      <c r="B1001" s="16"/>
      <c r="C1001" s="15"/>
      <c r="D1001" s="19"/>
      <c r="E1001" s="20" t="b">
        <f aca="false">AND(A1001&lt;&gt;"",C1001&lt;&gt;"",D1001&lt;&gt;"",C1001&gt;='Read Me'!$B$5)</f>
        <v>0</v>
      </c>
      <c r="F1001" s="23" t="str">
        <f aca="false">IF(E1001,D1001,"")</f>
        <v/>
      </c>
      <c r="G1001" s="21" t="n">
        <f aca="false">IF(E1001,D1001^2,0)</f>
        <v>0</v>
      </c>
      <c r="H1001" s="3"/>
    </row>
    <row r="1002" customFormat="false" ht="15" hidden="false" customHeight="true" outlineLevel="0" collapsed="false">
      <c r="A1002" s="16"/>
      <c r="B1002" s="16"/>
      <c r="C1002" s="15"/>
      <c r="D1002" s="19"/>
      <c r="E1002" s="20" t="b">
        <f aca="false">AND(A1002&lt;&gt;"",C1002&lt;&gt;"",D1002&lt;&gt;"",C1002&gt;='Read Me'!$B$5)</f>
        <v>0</v>
      </c>
      <c r="F1002" s="23" t="str">
        <f aca="false">IF(E1002,D1002,"")</f>
        <v/>
      </c>
      <c r="G1002" s="21" t="n">
        <f aca="false">IF(E1002,D1002^2,0)</f>
        <v>0</v>
      </c>
      <c r="H1002" s="3"/>
    </row>
    <row r="1003" customFormat="false" ht="15" hidden="false" customHeight="true" outlineLevel="0" collapsed="false">
      <c r="A1003" s="16"/>
      <c r="B1003" s="16"/>
      <c r="C1003" s="15"/>
      <c r="D1003" s="19"/>
      <c r="E1003" s="20" t="b">
        <f aca="false">AND(A1003&lt;&gt;"",C1003&lt;&gt;"",D1003&lt;&gt;"",C1003&gt;='Read Me'!$B$5)</f>
        <v>0</v>
      </c>
      <c r="F1003" s="23" t="str">
        <f aca="false">IF(E1003,D1003,"")</f>
        <v/>
      </c>
      <c r="G1003" s="21" t="n">
        <f aca="false">IF(E1003,D1003^2,0)</f>
        <v>0</v>
      </c>
      <c r="H1003" s="3"/>
    </row>
    <row r="1004" customFormat="false" ht="15" hidden="false" customHeight="true" outlineLevel="0" collapsed="false">
      <c r="A1004" s="16"/>
      <c r="B1004" s="16"/>
      <c r="C1004" s="15"/>
      <c r="D1004" s="19"/>
      <c r="E1004" s="20" t="b">
        <f aca="false">AND(A1004&lt;&gt;"",C1004&lt;&gt;"",D1004&lt;&gt;"",C1004&gt;='Read Me'!$B$5)</f>
        <v>0</v>
      </c>
      <c r="F1004" s="23" t="str">
        <f aca="false">IF(E1004,D1004,"")</f>
        <v/>
      </c>
      <c r="G1004" s="21" t="n">
        <f aca="false">IF(E1004,D1004^2,0)</f>
        <v>0</v>
      </c>
      <c r="H1004" s="3"/>
    </row>
    <row r="1005" customFormat="false" ht="15" hidden="false" customHeight="true" outlineLevel="0" collapsed="false">
      <c r="A1005" s="16"/>
      <c r="B1005" s="16"/>
      <c r="C1005" s="15"/>
      <c r="D1005" s="19"/>
      <c r="E1005" s="20" t="b">
        <f aca="false">AND(A1005&lt;&gt;"",C1005&lt;&gt;"",D1005&lt;&gt;"",C1005&gt;='Read Me'!$B$5)</f>
        <v>0</v>
      </c>
      <c r="F1005" s="23" t="str">
        <f aca="false">IF(E1005,D1005,"")</f>
        <v/>
      </c>
      <c r="G1005" s="21" t="n">
        <f aca="false">IF(E1005,D1005^2,0)</f>
        <v>0</v>
      </c>
      <c r="H1005" s="3"/>
    </row>
    <row r="1006" customFormat="false" ht="15" hidden="false" customHeight="true" outlineLevel="0" collapsed="false">
      <c r="A1006" s="16"/>
      <c r="B1006" s="16"/>
      <c r="C1006" s="15"/>
      <c r="D1006" s="19"/>
      <c r="E1006" s="20" t="b">
        <f aca="false">AND(A1006&lt;&gt;"",C1006&lt;&gt;"",D1006&lt;&gt;"",C1006&gt;='Read Me'!$B$5)</f>
        <v>0</v>
      </c>
      <c r="F1006" s="23" t="str">
        <f aca="false">IF(E1006,D1006,"")</f>
        <v/>
      </c>
      <c r="G1006" s="21" t="n">
        <f aca="false">IF(E1006,D1006^2,0)</f>
        <v>0</v>
      </c>
      <c r="H1006" s="3"/>
    </row>
    <row r="1007" customFormat="false" ht="15" hidden="false" customHeight="true" outlineLevel="0" collapsed="false">
      <c r="A1007" s="16"/>
      <c r="B1007" s="16"/>
      <c r="C1007" s="15"/>
      <c r="D1007" s="19"/>
      <c r="E1007" s="20" t="b">
        <f aca="false">AND(A1007&lt;&gt;"",C1007&lt;&gt;"",D1007&lt;&gt;"",C1007&gt;='Read Me'!$B$5)</f>
        <v>0</v>
      </c>
      <c r="F1007" s="23" t="str">
        <f aca="false">IF(E1007,D1007,"")</f>
        <v/>
      </c>
      <c r="G1007" s="21" t="n">
        <f aca="false">IF(E1007,D1007^2,0)</f>
        <v>0</v>
      </c>
      <c r="H1007" s="3"/>
    </row>
    <row r="1008" customFormat="false" ht="15" hidden="false" customHeight="true" outlineLevel="0" collapsed="false">
      <c r="A1008" s="16"/>
      <c r="B1008" s="16"/>
      <c r="C1008" s="15"/>
      <c r="D1008" s="19"/>
      <c r="E1008" s="20" t="b">
        <f aca="false">AND(A1008&lt;&gt;"",C1008&lt;&gt;"",D1008&lt;&gt;"",C1008&gt;='Read Me'!$B$5)</f>
        <v>0</v>
      </c>
      <c r="F1008" s="23" t="str">
        <f aca="false">IF(E1008,D1008,"")</f>
        <v/>
      </c>
      <c r="G1008" s="21" t="n">
        <f aca="false">IF(E1008,D1008^2,0)</f>
        <v>0</v>
      </c>
      <c r="H1008" s="3"/>
    </row>
    <row r="1009" customFormat="false" ht="15" hidden="false" customHeight="true" outlineLevel="0" collapsed="false">
      <c r="A1009" s="16"/>
      <c r="B1009" s="16"/>
      <c r="C1009" s="15"/>
      <c r="D1009" s="19"/>
      <c r="E1009" s="20" t="b">
        <f aca="false">AND(A1009&lt;&gt;"",C1009&lt;&gt;"",D1009&lt;&gt;"",C1009&gt;='Read Me'!$B$5)</f>
        <v>0</v>
      </c>
      <c r="F1009" s="23" t="str">
        <f aca="false">IF(E1009,D1009,"")</f>
        <v/>
      </c>
      <c r="G1009" s="21" t="n">
        <f aca="false">IF(E1009,D1009^2,0)</f>
        <v>0</v>
      </c>
      <c r="H1009" s="3"/>
    </row>
    <row r="1010" customFormat="false" ht="15" hidden="false" customHeight="true" outlineLevel="0" collapsed="false">
      <c r="A1010" s="16"/>
      <c r="B1010" s="16"/>
      <c r="C1010" s="15"/>
      <c r="D1010" s="19"/>
      <c r="E1010" s="20" t="b">
        <f aca="false">AND(A1010&lt;&gt;"",C1010&lt;&gt;"",D1010&lt;&gt;"",C1010&gt;='Read Me'!$B$5)</f>
        <v>0</v>
      </c>
      <c r="F1010" s="23" t="str">
        <f aca="false">IF(E1010,D1010,"")</f>
        <v/>
      </c>
      <c r="G1010" s="21" t="n">
        <f aca="false">IF(E1010,D1010^2,0)</f>
        <v>0</v>
      </c>
      <c r="H1010" s="3"/>
    </row>
    <row r="1011" customFormat="false" ht="15" hidden="false" customHeight="true" outlineLevel="0" collapsed="false">
      <c r="A1011" s="16"/>
      <c r="B1011" s="16"/>
      <c r="C1011" s="15"/>
      <c r="D1011" s="19"/>
      <c r="E1011" s="20" t="b">
        <f aca="false">AND(A1011&lt;&gt;"",C1011&lt;&gt;"",D1011&lt;&gt;"",C1011&gt;='Read Me'!$B$5)</f>
        <v>0</v>
      </c>
      <c r="F1011" s="23" t="str">
        <f aca="false">IF(E1011,D1011,"")</f>
        <v/>
      </c>
      <c r="G1011" s="21" t="n">
        <f aca="false">IF(E1011,D1011^2,0)</f>
        <v>0</v>
      </c>
      <c r="H1011" s="3"/>
    </row>
    <row r="1012" customFormat="false" ht="15" hidden="false" customHeight="true" outlineLevel="0" collapsed="false">
      <c r="A1012" s="16"/>
      <c r="B1012" s="16"/>
      <c r="C1012" s="15"/>
      <c r="D1012" s="19"/>
      <c r="E1012" s="20" t="b">
        <f aca="false">AND(A1012&lt;&gt;"",C1012&lt;&gt;"",D1012&lt;&gt;"",C1012&gt;='Read Me'!$B$5)</f>
        <v>0</v>
      </c>
      <c r="F1012" s="23" t="str">
        <f aca="false">IF(E1012,D1012,"")</f>
        <v/>
      </c>
      <c r="G1012" s="21" t="n">
        <f aca="false">IF(E1012,D1012^2,0)</f>
        <v>0</v>
      </c>
      <c r="H1012" s="3"/>
    </row>
    <row r="1013" customFormat="false" ht="15" hidden="false" customHeight="true" outlineLevel="0" collapsed="false">
      <c r="A1013" s="16"/>
      <c r="B1013" s="16"/>
      <c r="C1013" s="15"/>
      <c r="D1013" s="19"/>
      <c r="E1013" s="20" t="b">
        <f aca="false">AND(A1013&lt;&gt;"",C1013&lt;&gt;"",D1013&lt;&gt;"",C1013&gt;='Read Me'!$B$5)</f>
        <v>0</v>
      </c>
      <c r="F1013" s="23" t="str">
        <f aca="false">IF(E1013,D1013,"")</f>
        <v/>
      </c>
      <c r="G1013" s="21" t="n">
        <f aca="false">IF(E1013,D1013^2,0)</f>
        <v>0</v>
      </c>
      <c r="H1013" s="3"/>
    </row>
    <row r="1014" customFormat="false" ht="15" hidden="false" customHeight="true" outlineLevel="0" collapsed="false">
      <c r="A1014" s="16"/>
      <c r="B1014" s="16"/>
      <c r="C1014" s="15"/>
      <c r="D1014" s="19"/>
      <c r="E1014" s="20" t="b">
        <f aca="false">AND(A1014&lt;&gt;"",C1014&lt;&gt;"",D1014&lt;&gt;"",C1014&gt;='Read Me'!$B$5)</f>
        <v>0</v>
      </c>
      <c r="F1014" s="23" t="str">
        <f aca="false">IF(E1014,D1014,"")</f>
        <v/>
      </c>
      <c r="G1014" s="21" t="n">
        <f aca="false">IF(E1014,D1014^2,0)</f>
        <v>0</v>
      </c>
      <c r="H1014" s="3"/>
    </row>
    <row r="1015" customFormat="false" ht="15" hidden="false" customHeight="true" outlineLevel="0" collapsed="false">
      <c r="A1015" s="16"/>
      <c r="B1015" s="16"/>
      <c r="C1015" s="15"/>
      <c r="D1015" s="19"/>
      <c r="E1015" s="20" t="b">
        <f aca="false">AND(A1015&lt;&gt;"",C1015&lt;&gt;"",D1015&lt;&gt;"",C1015&gt;='Read Me'!$B$5)</f>
        <v>0</v>
      </c>
      <c r="F1015" s="23" t="str">
        <f aca="false">IF(E1015,D1015,"")</f>
        <v/>
      </c>
      <c r="G1015" s="21" t="n">
        <f aca="false">IF(E1015,D1015^2,0)</f>
        <v>0</v>
      </c>
      <c r="H1015" s="3"/>
    </row>
    <row r="1016" customFormat="false" ht="15" hidden="false" customHeight="true" outlineLevel="0" collapsed="false">
      <c r="A1016" s="16"/>
      <c r="B1016" s="16"/>
      <c r="C1016" s="15"/>
      <c r="D1016" s="19"/>
      <c r="E1016" s="20" t="b">
        <f aca="false">AND(A1016&lt;&gt;"",C1016&lt;&gt;"",D1016&lt;&gt;"",C1016&gt;='Read Me'!$B$5)</f>
        <v>0</v>
      </c>
      <c r="F1016" s="23" t="str">
        <f aca="false">IF(E1016,D1016,"")</f>
        <v/>
      </c>
      <c r="G1016" s="21" t="n">
        <f aca="false">IF(E1016,D1016^2,0)</f>
        <v>0</v>
      </c>
      <c r="H1016" s="3"/>
    </row>
    <row r="1017" customFormat="false" ht="15" hidden="false" customHeight="true" outlineLevel="0" collapsed="false">
      <c r="A1017" s="16"/>
      <c r="B1017" s="16"/>
      <c r="C1017" s="15"/>
      <c r="D1017" s="19"/>
      <c r="E1017" s="20" t="b">
        <f aca="false">AND(A1017&lt;&gt;"",C1017&lt;&gt;"",D1017&lt;&gt;"",C1017&gt;='Read Me'!$B$5)</f>
        <v>0</v>
      </c>
      <c r="F1017" s="23" t="str">
        <f aca="false">IF(E1017,D1017,"")</f>
        <v/>
      </c>
      <c r="G1017" s="21" t="n">
        <f aca="false">IF(E1017,D1017^2,0)</f>
        <v>0</v>
      </c>
      <c r="H1017" s="3"/>
    </row>
    <row r="1018" customFormat="false" ht="15" hidden="false" customHeight="true" outlineLevel="0" collapsed="false">
      <c r="A1018" s="16"/>
      <c r="B1018" s="16"/>
      <c r="C1018" s="15"/>
      <c r="D1018" s="19"/>
      <c r="E1018" s="20" t="b">
        <f aca="false">AND(A1018&lt;&gt;"",C1018&lt;&gt;"",D1018&lt;&gt;"",C1018&gt;='Read Me'!$B$5)</f>
        <v>0</v>
      </c>
      <c r="F1018" s="23" t="str">
        <f aca="false">IF(E1018,D1018,"")</f>
        <v/>
      </c>
      <c r="G1018" s="21" t="n">
        <f aca="false">IF(E1018,D1018^2,0)</f>
        <v>0</v>
      </c>
      <c r="H1018" s="3"/>
    </row>
    <row r="1019" customFormat="false" ht="15" hidden="false" customHeight="true" outlineLevel="0" collapsed="false">
      <c r="A1019" s="16"/>
      <c r="B1019" s="16"/>
      <c r="C1019" s="15"/>
      <c r="D1019" s="19"/>
      <c r="E1019" s="20" t="b">
        <f aca="false">AND(A1019&lt;&gt;"",C1019&lt;&gt;"",D1019&lt;&gt;"",C1019&gt;='Read Me'!$B$5)</f>
        <v>0</v>
      </c>
      <c r="F1019" s="23" t="str">
        <f aca="false">IF(E1019,D1019,"")</f>
        <v/>
      </c>
      <c r="G1019" s="21" t="n">
        <f aca="false">IF(E1019,D1019^2,0)</f>
        <v>0</v>
      </c>
      <c r="H1019" s="3"/>
    </row>
    <row r="1020" customFormat="false" ht="15" hidden="false" customHeight="true" outlineLevel="0" collapsed="false">
      <c r="A1020" s="16"/>
      <c r="B1020" s="16"/>
      <c r="C1020" s="15"/>
      <c r="D1020" s="19"/>
      <c r="E1020" s="20" t="b">
        <f aca="false">AND(A1020&lt;&gt;"",C1020&lt;&gt;"",D1020&lt;&gt;"",C1020&gt;='Read Me'!$B$5)</f>
        <v>0</v>
      </c>
      <c r="F1020" s="23" t="str">
        <f aca="false">IF(E1020,D1020,"")</f>
        <v/>
      </c>
      <c r="G1020" s="21" t="n">
        <f aca="false">IF(E1020,D1020^2,0)</f>
        <v>0</v>
      </c>
      <c r="H1020" s="3"/>
    </row>
    <row r="1021" customFormat="false" ht="15" hidden="false" customHeight="true" outlineLevel="0" collapsed="false">
      <c r="A1021" s="16"/>
      <c r="B1021" s="16"/>
      <c r="C1021" s="15"/>
      <c r="D1021" s="19"/>
      <c r="E1021" s="20" t="b">
        <f aca="false">AND(A1021&lt;&gt;"",C1021&lt;&gt;"",D1021&lt;&gt;"",C1021&gt;='Read Me'!$B$5)</f>
        <v>0</v>
      </c>
      <c r="F1021" s="23" t="str">
        <f aca="false">IF(E1021,D1021,"")</f>
        <v/>
      </c>
      <c r="G1021" s="21" t="n">
        <f aca="false">IF(E1021,D1021^2,0)</f>
        <v>0</v>
      </c>
      <c r="H1021" s="3"/>
    </row>
    <row r="1022" customFormat="false" ht="15" hidden="false" customHeight="true" outlineLevel="0" collapsed="false">
      <c r="A1022" s="16"/>
      <c r="B1022" s="16"/>
      <c r="C1022" s="15"/>
      <c r="D1022" s="19"/>
      <c r="E1022" s="20" t="b">
        <f aca="false">AND(A1022&lt;&gt;"",C1022&lt;&gt;"",D1022&lt;&gt;"",C1022&gt;='Read Me'!$B$5)</f>
        <v>0</v>
      </c>
      <c r="F1022" s="23" t="str">
        <f aca="false">IF(E1022,D1022,"")</f>
        <v/>
      </c>
      <c r="G1022" s="21" t="n">
        <f aca="false">IF(E1022,D1022^2,0)</f>
        <v>0</v>
      </c>
      <c r="H1022" s="3"/>
    </row>
    <row r="1023" customFormat="false" ht="15" hidden="false" customHeight="true" outlineLevel="0" collapsed="false">
      <c r="A1023" s="16"/>
      <c r="B1023" s="16"/>
      <c r="C1023" s="15"/>
      <c r="D1023" s="19"/>
      <c r="E1023" s="20" t="b">
        <f aca="false">AND(A1023&lt;&gt;"",C1023&lt;&gt;"",D1023&lt;&gt;"",C1023&gt;='Read Me'!$B$5)</f>
        <v>0</v>
      </c>
      <c r="F1023" s="23" t="str">
        <f aca="false">IF(E1023,D1023,"")</f>
        <v/>
      </c>
      <c r="G1023" s="21" t="n">
        <f aca="false">IF(E1023,D1023^2,0)</f>
        <v>0</v>
      </c>
      <c r="H1023" s="3"/>
    </row>
    <row r="1024" customFormat="false" ht="15" hidden="false" customHeight="true" outlineLevel="0" collapsed="false">
      <c r="A1024" s="16"/>
      <c r="B1024" s="16"/>
      <c r="C1024" s="15"/>
      <c r="D1024" s="19"/>
      <c r="E1024" s="20" t="b">
        <f aca="false">AND(A1024&lt;&gt;"",C1024&lt;&gt;"",D1024&lt;&gt;"",C1024&gt;='Read Me'!$B$5)</f>
        <v>0</v>
      </c>
      <c r="F1024" s="23" t="str">
        <f aca="false">IF(E1024,D1024,"")</f>
        <v/>
      </c>
      <c r="G1024" s="21" t="n">
        <f aca="false">IF(E1024,D1024^2,0)</f>
        <v>0</v>
      </c>
      <c r="H1024" s="3"/>
    </row>
    <row r="1025" customFormat="false" ht="15" hidden="false" customHeight="true" outlineLevel="0" collapsed="false">
      <c r="A1025" s="16"/>
      <c r="B1025" s="16"/>
      <c r="C1025" s="15"/>
      <c r="D1025" s="19"/>
      <c r="E1025" s="20" t="b">
        <f aca="false">AND(A1025&lt;&gt;"",C1025&lt;&gt;"",D1025&lt;&gt;"",C1025&gt;='Read Me'!$B$5)</f>
        <v>0</v>
      </c>
      <c r="F1025" s="23" t="str">
        <f aca="false">IF(E1025,D1025,"")</f>
        <v/>
      </c>
      <c r="G1025" s="21" t="n">
        <f aca="false">IF(E1025,D1025^2,0)</f>
        <v>0</v>
      </c>
      <c r="H1025" s="3"/>
    </row>
    <row r="1026" customFormat="false" ht="15" hidden="false" customHeight="true" outlineLevel="0" collapsed="false">
      <c r="A1026" s="16"/>
      <c r="B1026" s="16"/>
      <c r="C1026" s="15"/>
      <c r="D1026" s="19"/>
      <c r="E1026" s="20" t="b">
        <f aca="false">AND(A1026&lt;&gt;"",C1026&lt;&gt;"",D1026&lt;&gt;"",C1026&gt;='Read Me'!$B$5)</f>
        <v>0</v>
      </c>
      <c r="F1026" s="23" t="str">
        <f aca="false">IF(E1026,D1026,"")</f>
        <v/>
      </c>
      <c r="G1026" s="21" t="n">
        <f aca="false">IF(E1026,D1026^2,0)</f>
        <v>0</v>
      </c>
      <c r="H1026" s="3"/>
    </row>
    <row r="1027" customFormat="false" ht="15" hidden="false" customHeight="true" outlineLevel="0" collapsed="false">
      <c r="A1027" s="16"/>
      <c r="B1027" s="16"/>
      <c r="C1027" s="15"/>
      <c r="D1027" s="19"/>
      <c r="E1027" s="20" t="b">
        <f aca="false">AND(A1027&lt;&gt;"",C1027&lt;&gt;"",D1027&lt;&gt;"",C1027&gt;='Read Me'!$B$5)</f>
        <v>0</v>
      </c>
      <c r="F1027" s="23" t="str">
        <f aca="false">IF(E1027,D1027,"")</f>
        <v/>
      </c>
      <c r="G1027" s="21" t="n">
        <f aca="false">IF(E1027,D1027^2,0)</f>
        <v>0</v>
      </c>
      <c r="H1027" s="3"/>
    </row>
    <row r="1028" customFormat="false" ht="15" hidden="false" customHeight="true" outlineLevel="0" collapsed="false">
      <c r="A1028" s="16"/>
      <c r="B1028" s="16"/>
      <c r="C1028" s="15"/>
      <c r="D1028" s="19"/>
      <c r="E1028" s="20" t="b">
        <f aca="false">AND(A1028&lt;&gt;"",C1028&lt;&gt;"",D1028&lt;&gt;"",C1028&gt;='Read Me'!$B$5)</f>
        <v>0</v>
      </c>
      <c r="F1028" s="23" t="str">
        <f aca="false">IF(E1028,D1028,"")</f>
        <v/>
      </c>
      <c r="G1028" s="21" t="n">
        <f aca="false">IF(E1028,D1028^2,0)</f>
        <v>0</v>
      </c>
      <c r="H1028" s="3"/>
    </row>
    <row r="1029" customFormat="false" ht="15" hidden="false" customHeight="true" outlineLevel="0" collapsed="false">
      <c r="A1029" s="16"/>
      <c r="B1029" s="16"/>
      <c r="C1029" s="15"/>
      <c r="D1029" s="19"/>
      <c r="E1029" s="20" t="b">
        <f aca="false">AND(A1029&lt;&gt;"",C1029&lt;&gt;"",D1029&lt;&gt;"",C1029&gt;='Read Me'!$B$5)</f>
        <v>0</v>
      </c>
      <c r="F1029" s="23" t="str">
        <f aca="false">IF(E1029,D1029,"")</f>
        <v/>
      </c>
      <c r="G1029" s="21" t="n">
        <f aca="false">IF(E1029,D1029^2,0)</f>
        <v>0</v>
      </c>
      <c r="H1029" s="3"/>
    </row>
    <row r="1030" customFormat="false" ht="15" hidden="false" customHeight="true" outlineLevel="0" collapsed="false">
      <c r="A1030" s="16"/>
      <c r="B1030" s="16"/>
      <c r="C1030" s="15"/>
      <c r="D1030" s="19"/>
      <c r="E1030" s="20" t="b">
        <f aca="false">AND(A1030&lt;&gt;"",C1030&lt;&gt;"",D1030&lt;&gt;"",C1030&gt;='Read Me'!$B$5)</f>
        <v>0</v>
      </c>
      <c r="F1030" s="23" t="str">
        <f aca="false">IF(E1030,D1030,"")</f>
        <v/>
      </c>
      <c r="G1030" s="21" t="n">
        <f aca="false">IF(E1030,D1030^2,0)</f>
        <v>0</v>
      </c>
      <c r="H1030" s="3"/>
    </row>
    <row r="1031" customFormat="false" ht="15" hidden="false" customHeight="true" outlineLevel="0" collapsed="false">
      <c r="A1031" s="16"/>
      <c r="B1031" s="16"/>
      <c r="C1031" s="15"/>
      <c r="D1031" s="19"/>
      <c r="E1031" s="20" t="b">
        <f aca="false">AND(A1031&lt;&gt;"",C1031&lt;&gt;"",D1031&lt;&gt;"",C1031&gt;='Read Me'!$B$5)</f>
        <v>0</v>
      </c>
      <c r="F1031" s="23" t="str">
        <f aca="false">IF(E1031,D1031,"")</f>
        <v/>
      </c>
      <c r="G1031" s="21" t="n">
        <f aca="false">IF(E1031,D1031^2,0)</f>
        <v>0</v>
      </c>
      <c r="H1031" s="3"/>
    </row>
    <row r="1032" customFormat="false" ht="15" hidden="false" customHeight="true" outlineLevel="0" collapsed="false">
      <c r="A1032" s="16"/>
      <c r="B1032" s="16"/>
      <c r="C1032" s="15"/>
      <c r="D1032" s="19"/>
      <c r="E1032" s="20" t="b">
        <f aca="false">AND(A1032&lt;&gt;"",C1032&lt;&gt;"",D1032&lt;&gt;"",C1032&gt;='Read Me'!$B$5)</f>
        <v>0</v>
      </c>
      <c r="F1032" s="23" t="str">
        <f aca="false">IF(E1032,D1032,"")</f>
        <v/>
      </c>
      <c r="G1032" s="21" t="n">
        <f aca="false">IF(E1032,D1032^2,0)</f>
        <v>0</v>
      </c>
      <c r="H1032" s="3"/>
    </row>
    <row r="1033" customFormat="false" ht="15" hidden="false" customHeight="true" outlineLevel="0" collapsed="false">
      <c r="A1033" s="16"/>
      <c r="B1033" s="16"/>
      <c r="C1033" s="15"/>
      <c r="D1033" s="19"/>
      <c r="E1033" s="20" t="b">
        <f aca="false">AND(A1033&lt;&gt;"",C1033&lt;&gt;"",D1033&lt;&gt;"",C1033&gt;='Read Me'!$B$5)</f>
        <v>0</v>
      </c>
      <c r="F1033" s="23" t="str">
        <f aca="false">IF(E1033,D1033,"")</f>
        <v/>
      </c>
      <c r="G1033" s="21" t="n">
        <f aca="false">IF(E1033,D1033^2,0)</f>
        <v>0</v>
      </c>
      <c r="H1033" s="3"/>
    </row>
    <row r="1034" customFormat="false" ht="15" hidden="false" customHeight="true" outlineLevel="0" collapsed="false">
      <c r="A1034" s="16"/>
      <c r="B1034" s="16"/>
      <c r="C1034" s="15"/>
      <c r="D1034" s="19"/>
      <c r="E1034" s="20" t="b">
        <f aca="false">AND(A1034&lt;&gt;"",C1034&lt;&gt;"",D1034&lt;&gt;"",C1034&gt;='Read Me'!$B$5)</f>
        <v>0</v>
      </c>
      <c r="F1034" s="23" t="str">
        <f aca="false">IF(E1034,D1034,"")</f>
        <v/>
      </c>
      <c r="G1034" s="21" t="n">
        <f aca="false">IF(E1034,D1034^2,0)</f>
        <v>0</v>
      </c>
      <c r="H1034" s="3"/>
    </row>
    <row r="1035" customFormat="false" ht="15" hidden="false" customHeight="true" outlineLevel="0" collapsed="false">
      <c r="A1035" s="16"/>
      <c r="B1035" s="16"/>
      <c r="C1035" s="15"/>
      <c r="D1035" s="19"/>
      <c r="E1035" s="20" t="b">
        <f aca="false">AND(A1035&lt;&gt;"",C1035&lt;&gt;"",D1035&lt;&gt;"",C1035&gt;='Read Me'!$B$5)</f>
        <v>0</v>
      </c>
      <c r="F1035" s="23" t="str">
        <f aca="false">IF(E1035,D1035,"")</f>
        <v/>
      </c>
      <c r="G1035" s="21" t="n">
        <f aca="false">IF(E1035,D1035^2,0)</f>
        <v>0</v>
      </c>
      <c r="H1035" s="3"/>
    </row>
    <row r="1036" customFormat="false" ht="15" hidden="false" customHeight="true" outlineLevel="0" collapsed="false">
      <c r="A1036" s="16"/>
      <c r="B1036" s="16"/>
      <c r="C1036" s="15"/>
      <c r="D1036" s="19"/>
      <c r="E1036" s="20" t="b">
        <f aca="false">AND(A1036&lt;&gt;"",C1036&lt;&gt;"",D1036&lt;&gt;"",C1036&gt;='Read Me'!$B$5)</f>
        <v>0</v>
      </c>
      <c r="F1036" s="23" t="str">
        <f aca="false">IF(E1036,D1036,"")</f>
        <v/>
      </c>
      <c r="G1036" s="21" t="n">
        <f aca="false">IF(E1036,D1036^2,0)</f>
        <v>0</v>
      </c>
      <c r="H1036" s="3"/>
    </row>
    <row r="1037" customFormat="false" ht="15" hidden="false" customHeight="true" outlineLevel="0" collapsed="false">
      <c r="A1037" s="16"/>
      <c r="B1037" s="16"/>
      <c r="C1037" s="15"/>
      <c r="D1037" s="19"/>
      <c r="E1037" s="20" t="b">
        <f aca="false">AND(A1037&lt;&gt;"",C1037&lt;&gt;"",D1037&lt;&gt;"",C1037&gt;='Read Me'!$B$5)</f>
        <v>0</v>
      </c>
      <c r="F1037" s="23" t="str">
        <f aca="false">IF(E1037,D1037,"")</f>
        <v/>
      </c>
      <c r="G1037" s="21" t="n">
        <f aca="false">IF(E1037,D1037^2,0)</f>
        <v>0</v>
      </c>
      <c r="H1037" s="3"/>
    </row>
    <row r="1038" customFormat="false" ht="15" hidden="false" customHeight="true" outlineLevel="0" collapsed="false">
      <c r="A1038" s="16"/>
      <c r="B1038" s="16"/>
      <c r="C1038" s="15"/>
      <c r="D1038" s="19"/>
      <c r="E1038" s="20" t="b">
        <f aca="false">AND(A1038&lt;&gt;"",C1038&lt;&gt;"",D1038&lt;&gt;"",C1038&gt;='Read Me'!$B$5)</f>
        <v>0</v>
      </c>
      <c r="F1038" s="23" t="str">
        <f aca="false">IF(E1038,D1038,"")</f>
        <v/>
      </c>
      <c r="G1038" s="21" t="n">
        <f aca="false">IF(E1038,D1038^2,0)</f>
        <v>0</v>
      </c>
      <c r="H1038" s="3"/>
    </row>
    <row r="1039" customFormat="false" ht="15" hidden="false" customHeight="true" outlineLevel="0" collapsed="false">
      <c r="A1039" s="16"/>
      <c r="B1039" s="16"/>
      <c r="C1039" s="15"/>
      <c r="D1039" s="19"/>
      <c r="E1039" s="20" t="b">
        <f aca="false">AND(A1039&lt;&gt;"",C1039&lt;&gt;"",D1039&lt;&gt;"",C1039&gt;='Read Me'!$B$5)</f>
        <v>0</v>
      </c>
      <c r="F1039" s="23" t="str">
        <f aca="false">IF(E1039,D1039,"")</f>
        <v/>
      </c>
      <c r="G1039" s="21" t="n">
        <f aca="false">IF(E1039,D1039^2,0)</f>
        <v>0</v>
      </c>
      <c r="H1039" s="3"/>
    </row>
    <row r="1040" customFormat="false" ht="15" hidden="false" customHeight="true" outlineLevel="0" collapsed="false">
      <c r="A1040" s="16"/>
      <c r="B1040" s="16"/>
      <c r="C1040" s="15"/>
      <c r="D1040" s="19"/>
      <c r="E1040" s="20" t="b">
        <f aca="false">AND(A1040&lt;&gt;"",C1040&lt;&gt;"",D1040&lt;&gt;"",C1040&gt;='Read Me'!$B$5)</f>
        <v>0</v>
      </c>
      <c r="F1040" s="23" t="str">
        <f aca="false">IF(E1040,D1040,"")</f>
        <v/>
      </c>
      <c r="G1040" s="21" t="n">
        <f aca="false">IF(E1040,D1040^2,0)</f>
        <v>0</v>
      </c>
      <c r="H1040" s="3"/>
    </row>
    <row r="1041" customFormat="false" ht="15" hidden="false" customHeight="true" outlineLevel="0" collapsed="false">
      <c r="A1041" s="16"/>
      <c r="B1041" s="16"/>
      <c r="C1041" s="15"/>
      <c r="D1041" s="19"/>
      <c r="E1041" s="20" t="b">
        <f aca="false">AND(A1041&lt;&gt;"",C1041&lt;&gt;"",D1041&lt;&gt;"",C1041&gt;='Read Me'!$B$5)</f>
        <v>0</v>
      </c>
      <c r="F1041" s="23" t="str">
        <f aca="false">IF(E1041,D1041,"")</f>
        <v/>
      </c>
      <c r="G1041" s="21" t="n">
        <f aca="false">IF(E1041,D1041^2,0)</f>
        <v>0</v>
      </c>
      <c r="H1041" s="3"/>
    </row>
    <row r="1042" customFormat="false" ht="15" hidden="false" customHeight="true" outlineLevel="0" collapsed="false">
      <c r="A1042" s="16"/>
      <c r="B1042" s="16"/>
      <c r="C1042" s="15"/>
      <c r="D1042" s="19"/>
      <c r="E1042" s="20" t="b">
        <f aca="false">AND(A1042&lt;&gt;"",C1042&lt;&gt;"",D1042&lt;&gt;"",C1042&gt;='Read Me'!$B$5)</f>
        <v>0</v>
      </c>
      <c r="F1042" s="23" t="str">
        <f aca="false">IF(E1042,D1042,"")</f>
        <v/>
      </c>
      <c r="G1042" s="21" t="n">
        <f aca="false">IF(E1042,D1042^2,0)</f>
        <v>0</v>
      </c>
      <c r="H1042" s="3"/>
    </row>
    <row r="1043" customFormat="false" ht="15" hidden="false" customHeight="true" outlineLevel="0" collapsed="false">
      <c r="A1043" s="16"/>
      <c r="B1043" s="16"/>
      <c r="C1043" s="15"/>
      <c r="D1043" s="19"/>
      <c r="E1043" s="20" t="b">
        <f aca="false">AND(A1043&lt;&gt;"",C1043&lt;&gt;"",D1043&lt;&gt;"",C1043&gt;='Read Me'!$B$5)</f>
        <v>0</v>
      </c>
      <c r="F1043" s="23" t="str">
        <f aca="false">IF(E1043,D1043,"")</f>
        <v/>
      </c>
      <c r="G1043" s="21" t="n">
        <f aca="false">IF(E1043,D1043^2,0)</f>
        <v>0</v>
      </c>
      <c r="H1043" s="3"/>
    </row>
    <row r="1044" customFormat="false" ht="15" hidden="false" customHeight="true" outlineLevel="0" collapsed="false">
      <c r="A1044" s="16"/>
      <c r="B1044" s="16"/>
      <c r="C1044" s="15"/>
      <c r="D1044" s="19"/>
      <c r="E1044" s="20" t="b">
        <f aca="false">AND(A1044&lt;&gt;"",C1044&lt;&gt;"",D1044&lt;&gt;"",C1044&gt;='Read Me'!$B$5)</f>
        <v>0</v>
      </c>
      <c r="F1044" s="23" t="str">
        <f aca="false">IF(E1044,D1044,"")</f>
        <v/>
      </c>
      <c r="G1044" s="21" t="n">
        <f aca="false">IF(E1044,D1044^2,0)</f>
        <v>0</v>
      </c>
      <c r="H1044" s="3"/>
    </row>
    <row r="1045" customFormat="false" ht="15" hidden="false" customHeight="true" outlineLevel="0" collapsed="false">
      <c r="A1045" s="16"/>
      <c r="B1045" s="16"/>
      <c r="C1045" s="15"/>
      <c r="D1045" s="19"/>
      <c r="E1045" s="20" t="b">
        <f aca="false">AND(A1045&lt;&gt;"",C1045&lt;&gt;"",D1045&lt;&gt;"",C1045&gt;='Read Me'!$B$5)</f>
        <v>0</v>
      </c>
      <c r="F1045" s="23" t="str">
        <f aca="false">IF(E1045,D1045,"")</f>
        <v/>
      </c>
      <c r="G1045" s="21" t="n">
        <f aca="false">IF(E1045,D1045^2,0)</f>
        <v>0</v>
      </c>
      <c r="H1045" s="3"/>
    </row>
    <row r="1046" customFormat="false" ht="15" hidden="false" customHeight="true" outlineLevel="0" collapsed="false">
      <c r="A1046" s="16"/>
      <c r="B1046" s="16"/>
      <c r="C1046" s="15"/>
      <c r="D1046" s="19"/>
      <c r="E1046" s="20" t="b">
        <f aca="false">AND(A1046&lt;&gt;"",C1046&lt;&gt;"",D1046&lt;&gt;"",C1046&gt;='Read Me'!$B$5)</f>
        <v>0</v>
      </c>
      <c r="F1046" s="23" t="str">
        <f aca="false">IF(E1046,D1046,"")</f>
        <v/>
      </c>
      <c r="G1046" s="21" t="n">
        <f aca="false">IF(E1046,D1046^2,0)</f>
        <v>0</v>
      </c>
      <c r="H1046" s="3"/>
    </row>
    <row r="1047" customFormat="false" ht="15" hidden="false" customHeight="true" outlineLevel="0" collapsed="false">
      <c r="A1047" s="16"/>
      <c r="B1047" s="16"/>
      <c r="C1047" s="15"/>
      <c r="D1047" s="19"/>
      <c r="E1047" s="20" t="b">
        <f aca="false">AND(A1047&lt;&gt;"",C1047&lt;&gt;"",D1047&lt;&gt;"",C1047&gt;='Read Me'!$B$5)</f>
        <v>0</v>
      </c>
      <c r="F1047" s="23" t="str">
        <f aca="false">IF(E1047,D1047,"")</f>
        <v/>
      </c>
      <c r="G1047" s="21" t="n">
        <f aca="false">IF(E1047,D1047^2,0)</f>
        <v>0</v>
      </c>
      <c r="H1047" s="3"/>
    </row>
    <row r="1048" customFormat="false" ht="15" hidden="false" customHeight="true" outlineLevel="0" collapsed="false">
      <c r="A1048" s="16"/>
      <c r="B1048" s="16"/>
      <c r="C1048" s="15"/>
      <c r="D1048" s="19"/>
      <c r="E1048" s="20" t="b">
        <f aca="false">AND(A1048&lt;&gt;"",C1048&lt;&gt;"",D1048&lt;&gt;"",C1048&gt;='Read Me'!$B$5)</f>
        <v>0</v>
      </c>
      <c r="F1048" s="23" t="str">
        <f aca="false">IF(E1048,D1048,"")</f>
        <v/>
      </c>
      <c r="G1048" s="21" t="n">
        <f aca="false">IF(E1048,D1048^2,0)</f>
        <v>0</v>
      </c>
      <c r="H1048" s="3"/>
    </row>
    <row r="1049" customFormat="false" ht="15" hidden="false" customHeight="true" outlineLevel="0" collapsed="false">
      <c r="A1049" s="16"/>
      <c r="B1049" s="16"/>
      <c r="C1049" s="15"/>
      <c r="D1049" s="19"/>
      <c r="E1049" s="20" t="b">
        <f aca="false">AND(A1049&lt;&gt;"",C1049&lt;&gt;"",D1049&lt;&gt;"",C1049&gt;='Read Me'!$B$5)</f>
        <v>0</v>
      </c>
      <c r="F1049" s="23" t="str">
        <f aca="false">IF(E1049,D1049,"")</f>
        <v/>
      </c>
      <c r="G1049" s="21" t="n">
        <f aca="false">IF(E1049,D1049^2,0)</f>
        <v>0</v>
      </c>
      <c r="H1049" s="3"/>
    </row>
    <row r="1050" customFormat="false" ht="15" hidden="false" customHeight="true" outlineLevel="0" collapsed="false">
      <c r="A1050" s="16"/>
      <c r="B1050" s="16"/>
      <c r="C1050" s="15"/>
      <c r="D1050" s="19"/>
      <c r="E1050" s="20" t="b">
        <f aca="false">AND(A1050&lt;&gt;"",C1050&lt;&gt;"",D1050&lt;&gt;"",C1050&gt;='Read Me'!$B$5)</f>
        <v>0</v>
      </c>
      <c r="F1050" s="23" t="str">
        <f aca="false">IF(E1050,D1050,"")</f>
        <v/>
      </c>
      <c r="G1050" s="21" t="n">
        <f aca="false">IF(E1050,D1050^2,0)</f>
        <v>0</v>
      </c>
      <c r="H1050" s="3"/>
    </row>
    <row r="1051" customFormat="false" ht="15" hidden="false" customHeight="true" outlineLevel="0" collapsed="false">
      <c r="A1051" s="16"/>
      <c r="B1051" s="16"/>
      <c r="C1051" s="15"/>
      <c r="D1051" s="19"/>
      <c r="E1051" s="20" t="b">
        <f aca="false">AND(A1051&lt;&gt;"",C1051&lt;&gt;"",D1051&lt;&gt;"",C1051&gt;='Read Me'!$B$5)</f>
        <v>0</v>
      </c>
      <c r="F1051" s="23" t="str">
        <f aca="false">IF(E1051,D1051,"")</f>
        <v/>
      </c>
      <c r="G1051" s="21" t="n">
        <f aca="false">IF(E1051,D1051^2,0)</f>
        <v>0</v>
      </c>
      <c r="H1051" s="3"/>
    </row>
    <row r="1052" customFormat="false" ht="15" hidden="false" customHeight="true" outlineLevel="0" collapsed="false">
      <c r="A1052" s="16"/>
      <c r="B1052" s="16"/>
      <c r="C1052" s="15"/>
      <c r="D1052" s="19"/>
      <c r="E1052" s="20" t="b">
        <f aca="false">AND(A1052&lt;&gt;"",C1052&lt;&gt;"",D1052&lt;&gt;"",C1052&gt;='Read Me'!$B$5)</f>
        <v>0</v>
      </c>
      <c r="F1052" s="23" t="str">
        <f aca="false">IF(E1052,D1052,"")</f>
        <v/>
      </c>
      <c r="G1052" s="21" t="n">
        <f aca="false">IF(E1052,D1052^2,0)</f>
        <v>0</v>
      </c>
      <c r="H1052" s="3"/>
    </row>
    <row r="1053" customFormat="false" ht="15" hidden="false" customHeight="true" outlineLevel="0" collapsed="false">
      <c r="A1053" s="16"/>
      <c r="B1053" s="16"/>
      <c r="C1053" s="15"/>
      <c r="D1053" s="19"/>
      <c r="E1053" s="20" t="b">
        <f aca="false">AND(A1053&lt;&gt;"",C1053&lt;&gt;"",D1053&lt;&gt;"",C1053&gt;='Read Me'!$B$5)</f>
        <v>0</v>
      </c>
      <c r="F1053" s="23" t="str">
        <f aca="false">IF(E1053,D1053,"")</f>
        <v/>
      </c>
      <c r="G1053" s="21" t="n">
        <f aca="false">IF(E1053,D1053^2,0)</f>
        <v>0</v>
      </c>
      <c r="H1053" s="3"/>
    </row>
    <row r="1054" customFormat="false" ht="15" hidden="false" customHeight="true" outlineLevel="0" collapsed="false">
      <c r="A1054" s="16"/>
      <c r="B1054" s="16"/>
      <c r="C1054" s="15"/>
      <c r="D1054" s="19"/>
      <c r="E1054" s="20" t="b">
        <f aca="false">AND(A1054&lt;&gt;"",C1054&lt;&gt;"",D1054&lt;&gt;"",C1054&gt;='Read Me'!$B$5)</f>
        <v>0</v>
      </c>
      <c r="F1054" s="23" t="str">
        <f aca="false">IF(E1054,D1054,"")</f>
        <v/>
      </c>
      <c r="G1054" s="21" t="n">
        <f aca="false">IF(E1054,D1054^2,0)</f>
        <v>0</v>
      </c>
      <c r="H1054" s="3"/>
    </row>
    <row r="1055" customFormat="false" ht="15" hidden="false" customHeight="true" outlineLevel="0" collapsed="false">
      <c r="A1055" s="16"/>
      <c r="B1055" s="16"/>
      <c r="C1055" s="15"/>
      <c r="D1055" s="19"/>
      <c r="E1055" s="20" t="b">
        <f aca="false">AND(A1055&lt;&gt;"",C1055&lt;&gt;"",D1055&lt;&gt;"",C1055&gt;='Read Me'!$B$5)</f>
        <v>0</v>
      </c>
      <c r="F1055" s="23" t="str">
        <f aca="false">IF(E1055,D1055,"")</f>
        <v/>
      </c>
      <c r="G1055" s="21" t="n">
        <f aca="false">IF(E1055,D1055^2,0)</f>
        <v>0</v>
      </c>
      <c r="H1055" s="3"/>
    </row>
    <row r="1056" customFormat="false" ht="15" hidden="false" customHeight="true" outlineLevel="0" collapsed="false">
      <c r="A1056" s="16"/>
      <c r="B1056" s="16"/>
      <c r="C1056" s="15"/>
      <c r="D1056" s="19"/>
      <c r="E1056" s="20" t="b">
        <f aca="false">AND(A1056&lt;&gt;"",C1056&lt;&gt;"",D1056&lt;&gt;"",C1056&gt;='Read Me'!$B$5)</f>
        <v>0</v>
      </c>
      <c r="F1056" s="23" t="str">
        <f aca="false">IF(E1056,D1056,"")</f>
        <v/>
      </c>
      <c r="G1056" s="21" t="n">
        <f aca="false">IF(E1056,D1056^2,0)</f>
        <v>0</v>
      </c>
      <c r="H1056" s="3"/>
    </row>
    <row r="1057" customFormat="false" ht="15" hidden="false" customHeight="true" outlineLevel="0" collapsed="false">
      <c r="A1057" s="16"/>
      <c r="B1057" s="16"/>
      <c r="C1057" s="15"/>
      <c r="D1057" s="19"/>
      <c r="E1057" s="20" t="b">
        <f aca="false">AND(A1057&lt;&gt;"",C1057&lt;&gt;"",D1057&lt;&gt;"",C1057&gt;='Read Me'!$B$5)</f>
        <v>0</v>
      </c>
      <c r="F1057" s="23" t="str">
        <f aca="false">IF(E1057,D1057,"")</f>
        <v/>
      </c>
      <c r="G1057" s="21" t="n">
        <f aca="false">IF(E1057,D1057^2,0)</f>
        <v>0</v>
      </c>
      <c r="H1057" s="3"/>
    </row>
    <row r="1058" customFormat="false" ht="15" hidden="false" customHeight="true" outlineLevel="0" collapsed="false">
      <c r="A1058" s="16"/>
      <c r="B1058" s="16"/>
      <c r="C1058" s="15"/>
      <c r="D1058" s="19"/>
      <c r="E1058" s="20" t="b">
        <f aca="false">AND(A1058&lt;&gt;"",C1058&lt;&gt;"",D1058&lt;&gt;"",C1058&gt;='Read Me'!$B$5)</f>
        <v>0</v>
      </c>
      <c r="F1058" s="23" t="str">
        <f aca="false">IF(E1058,D1058,"")</f>
        <v/>
      </c>
      <c r="G1058" s="21" t="n">
        <f aca="false">IF(E1058,D1058^2,0)</f>
        <v>0</v>
      </c>
      <c r="H1058" s="3"/>
    </row>
    <row r="1059" customFormat="false" ht="15" hidden="false" customHeight="true" outlineLevel="0" collapsed="false">
      <c r="A1059" s="16"/>
      <c r="B1059" s="16"/>
      <c r="C1059" s="15"/>
      <c r="D1059" s="19"/>
      <c r="E1059" s="20" t="b">
        <f aca="false">AND(A1059&lt;&gt;"",C1059&lt;&gt;"",D1059&lt;&gt;"",C1059&gt;='Read Me'!$B$5)</f>
        <v>0</v>
      </c>
      <c r="F1059" s="23" t="str">
        <f aca="false">IF(E1059,D1059,"")</f>
        <v/>
      </c>
      <c r="G1059" s="21" t="n">
        <f aca="false">IF(E1059,D1059^2,0)</f>
        <v>0</v>
      </c>
      <c r="H1059" s="3"/>
    </row>
    <row r="1060" customFormat="false" ht="15" hidden="false" customHeight="true" outlineLevel="0" collapsed="false">
      <c r="A1060" s="16"/>
      <c r="B1060" s="16"/>
      <c r="C1060" s="15"/>
      <c r="D1060" s="19"/>
      <c r="E1060" s="20" t="b">
        <f aca="false">AND(A1060&lt;&gt;"",C1060&lt;&gt;"",D1060&lt;&gt;"",C1060&gt;='Read Me'!$B$5)</f>
        <v>0</v>
      </c>
      <c r="F1060" s="23" t="str">
        <f aca="false">IF(E1060,D1060,"")</f>
        <v/>
      </c>
      <c r="G1060" s="21" t="n">
        <f aca="false">IF(E1060,D1060^2,0)</f>
        <v>0</v>
      </c>
      <c r="H1060" s="3"/>
    </row>
    <row r="1061" customFormat="false" ht="15" hidden="false" customHeight="true" outlineLevel="0" collapsed="false">
      <c r="A1061" s="16"/>
      <c r="B1061" s="16"/>
      <c r="C1061" s="15"/>
      <c r="D1061" s="19"/>
      <c r="E1061" s="20" t="b">
        <f aca="false">AND(A1061&lt;&gt;"",C1061&lt;&gt;"",D1061&lt;&gt;"",C1061&gt;='Read Me'!$B$5)</f>
        <v>0</v>
      </c>
      <c r="F1061" s="23" t="str">
        <f aca="false">IF(E1061,D1061,"")</f>
        <v/>
      </c>
      <c r="G1061" s="21" t="n">
        <f aca="false">IF(E1061,D1061^2,0)</f>
        <v>0</v>
      </c>
      <c r="H1061" s="3"/>
    </row>
    <row r="1062" customFormat="false" ht="15" hidden="false" customHeight="true" outlineLevel="0" collapsed="false">
      <c r="A1062" s="16"/>
      <c r="B1062" s="16"/>
      <c r="C1062" s="15"/>
      <c r="D1062" s="19"/>
      <c r="E1062" s="20" t="b">
        <f aca="false">AND(A1062&lt;&gt;"",C1062&lt;&gt;"",D1062&lt;&gt;"",C1062&gt;='Read Me'!$B$5)</f>
        <v>0</v>
      </c>
      <c r="F1062" s="23" t="str">
        <f aca="false">IF(E1062,D1062,"")</f>
        <v/>
      </c>
      <c r="G1062" s="21" t="n">
        <f aca="false">IF(E1062,D1062^2,0)</f>
        <v>0</v>
      </c>
      <c r="H1062" s="3"/>
    </row>
    <row r="1063" customFormat="false" ht="15" hidden="false" customHeight="true" outlineLevel="0" collapsed="false">
      <c r="A1063" s="16"/>
      <c r="B1063" s="16"/>
      <c r="C1063" s="15"/>
      <c r="D1063" s="19"/>
      <c r="E1063" s="20" t="b">
        <f aca="false">AND(A1063&lt;&gt;"",C1063&lt;&gt;"",D1063&lt;&gt;"",C1063&gt;='Read Me'!$B$5)</f>
        <v>0</v>
      </c>
      <c r="F1063" s="23" t="str">
        <f aca="false">IF(E1063,D1063,"")</f>
        <v/>
      </c>
      <c r="G1063" s="21" t="n">
        <f aca="false">IF(E1063,D1063^2,0)</f>
        <v>0</v>
      </c>
      <c r="H1063" s="3"/>
    </row>
    <row r="1064" customFormat="false" ht="15" hidden="false" customHeight="true" outlineLevel="0" collapsed="false">
      <c r="A1064" s="16"/>
      <c r="B1064" s="16"/>
      <c r="C1064" s="15"/>
      <c r="D1064" s="19"/>
      <c r="E1064" s="20" t="b">
        <f aca="false">AND(A1064&lt;&gt;"",C1064&lt;&gt;"",D1064&lt;&gt;"",C1064&gt;='Read Me'!$B$5)</f>
        <v>0</v>
      </c>
      <c r="F1064" s="23" t="str">
        <f aca="false">IF(E1064,D1064,"")</f>
        <v/>
      </c>
      <c r="G1064" s="21" t="n">
        <f aca="false">IF(E1064,D1064^2,0)</f>
        <v>0</v>
      </c>
      <c r="H1064" s="3"/>
    </row>
    <row r="1065" customFormat="false" ht="15" hidden="false" customHeight="true" outlineLevel="0" collapsed="false">
      <c r="A1065" s="16"/>
      <c r="B1065" s="16"/>
      <c r="C1065" s="15"/>
      <c r="D1065" s="19"/>
      <c r="E1065" s="20" t="b">
        <f aca="false">AND(A1065&lt;&gt;"",C1065&lt;&gt;"",D1065&lt;&gt;"",C1065&gt;='Read Me'!$B$5)</f>
        <v>0</v>
      </c>
      <c r="F1065" s="23" t="str">
        <f aca="false">IF(E1065,D1065,"")</f>
        <v/>
      </c>
      <c r="G1065" s="21" t="n">
        <f aca="false">IF(E1065,D1065^2,0)</f>
        <v>0</v>
      </c>
      <c r="H1065" s="3"/>
    </row>
    <row r="1066" customFormat="false" ht="15" hidden="false" customHeight="true" outlineLevel="0" collapsed="false">
      <c r="A1066" s="16"/>
      <c r="B1066" s="16"/>
      <c r="C1066" s="15"/>
      <c r="D1066" s="19"/>
      <c r="E1066" s="20" t="b">
        <f aca="false">AND(A1066&lt;&gt;"",C1066&lt;&gt;"",D1066&lt;&gt;"",C1066&gt;='Read Me'!$B$5)</f>
        <v>0</v>
      </c>
      <c r="F1066" s="23" t="str">
        <f aca="false">IF(E1066,D1066,"")</f>
        <v/>
      </c>
      <c r="G1066" s="21" t="n">
        <f aca="false">IF(E1066,D1066^2,0)</f>
        <v>0</v>
      </c>
      <c r="H1066" s="3"/>
    </row>
    <row r="1067" customFormat="false" ht="15" hidden="false" customHeight="true" outlineLevel="0" collapsed="false">
      <c r="A1067" s="16"/>
      <c r="B1067" s="16"/>
      <c r="C1067" s="15"/>
      <c r="D1067" s="19"/>
      <c r="E1067" s="20" t="b">
        <f aca="false">AND(A1067&lt;&gt;"",C1067&lt;&gt;"",D1067&lt;&gt;"",C1067&gt;='Read Me'!$B$5)</f>
        <v>0</v>
      </c>
      <c r="F1067" s="23" t="str">
        <f aca="false">IF(E1067,D1067,"")</f>
        <v/>
      </c>
      <c r="G1067" s="21" t="n">
        <f aca="false">IF(E1067,D1067^2,0)</f>
        <v>0</v>
      </c>
      <c r="H1067" s="3"/>
    </row>
    <row r="1068" customFormat="false" ht="15" hidden="false" customHeight="true" outlineLevel="0" collapsed="false">
      <c r="A1068" s="16"/>
      <c r="B1068" s="16"/>
      <c r="C1068" s="15"/>
      <c r="D1068" s="19"/>
      <c r="E1068" s="20" t="b">
        <f aca="false">AND(A1068&lt;&gt;"",C1068&lt;&gt;"",D1068&lt;&gt;"",C1068&gt;='Read Me'!$B$5)</f>
        <v>0</v>
      </c>
      <c r="F1068" s="23" t="str">
        <f aca="false">IF(E1068,D1068,"")</f>
        <v/>
      </c>
      <c r="G1068" s="21" t="n">
        <f aca="false">IF(E1068,D1068^2,0)</f>
        <v>0</v>
      </c>
      <c r="H1068" s="3"/>
    </row>
    <row r="1069" customFormat="false" ht="15" hidden="false" customHeight="true" outlineLevel="0" collapsed="false">
      <c r="A1069" s="16"/>
      <c r="B1069" s="16"/>
      <c r="C1069" s="15"/>
      <c r="D1069" s="19"/>
      <c r="E1069" s="20" t="b">
        <f aca="false">AND(A1069&lt;&gt;"",C1069&lt;&gt;"",D1069&lt;&gt;"",C1069&gt;='Read Me'!$B$5)</f>
        <v>0</v>
      </c>
      <c r="F1069" s="23" t="str">
        <f aca="false">IF(E1069,D1069,"")</f>
        <v/>
      </c>
      <c r="G1069" s="21" t="n">
        <f aca="false">IF(E1069,D1069^2,0)</f>
        <v>0</v>
      </c>
      <c r="H1069" s="3"/>
    </row>
    <row r="1070" customFormat="false" ht="15" hidden="false" customHeight="true" outlineLevel="0" collapsed="false">
      <c r="A1070" s="16"/>
      <c r="B1070" s="16"/>
      <c r="C1070" s="15"/>
      <c r="D1070" s="19"/>
      <c r="E1070" s="20" t="b">
        <f aca="false">AND(A1070&lt;&gt;"",C1070&lt;&gt;"",D1070&lt;&gt;"",C1070&gt;='Read Me'!$B$5)</f>
        <v>0</v>
      </c>
      <c r="F1070" s="23" t="str">
        <f aca="false">IF(E1070,D1070,"")</f>
        <v/>
      </c>
      <c r="G1070" s="21" t="n">
        <f aca="false">IF(E1070,D1070^2,0)</f>
        <v>0</v>
      </c>
      <c r="H1070" s="3"/>
    </row>
    <row r="1071" customFormat="false" ht="15" hidden="false" customHeight="true" outlineLevel="0" collapsed="false">
      <c r="A1071" s="16"/>
      <c r="B1071" s="16"/>
      <c r="C1071" s="15"/>
      <c r="D1071" s="19"/>
      <c r="E1071" s="20" t="b">
        <f aca="false">AND(A1071&lt;&gt;"",C1071&lt;&gt;"",D1071&lt;&gt;"",C1071&gt;='Read Me'!$B$5)</f>
        <v>0</v>
      </c>
      <c r="F1071" s="23" t="str">
        <f aca="false">IF(E1071,D1071,"")</f>
        <v/>
      </c>
      <c r="G1071" s="21" t="n">
        <f aca="false">IF(E1071,D1071^2,0)</f>
        <v>0</v>
      </c>
      <c r="H1071" s="3"/>
    </row>
    <row r="1072" customFormat="false" ht="15" hidden="false" customHeight="true" outlineLevel="0" collapsed="false">
      <c r="A1072" s="16"/>
      <c r="B1072" s="16"/>
      <c r="C1072" s="15"/>
      <c r="D1072" s="19"/>
      <c r="E1072" s="20" t="b">
        <f aca="false">AND(A1072&lt;&gt;"",C1072&lt;&gt;"",D1072&lt;&gt;"",C1072&gt;='Read Me'!$B$5)</f>
        <v>0</v>
      </c>
      <c r="F1072" s="23" t="str">
        <f aca="false">IF(E1072,D1072,"")</f>
        <v/>
      </c>
      <c r="G1072" s="21" t="n">
        <f aca="false">IF(E1072,D1072^2,0)</f>
        <v>0</v>
      </c>
      <c r="H1072" s="3"/>
    </row>
    <row r="1073" customFormat="false" ht="15" hidden="false" customHeight="true" outlineLevel="0" collapsed="false">
      <c r="A1073" s="16"/>
      <c r="B1073" s="16"/>
      <c r="C1073" s="15"/>
      <c r="D1073" s="19"/>
      <c r="E1073" s="20" t="b">
        <f aca="false">AND(A1073&lt;&gt;"",C1073&lt;&gt;"",D1073&lt;&gt;"",C1073&gt;='Read Me'!$B$5)</f>
        <v>0</v>
      </c>
      <c r="F1073" s="23" t="str">
        <f aca="false">IF(E1073,D1073,"")</f>
        <v/>
      </c>
      <c r="G1073" s="21" t="n">
        <f aca="false">IF(E1073,D1073^2,0)</f>
        <v>0</v>
      </c>
      <c r="H1073" s="3"/>
    </row>
    <row r="1074" customFormat="false" ht="15" hidden="false" customHeight="true" outlineLevel="0" collapsed="false">
      <c r="A1074" s="16"/>
      <c r="B1074" s="16"/>
      <c r="C1074" s="15"/>
      <c r="D1074" s="19"/>
      <c r="E1074" s="20" t="b">
        <f aca="false">AND(A1074&lt;&gt;"",C1074&lt;&gt;"",D1074&lt;&gt;"",C1074&gt;='Read Me'!$B$5)</f>
        <v>0</v>
      </c>
      <c r="F1074" s="23" t="str">
        <f aca="false">IF(E1074,D1074,"")</f>
        <v/>
      </c>
      <c r="G1074" s="21" t="n">
        <f aca="false">IF(E1074,D1074^2,0)</f>
        <v>0</v>
      </c>
      <c r="H1074" s="3"/>
    </row>
    <row r="1075" customFormat="false" ht="15" hidden="false" customHeight="true" outlineLevel="0" collapsed="false">
      <c r="A1075" s="16"/>
      <c r="B1075" s="16"/>
      <c r="C1075" s="15"/>
      <c r="D1075" s="19"/>
      <c r="E1075" s="20" t="b">
        <f aca="false">AND(A1075&lt;&gt;"",C1075&lt;&gt;"",D1075&lt;&gt;"",C1075&gt;='Read Me'!$B$5)</f>
        <v>0</v>
      </c>
      <c r="F1075" s="23" t="str">
        <f aca="false">IF(E1075,D1075,"")</f>
        <v/>
      </c>
      <c r="G1075" s="21" t="n">
        <f aca="false">IF(E1075,D1075^2,0)</f>
        <v>0</v>
      </c>
      <c r="H1075" s="3"/>
    </row>
    <row r="1076" customFormat="false" ht="15" hidden="false" customHeight="true" outlineLevel="0" collapsed="false">
      <c r="A1076" s="16"/>
      <c r="B1076" s="16"/>
      <c r="C1076" s="15"/>
      <c r="D1076" s="19"/>
      <c r="E1076" s="20" t="b">
        <f aca="false">AND(A1076&lt;&gt;"",C1076&lt;&gt;"",D1076&lt;&gt;"",C1076&gt;='Read Me'!$B$5)</f>
        <v>0</v>
      </c>
      <c r="F1076" s="23" t="str">
        <f aca="false">IF(E1076,D1076,"")</f>
        <v/>
      </c>
      <c r="G1076" s="21" t="n">
        <f aca="false">IF(E1076,D1076^2,0)</f>
        <v>0</v>
      </c>
      <c r="H1076" s="3"/>
    </row>
    <row r="1077" customFormat="false" ht="15" hidden="false" customHeight="true" outlineLevel="0" collapsed="false">
      <c r="A1077" s="16"/>
      <c r="B1077" s="16"/>
      <c r="C1077" s="15"/>
      <c r="D1077" s="19"/>
      <c r="E1077" s="20" t="b">
        <f aca="false">AND(A1077&lt;&gt;"",C1077&lt;&gt;"",D1077&lt;&gt;"",C1077&gt;='Read Me'!$B$5)</f>
        <v>0</v>
      </c>
      <c r="F1077" s="23" t="str">
        <f aca="false">IF(E1077,D1077,"")</f>
        <v/>
      </c>
      <c r="G1077" s="21" t="n">
        <f aca="false">IF(E1077,D1077^2,0)</f>
        <v>0</v>
      </c>
      <c r="H1077" s="3"/>
    </row>
    <row r="1078" customFormat="false" ht="15" hidden="false" customHeight="true" outlineLevel="0" collapsed="false">
      <c r="A1078" s="16"/>
      <c r="B1078" s="16"/>
      <c r="C1078" s="15"/>
      <c r="D1078" s="19"/>
      <c r="E1078" s="20" t="b">
        <f aca="false">AND(A1078&lt;&gt;"",C1078&lt;&gt;"",D1078&lt;&gt;"",C1078&gt;='Read Me'!$B$5)</f>
        <v>0</v>
      </c>
      <c r="F1078" s="23" t="str">
        <f aca="false">IF(E1078,D1078,"")</f>
        <v/>
      </c>
      <c r="G1078" s="21" t="n">
        <f aca="false">IF(E1078,D1078^2,0)</f>
        <v>0</v>
      </c>
      <c r="H1078" s="3"/>
    </row>
    <row r="1079" customFormat="false" ht="15" hidden="false" customHeight="true" outlineLevel="0" collapsed="false">
      <c r="A1079" s="16"/>
      <c r="B1079" s="16"/>
      <c r="C1079" s="15"/>
      <c r="D1079" s="19"/>
      <c r="E1079" s="20" t="b">
        <f aca="false">AND(A1079&lt;&gt;"",C1079&lt;&gt;"",D1079&lt;&gt;"",C1079&gt;='Read Me'!$B$5)</f>
        <v>0</v>
      </c>
      <c r="F1079" s="23" t="str">
        <f aca="false">IF(E1079,D1079,"")</f>
        <v/>
      </c>
      <c r="G1079" s="21" t="n">
        <f aca="false">IF(E1079,D1079^2,0)</f>
        <v>0</v>
      </c>
      <c r="H1079" s="3"/>
    </row>
    <row r="1080" customFormat="false" ht="15" hidden="false" customHeight="true" outlineLevel="0" collapsed="false">
      <c r="A1080" s="16"/>
      <c r="B1080" s="16"/>
      <c r="C1080" s="15"/>
      <c r="D1080" s="19"/>
      <c r="E1080" s="20" t="b">
        <f aca="false">AND(A1080&lt;&gt;"",C1080&lt;&gt;"",D1080&lt;&gt;"",C1080&gt;='Read Me'!$B$5)</f>
        <v>0</v>
      </c>
      <c r="F1080" s="23" t="str">
        <f aca="false">IF(E1080,D1080,"")</f>
        <v/>
      </c>
      <c r="G1080" s="21" t="n">
        <f aca="false">IF(E1080,D1080^2,0)</f>
        <v>0</v>
      </c>
      <c r="H1080" s="3"/>
    </row>
    <row r="1081" customFormat="false" ht="15" hidden="false" customHeight="true" outlineLevel="0" collapsed="false">
      <c r="A1081" s="16"/>
      <c r="B1081" s="16"/>
      <c r="C1081" s="15"/>
      <c r="D1081" s="19"/>
      <c r="E1081" s="20" t="b">
        <f aca="false">AND(A1081&lt;&gt;"",C1081&lt;&gt;"",D1081&lt;&gt;"",C1081&gt;='Read Me'!$B$5)</f>
        <v>0</v>
      </c>
      <c r="F1081" s="23" t="str">
        <f aca="false">IF(E1081,D1081,"")</f>
        <v/>
      </c>
      <c r="G1081" s="21" t="n">
        <f aca="false">IF(E1081,D1081^2,0)</f>
        <v>0</v>
      </c>
      <c r="H1081" s="3"/>
    </row>
    <row r="1082" customFormat="false" ht="15" hidden="false" customHeight="true" outlineLevel="0" collapsed="false">
      <c r="A1082" s="16"/>
      <c r="B1082" s="16"/>
      <c r="C1082" s="15"/>
      <c r="D1082" s="19"/>
      <c r="E1082" s="20" t="b">
        <f aca="false">AND(A1082&lt;&gt;"",C1082&lt;&gt;"",D1082&lt;&gt;"",C1082&gt;='Read Me'!$B$5)</f>
        <v>0</v>
      </c>
      <c r="F1082" s="23" t="str">
        <f aca="false">IF(E1082,D1082,"")</f>
        <v/>
      </c>
      <c r="G1082" s="21" t="n">
        <f aca="false">IF(E1082,D1082^2,0)</f>
        <v>0</v>
      </c>
      <c r="H1082" s="3"/>
    </row>
    <row r="1083" customFormat="false" ht="15" hidden="false" customHeight="true" outlineLevel="0" collapsed="false">
      <c r="A1083" s="16"/>
      <c r="B1083" s="16"/>
      <c r="C1083" s="15"/>
      <c r="D1083" s="19"/>
      <c r="E1083" s="20" t="b">
        <f aca="false">AND(A1083&lt;&gt;"",C1083&lt;&gt;"",D1083&lt;&gt;"",C1083&gt;='Read Me'!$B$5)</f>
        <v>0</v>
      </c>
      <c r="F1083" s="23" t="str">
        <f aca="false">IF(E1083,D1083,"")</f>
        <v/>
      </c>
      <c r="G1083" s="21" t="n">
        <f aca="false">IF(E1083,D1083^2,0)</f>
        <v>0</v>
      </c>
      <c r="H1083" s="3"/>
    </row>
    <row r="1084" customFormat="false" ht="15" hidden="false" customHeight="true" outlineLevel="0" collapsed="false">
      <c r="A1084" s="16"/>
      <c r="B1084" s="16"/>
      <c r="C1084" s="15"/>
      <c r="D1084" s="19"/>
      <c r="E1084" s="20" t="b">
        <f aca="false">AND(A1084&lt;&gt;"",C1084&lt;&gt;"",D1084&lt;&gt;"",C1084&gt;='Read Me'!$B$5)</f>
        <v>0</v>
      </c>
      <c r="F1084" s="23" t="str">
        <f aca="false">IF(E1084,D1084,"")</f>
        <v/>
      </c>
      <c r="G1084" s="21" t="n">
        <f aca="false">IF(E1084,D1084^2,0)</f>
        <v>0</v>
      </c>
      <c r="H1084" s="3"/>
    </row>
    <row r="1085" customFormat="false" ht="15" hidden="false" customHeight="true" outlineLevel="0" collapsed="false">
      <c r="A1085" s="16"/>
      <c r="B1085" s="16"/>
      <c r="C1085" s="15"/>
      <c r="D1085" s="19"/>
      <c r="E1085" s="20" t="b">
        <f aca="false">AND(A1085&lt;&gt;"",C1085&lt;&gt;"",D1085&lt;&gt;"",C1085&gt;='Read Me'!$B$5)</f>
        <v>0</v>
      </c>
      <c r="F1085" s="23" t="str">
        <f aca="false">IF(E1085,D1085,"")</f>
        <v/>
      </c>
      <c r="G1085" s="21" t="n">
        <f aca="false">IF(E1085,D1085^2,0)</f>
        <v>0</v>
      </c>
      <c r="H1085" s="3"/>
    </row>
    <row r="1086" customFormat="false" ht="15" hidden="false" customHeight="true" outlineLevel="0" collapsed="false">
      <c r="A1086" s="16"/>
      <c r="B1086" s="16"/>
      <c r="C1086" s="15"/>
      <c r="D1086" s="19"/>
      <c r="E1086" s="20" t="b">
        <f aca="false">AND(A1086&lt;&gt;"",C1086&lt;&gt;"",D1086&lt;&gt;"",C1086&gt;='Read Me'!$B$5)</f>
        <v>0</v>
      </c>
      <c r="F1086" s="23" t="str">
        <f aca="false">IF(E1086,D1086,"")</f>
        <v/>
      </c>
      <c r="G1086" s="21" t="n">
        <f aca="false">IF(E1086,D1086^2,0)</f>
        <v>0</v>
      </c>
      <c r="H1086" s="3"/>
    </row>
    <row r="1087" customFormat="false" ht="15" hidden="false" customHeight="true" outlineLevel="0" collapsed="false">
      <c r="A1087" s="16"/>
      <c r="B1087" s="16"/>
      <c r="C1087" s="15"/>
      <c r="D1087" s="19"/>
      <c r="E1087" s="20" t="b">
        <f aca="false">AND(A1087&lt;&gt;"",C1087&lt;&gt;"",D1087&lt;&gt;"",C1087&gt;='Read Me'!$B$5)</f>
        <v>0</v>
      </c>
      <c r="F1087" s="23" t="str">
        <f aca="false">IF(E1087,D1087,"")</f>
        <v/>
      </c>
      <c r="G1087" s="21" t="n">
        <f aca="false">IF(E1087,D1087^2,0)</f>
        <v>0</v>
      </c>
      <c r="H1087" s="3"/>
    </row>
    <row r="1088" customFormat="false" ht="15" hidden="false" customHeight="true" outlineLevel="0" collapsed="false">
      <c r="A1088" s="16"/>
      <c r="B1088" s="16"/>
      <c r="C1088" s="15"/>
      <c r="D1088" s="19"/>
      <c r="E1088" s="20" t="b">
        <f aca="false">AND(A1088&lt;&gt;"",C1088&lt;&gt;"",D1088&lt;&gt;"",C1088&gt;='Read Me'!$B$5)</f>
        <v>0</v>
      </c>
      <c r="F1088" s="23" t="str">
        <f aca="false">IF(E1088,D1088,"")</f>
        <v/>
      </c>
      <c r="G1088" s="21" t="n">
        <f aca="false">IF(E1088,D1088^2,0)</f>
        <v>0</v>
      </c>
      <c r="H1088" s="3"/>
    </row>
    <row r="1089" customFormat="false" ht="15" hidden="false" customHeight="true" outlineLevel="0" collapsed="false">
      <c r="A1089" s="16"/>
      <c r="B1089" s="16"/>
      <c r="C1089" s="15"/>
      <c r="D1089" s="19"/>
      <c r="E1089" s="20" t="b">
        <f aca="false">AND(A1089&lt;&gt;"",C1089&lt;&gt;"",D1089&lt;&gt;"",C1089&gt;='Read Me'!$B$5)</f>
        <v>0</v>
      </c>
      <c r="F1089" s="23" t="str">
        <f aca="false">IF(E1089,D1089,"")</f>
        <v/>
      </c>
      <c r="G1089" s="21" t="n">
        <f aca="false">IF(E1089,D1089^2,0)</f>
        <v>0</v>
      </c>
      <c r="H1089" s="3"/>
    </row>
    <row r="1090" customFormat="false" ht="15" hidden="false" customHeight="true" outlineLevel="0" collapsed="false">
      <c r="A1090" s="16"/>
      <c r="B1090" s="16"/>
      <c r="C1090" s="15"/>
      <c r="D1090" s="19"/>
      <c r="E1090" s="20" t="b">
        <f aca="false">AND(A1090&lt;&gt;"",C1090&lt;&gt;"",D1090&lt;&gt;"",C1090&gt;='Read Me'!$B$5)</f>
        <v>0</v>
      </c>
      <c r="F1090" s="23" t="str">
        <f aca="false">IF(E1090,D1090,"")</f>
        <v/>
      </c>
      <c r="G1090" s="21" t="n">
        <f aca="false">IF(E1090,D1090^2,0)</f>
        <v>0</v>
      </c>
      <c r="H1090" s="3"/>
    </row>
    <row r="1091" customFormat="false" ht="15" hidden="false" customHeight="true" outlineLevel="0" collapsed="false">
      <c r="A1091" s="16"/>
      <c r="B1091" s="16"/>
      <c r="C1091" s="15"/>
      <c r="D1091" s="19"/>
      <c r="E1091" s="20" t="b">
        <f aca="false">AND(A1091&lt;&gt;"",C1091&lt;&gt;"",D1091&lt;&gt;"",C1091&gt;='Read Me'!$B$5)</f>
        <v>0</v>
      </c>
      <c r="F1091" s="23" t="str">
        <f aca="false">IF(E1091,D1091,"")</f>
        <v/>
      </c>
      <c r="G1091" s="21" t="n">
        <f aca="false">IF(E1091,D1091^2,0)</f>
        <v>0</v>
      </c>
      <c r="H1091" s="3"/>
    </row>
    <row r="1092" customFormat="false" ht="15" hidden="false" customHeight="true" outlineLevel="0" collapsed="false">
      <c r="A1092" s="16"/>
      <c r="B1092" s="16"/>
      <c r="C1092" s="15"/>
      <c r="D1092" s="19"/>
      <c r="E1092" s="20" t="b">
        <f aca="false">AND(A1092&lt;&gt;"",C1092&lt;&gt;"",D1092&lt;&gt;"",C1092&gt;='Read Me'!$B$5)</f>
        <v>0</v>
      </c>
      <c r="F1092" s="23" t="str">
        <f aca="false">IF(E1092,D1092,"")</f>
        <v/>
      </c>
      <c r="G1092" s="21" t="n">
        <f aca="false">IF(E1092,D1092^2,0)</f>
        <v>0</v>
      </c>
      <c r="H1092" s="3"/>
    </row>
    <row r="1093" customFormat="false" ht="15" hidden="false" customHeight="true" outlineLevel="0" collapsed="false">
      <c r="A1093" s="16"/>
      <c r="B1093" s="16"/>
      <c r="C1093" s="15"/>
      <c r="D1093" s="19"/>
      <c r="E1093" s="20" t="b">
        <f aca="false">AND(A1093&lt;&gt;"",C1093&lt;&gt;"",D1093&lt;&gt;"",C1093&gt;='Read Me'!$B$5)</f>
        <v>0</v>
      </c>
      <c r="F1093" s="23" t="str">
        <f aca="false">IF(E1093,D1093,"")</f>
        <v/>
      </c>
      <c r="G1093" s="21" t="n">
        <f aca="false">IF(E1093,D1093^2,0)</f>
        <v>0</v>
      </c>
      <c r="H1093" s="3"/>
    </row>
    <row r="1094" customFormat="false" ht="15" hidden="false" customHeight="true" outlineLevel="0" collapsed="false">
      <c r="A1094" s="16"/>
      <c r="B1094" s="16"/>
      <c r="C1094" s="15"/>
      <c r="D1094" s="19"/>
      <c r="E1094" s="20" t="b">
        <f aca="false">AND(A1094&lt;&gt;"",C1094&lt;&gt;"",D1094&lt;&gt;"",C1094&gt;='Read Me'!$B$5)</f>
        <v>0</v>
      </c>
      <c r="F1094" s="23" t="str">
        <f aca="false">IF(E1094,D1094,"")</f>
        <v/>
      </c>
      <c r="G1094" s="21" t="n">
        <f aca="false">IF(E1094,D1094^2,0)</f>
        <v>0</v>
      </c>
      <c r="H1094" s="3"/>
    </row>
    <row r="1095" customFormat="false" ht="15" hidden="false" customHeight="true" outlineLevel="0" collapsed="false">
      <c r="A1095" s="16"/>
      <c r="B1095" s="16"/>
      <c r="C1095" s="15"/>
      <c r="D1095" s="19"/>
      <c r="E1095" s="20" t="b">
        <f aca="false">AND(A1095&lt;&gt;"",C1095&lt;&gt;"",D1095&lt;&gt;"",C1095&gt;='Read Me'!$B$5)</f>
        <v>0</v>
      </c>
      <c r="F1095" s="23" t="str">
        <f aca="false">IF(E1095,D1095,"")</f>
        <v/>
      </c>
      <c r="G1095" s="21" t="n">
        <f aca="false">IF(E1095,D1095^2,0)</f>
        <v>0</v>
      </c>
      <c r="H1095" s="3"/>
    </row>
    <row r="1096" customFormat="false" ht="15" hidden="false" customHeight="true" outlineLevel="0" collapsed="false">
      <c r="A1096" s="16"/>
      <c r="B1096" s="16"/>
      <c r="C1096" s="15"/>
      <c r="D1096" s="19"/>
      <c r="E1096" s="20" t="b">
        <f aca="false">AND(A1096&lt;&gt;"",C1096&lt;&gt;"",D1096&lt;&gt;"",C1096&gt;='Read Me'!$B$5)</f>
        <v>0</v>
      </c>
      <c r="F1096" s="23" t="str">
        <f aca="false">IF(E1096,D1096,"")</f>
        <v/>
      </c>
      <c r="G1096" s="21" t="n">
        <f aca="false">IF(E1096,D1096^2,0)</f>
        <v>0</v>
      </c>
      <c r="H1096" s="3"/>
    </row>
    <row r="1097" customFormat="false" ht="15" hidden="false" customHeight="true" outlineLevel="0" collapsed="false">
      <c r="A1097" s="16"/>
      <c r="B1097" s="16"/>
      <c r="C1097" s="15"/>
      <c r="D1097" s="19"/>
      <c r="E1097" s="20" t="b">
        <f aca="false">AND(A1097&lt;&gt;"",C1097&lt;&gt;"",D1097&lt;&gt;"",C1097&gt;='Read Me'!$B$5)</f>
        <v>0</v>
      </c>
      <c r="F1097" s="23" t="str">
        <f aca="false">IF(E1097,D1097,"")</f>
        <v/>
      </c>
      <c r="G1097" s="21" t="n">
        <f aca="false">IF(E1097,D1097^2,0)</f>
        <v>0</v>
      </c>
      <c r="H1097" s="3"/>
    </row>
    <row r="1098" customFormat="false" ht="15" hidden="false" customHeight="true" outlineLevel="0" collapsed="false">
      <c r="A1098" s="16"/>
      <c r="B1098" s="16"/>
      <c r="C1098" s="15"/>
      <c r="D1098" s="19"/>
      <c r="E1098" s="20" t="b">
        <f aca="false">AND(A1098&lt;&gt;"",C1098&lt;&gt;"",D1098&lt;&gt;"",C1098&gt;='Read Me'!$B$5)</f>
        <v>0</v>
      </c>
      <c r="F1098" s="23" t="str">
        <f aca="false">IF(E1098,D1098,"")</f>
        <v/>
      </c>
      <c r="G1098" s="21" t="n">
        <f aca="false">IF(E1098,D1098^2,0)</f>
        <v>0</v>
      </c>
      <c r="H1098" s="3"/>
    </row>
    <row r="1099" customFormat="false" ht="15" hidden="false" customHeight="true" outlineLevel="0" collapsed="false">
      <c r="A1099" s="16"/>
      <c r="B1099" s="16"/>
      <c r="C1099" s="15"/>
      <c r="D1099" s="19"/>
      <c r="E1099" s="20" t="b">
        <f aca="false">AND(A1099&lt;&gt;"",C1099&lt;&gt;"",D1099&lt;&gt;"",C1099&gt;='Read Me'!$B$5)</f>
        <v>0</v>
      </c>
      <c r="F1099" s="23" t="str">
        <f aca="false">IF(E1099,D1099,"")</f>
        <v/>
      </c>
      <c r="G1099" s="21" t="n">
        <f aca="false">IF(E1099,D1099^2,0)</f>
        <v>0</v>
      </c>
      <c r="H1099" s="3"/>
    </row>
    <row r="1100" customFormat="false" ht="15" hidden="false" customHeight="true" outlineLevel="0" collapsed="false">
      <c r="A1100" s="16"/>
      <c r="B1100" s="16"/>
      <c r="C1100" s="15"/>
      <c r="D1100" s="19"/>
      <c r="E1100" s="20" t="b">
        <f aca="false">AND(A1100&lt;&gt;"",C1100&lt;&gt;"",D1100&lt;&gt;"",C1100&gt;='Read Me'!$B$5)</f>
        <v>0</v>
      </c>
      <c r="F1100" s="23" t="str">
        <f aca="false">IF(E1100,D1100,"")</f>
        <v/>
      </c>
      <c r="G1100" s="21" t="n">
        <f aca="false">IF(E1100,D1100^2,0)</f>
        <v>0</v>
      </c>
      <c r="H1100" s="3"/>
    </row>
    <row r="1101" customFormat="false" ht="15" hidden="false" customHeight="true" outlineLevel="0" collapsed="false">
      <c r="A1101" s="16"/>
      <c r="B1101" s="16"/>
      <c r="C1101" s="15"/>
      <c r="D1101" s="19"/>
      <c r="E1101" s="20" t="b">
        <f aca="false">AND(A1101&lt;&gt;"",C1101&lt;&gt;"",D1101&lt;&gt;"",C1101&gt;='Read Me'!$B$5)</f>
        <v>0</v>
      </c>
      <c r="F1101" s="23" t="str">
        <f aca="false">IF(E1101,D1101,"")</f>
        <v/>
      </c>
      <c r="G1101" s="21" t="n">
        <f aca="false">IF(E1101,D1101^2,0)</f>
        <v>0</v>
      </c>
      <c r="H1101" s="3"/>
    </row>
    <row r="1102" customFormat="false" ht="15" hidden="false" customHeight="true" outlineLevel="0" collapsed="false">
      <c r="A1102" s="16"/>
      <c r="B1102" s="16"/>
      <c r="C1102" s="15"/>
      <c r="D1102" s="19"/>
      <c r="E1102" s="20" t="b">
        <f aca="false">AND(A1102&lt;&gt;"",C1102&lt;&gt;"",D1102&lt;&gt;"",C1102&gt;='Read Me'!$B$5)</f>
        <v>0</v>
      </c>
      <c r="F1102" s="23" t="str">
        <f aca="false">IF(E1102,D1102,"")</f>
        <v/>
      </c>
      <c r="G1102" s="21" t="n">
        <f aca="false">IF(E1102,D1102^2,0)</f>
        <v>0</v>
      </c>
      <c r="H1102" s="3"/>
    </row>
    <row r="1103" customFormat="false" ht="15" hidden="false" customHeight="true" outlineLevel="0" collapsed="false">
      <c r="A1103" s="16"/>
      <c r="B1103" s="16"/>
      <c r="C1103" s="15"/>
      <c r="D1103" s="19"/>
      <c r="E1103" s="20" t="b">
        <f aca="false">AND(A1103&lt;&gt;"",C1103&lt;&gt;"",D1103&lt;&gt;"",C1103&gt;='Read Me'!$B$5)</f>
        <v>0</v>
      </c>
      <c r="F1103" s="23" t="str">
        <f aca="false">IF(E1103,D1103,"")</f>
        <v/>
      </c>
      <c r="G1103" s="21" t="n">
        <f aca="false">IF(E1103,D1103^2,0)</f>
        <v>0</v>
      </c>
      <c r="H1103" s="3"/>
    </row>
    <row r="1104" customFormat="false" ht="15" hidden="false" customHeight="true" outlineLevel="0" collapsed="false">
      <c r="A1104" s="16"/>
      <c r="B1104" s="16"/>
      <c r="C1104" s="15"/>
      <c r="D1104" s="19"/>
      <c r="E1104" s="20" t="b">
        <f aca="false">AND(A1104&lt;&gt;"",C1104&lt;&gt;"",D1104&lt;&gt;"",C1104&gt;='Read Me'!$B$5)</f>
        <v>0</v>
      </c>
      <c r="F1104" s="23" t="str">
        <f aca="false">IF(E1104,D1104,"")</f>
        <v/>
      </c>
      <c r="G1104" s="21" t="n">
        <f aca="false">IF(E1104,D1104^2,0)</f>
        <v>0</v>
      </c>
      <c r="H1104" s="3"/>
    </row>
    <row r="1105" customFormat="false" ht="15" hidden="false" customHeight="true" outlineLevel="0" collapsed="false">
      <c r="A1105" s="16"/>
      <c r="B1105" s="16"/>
      <c r="C1105" s="15"/>
      <c r="D1105" s="19"/>
      <c r="E1105" s="20" t="b">
        <f aca="false">AND(A1105&lt;&gt;"",C1105&lt;&gt;"",D1105&lt;&gt;"",C1105&gt;='Read Me'!$B$5)</f>
        <v>0</v>
      </c>
      <c r="F1105" s="23" t="str">
        <f aca="false">IF(E1105,D1105,"")</f>
        <v/>
      </c>
      <c r="G1105" s="21" t="n">
        <f aca="false">IF(E1105,D1105^2,0)</f>
        <v>0</v>
      </c>
      <c r="H1105" s="3"/>
    </row>
    <row r="1106" customFormat="false" ht="15" hidden="false" customHeight="true" outlineLevel="0" collapsed="false">
      <c r="A1106" s="16"/>
      <c r="B1106" s="16"/>
      <c r="C1106" s="15"/>
      <c r="D1106" s="19"/>
      <c r="E1106" s="20" t="b">
        <f aca="false">AND(A1106&lt;&gt;"",C1106&lt;&gt;"",D1106&lt;&gt;"",C1106&gt;='Read Me'!$B$5)</f>
        <v>0</v>
      </c>
      <c r="F1106" s="23" t="str">
        <f aca="false">IF(E1106,D1106,"")</f>
        <v/>
      </c>
      <c r="G1106" s="21" t="n">
        <f aca="false">IF(E1106,D1106^2,0)</f>
        <v>0</v>
      </c>
      <c r="H1106" s="3"/>
    </row>
    <row r="1107" customFormat="false" ht="15" hidden="false" customHeight="true" outlineLevel="0" collapsed="false">
      <c r="A1107" s="16"/>
      <c r="B1107" s="16"/>
      <c r="C1107" s="15"/>
      <c r="D1107" s="19"/>
      <c r="E1107" s="20" t="b">
        <f aca="false">AND(A1107&lt;&gt;"",C1107&lt;&gt;"",D1107&lt;&gt;"",C1107&gt;='Read Me'!$B$5)</f>
        <v>0</v>
      </c>
      <c r="F1107" s="23" t="str">
        <f aca="false">IF(E1107,D1107,"")</f>
        <v/>
      </c>
      <c r="G1107" s="21" t="n">
        <f aca="false">IF(E1107,D1107^2,0)</f>
        <v>0</v>
      </c>
      <c r="H1107" s="3"/>
    </row>
    <row r="1108" customFormat="false" ht="15" hidden="false" customHeight="true" outlineLevel="0" collapsed="false">
      <c r="A1108" s="16"/>
      <c r="B1108" s="16"/>
      <c r="C1108" s="15"/>
      <c r="D1108" s="19"/>
      <c r="E1108" s="20" t="b">
        <f aca="false">AND(A1108&lt;&gt;"",C1108&lt;&gt;"",D1108&lt;&gt;"",C1108&gt;='Read Me'!$B$5)</f>
        <v>0</v>
      </c>
      <c r="F1108" s="23" t="str">
        <f aca="false">IF(E1108,D1108,"")</f>
        <v/>
      </c>
      <c r="G1108" s="21" t="n">
        <f aca="false">IF(E1108,D1108^2,0)</f>
        <v>0</v>
      </c>
      <c r="H1108" s="3"/>
    </row>
    <row r="1109" customFormat="false" ht="15" hidden="false" customHeight="true" outlineLevel="0" collapsed="false">
      <c r="A1109" s="16"/>
      <c r="B1109" s="16"/>
      <c r="C1109" s="15"/>
      <c r="D1109" s="19"/>
      <c r="E1109" s="20" t="b">
        <f aca="false">AND(A1109&lt;&gt;"",C1109&lt;&gt;"",D1109&lt;&gt;"",C1109&gt;='Read Me'!$B$5)</f>
        <v>0</v>
      </c>
      <c r="F1109" s="23" t="str">
        <f aca="false">IF(E1109,D1109,"")</f>
        <v/>
      </c>
      <c r="G1109" s="21" t="n">
        <f aca="false">IF(E1109,D1109^2,0)</f>
        <v>0</v>
      </c>
      <c r="H1109" s="3"/>
    </row>
    <row r="1110" customFormat="false" ht="15" hidden="false" customHeight="true" outlineLevel="0" collapsed="false">
      <c r="A1110" s="16"/>
      <c r="B1110" s="16"/>
      <c r="C1110" s="15"/>
      <c r="D1110" s="19"/>
      <c r="E1110" s="20" t="b">
        <f aca="false">AND(A1110&lt;&gt;"",C1110&lt;&gt;"",D1110&lt;&gt;"",C1110&gt;='Read Me'!$B$5)</f>
        <v>0</v>
      </c>
      <c r="F1110" s="23" t="str">
        <f aca="false">IF(E1110,D1110,"")</f>
        <v/>
      </c>
      <c r="G1110" s="21" t="n">
        <f aca="false">IF(E1110,D1110^2,0)</f>
        <v>0</v>
      </c>
      <c r="H1110" s="3"/>
    </row>
    <row r="1111" customFormat="false" ht="15" hidden="false" customHeight="true" outlineLevel="0" collapsed="false">
      <c r="A1111" s="16"/>
      <c r="B1111" s="16"/>
      <c r="C1111" s="15"/>
      <c r="D1111" s="19"/>
      <c r="E1111" s="20" t="b">
        <f aca="false">AND(A1111&lt;&gt;"",C1111&lt;&gt;"",D1111&lt;&gt;"",C1111&gt;='Read Me'!$B$5)</f>
        <v>0</v>
      </c>
      <c r="F1111" s="23" t="str">
        <f aca="false">IF(E1111,D1111,"")</f>
        <v/>
      </c>
      <c r="G1111" s="21" t="n">
        <f aca="false">IF(E1111,D1111^2,0)</f>
        <v>0</v>
      </c>
      <c r="H1111" s="3"/>
    </row>
    <row r="1112" customFormat="false" ht="15" hidden="false" customHeight="true" outlineLevel="0" collapsed="false">
      <c r="A1112" s="16"/>
      <c r="B1112" s="16"/>
      <c r="C1112" s="15"/>
      <c r="D1112" s="19"/>
      <c r="E1112" s="20" t="b">
        <f aca="false">AND(A1112&lt;&gt;"",C1112&lt;&gt;"",D1112&lt;&gt;"",C1112&gt;='Read Me'!$B$5)</f>
        <v>0</v>
      </c>
      <c r="F1112" s="23" t="str">
        <f aca="false">IF(E1112,D1112,"")</f>
        <v/>
      </c>
      <c r="G1112" s="21" t="n">
        <f aca="false">IF(E1112,D1112^2,0)</f>
        <v>0</v>
      </c>
      <c r="H1112" s="3"/>
    </row>
    <row r="1113" customFormat="false" ht="15" hidden="false" customHeight="true" outlineLevel="0" collapsed="false">
      <c r="A1113" s="16"/>
      <c r="B1113" s="16"/>
      <c r="C1113" s="15"/>
      <c r="D1113" s="19"/>
      <c r="E1113" s="20" t="b">
        <f aca="false">AND(A1113&lt;&gt;"",C1113&lt;&gt;"",D1113&lt;&gt;"",C1113&gt;='Read Me'!$B$5)</f>
        <v>0</v>
      </c>
      <c r="F1113" s="23" t="str">
        <f aca="false">IF(E1113,D1113,"")</f>
        <v/>
      </c>
      <c r="G1113" s="21" t="n">
        <f aca="false">IF(E1113,D1113^2,0)</f>
        <v>0</v>
      </c>
      <c r="H1113" s="3"/>
    </row>
    <row r="1114" customFormat="false" ht="15" hidden="false" customHeight="true" outlineLevel="0" collapsed="false">
      <c r="A1114" s="16"/>
      <c r="B1114" s="16"/>
      <c r="C1114" s="15"/>
      <c r="D1114" s="19"/>
      <c r="E1114" s="20" t="b">
        <f aca="false">AND(A1114&lt;&gt;"",C1114&lt;&gt;"",D1114&lt;&gt;"",C1114&gt;='Read Me'!$B$5)</f>
        <v>0</v>
      </c>
      <c r="F1114" s="23" t="str">
        <f aca="false">IF(E1114,D1114,"")</f>
        <v/>
      </c>
      <c r="G1114" s="21" t="n">
        <f aca="false">IF(E1114,D1114^2,0)</f>
        <v>0</v>
      </c>
      <c r="H1114" s="3"/>
    </row>
    <row r="1115" customFormat="false" ht="15" hidden="false" customHeight="true" outlineLevel="0" collapsed="false">
      <c r="A1115" s="16"/>
      <c r="B1115" s="16"/>
      <c r="C1115" s="15"/>
      <c r="D1115" s="19"/>
      <c r="E1115" s="20" t="b">
        <f aca="false">AND(A1115&lt;&gt;"",C1115&lt;&gt;"",D1115&lt;&gt;"",C1115&gt;='Read Me'!$B$5)</f>
        <v>0</v>
      </c>
      <c r="F1115" s="23" t="str">
        <f aca="false">IF(E1115,D1115,"")</f>
        <v/>
      </c>
      <c r="G1115" s="21" t="n">
        <f aca="false">IF(E1115,D1115^2,0)</f>
        <v>0</v>
      </c>
      <c r="H1115" s="3"/>
    </row>
    <row r="1116" customFormat="false" ht="15" hidden="false" customHeight="true" outlineLevel="0" collapsed="false">
      <c r="A1116" s="16"/>
      <c r="B1116" s="16"/>
      <c r="C1116" s="15"/>
      <c r="D1116" s="19"/>
      <c r="E1116" s="20" t="b">
        <f aca="false">AND(A1116&lt;&gt;"",C1116&lt;&gt;"",D1116&lt;&gt;"",C1116&gt;='Read Me'!$B$5)</f>
        <v>0</v>
      </c>
      <c r="F1116" s="23" t="str">
        <f aca="false">IF(E1116,D1116,"")</f>
        <v/>
      </c>
      <c r="G1116" s="21" t="n">
        <f aca="false">IF(E1116,D1116^2,0)</f>
        <v>0</v>
      </c>
      <c r="H1116" s="3"/>
    </row>
    <row r="1117" customFormat="false" ht="15" hidden="false" customHeight="true" outlineLevel="0" collapsed="false">
      <c r="A1117" s="16"/>
      <c r="B1117" s="16"/>
      <c r="C1117" s="15"/>
      <c r="D1117" s="19"/>
      <c r="E1117" s="20" t="b">
        <f aca="false">AND(A1117&lt;&gt;"",C1117&lt;&gt;"",D1117&lt;&gt;"",C1117&gt;='Read Me'!$B$5)</f>
        <v>0</v>
      </c>
      <c r="F1117" s="23" t="str">
        <f aca="false">IF(E1117,D1117,"")</f>
        <v/>
      </c>
      <c r="G1117" s="21" t="n">
        <f aca="false">IF(E1117,D1117^2,0)</f>
        <v>0</v>
      </c>
      <c r="H1117" s="3"/>
    </row>
    <row r="1118" customFormat="false" ht="15" hidden="false" customHeight="true" outlineLevel="0" collapsed="false">
      <c r="A1118" s="16"/>
      <c r="B1118" s="16"/>
      <c r="C1118" s="15"/>
      <c r="D1118" s="19"/>
      <c r="E1118" s="20" t="b">
        <f aca="false">AND(A1118&lt;&gt;"",C1118&lt;&gt;"",D1118&lt;&gt;"",C1118&gt;='Read Me'!$B$5)</f>
        <v>0</v>
      </c>
      <c r="F1118" s="23" t="str">
        <f aca="false">IF(E1118,D1118,"")</f>
        <v/>
      </c>
      <c r="G1118" s="21" t="n">
        <f aca="false">IF(E1118,D1118^2,0)</f>
        <v>0</v>
      </c>
      <c r="H1118" s="3"/>
    </row>
    <row r="1119" customFormat="false" ht="15" hidden="false" customHeight="true" outlineLevel="0" collapsed="false">
      <c r="A1119" s="16"/>
      <c r="B1119" s="16"/>
      <c r="C1119" s="15"/>
      <c r="D1119" s="19"/>
      <c r="E1119" s="20" t="b">
        <f aca="false">AND(A1119&lt;&gt;"",C1119&lt;&gt;"",D1119&lt;&gt;"",C1119&gt;='Read Me'!$B$5)</f>
        <v>0</v>
      </c>
      <c r="F1119" s="23" t="str">
        <f aca="false">IF(E1119,D1119,"")</f>
        <v/>
      </c>
      <c r="G1119" s="21" t="n">
        <f aca="false">IF(E1119,D1119^2,0)</f>
        <v>0</v>
      </c>
      <c r="H1119" s="3"/>
    </row>
    <row r="1120" customFormat="false" ht="15" hidden="false" customHeight="true" outlineLevel="0" collapsed="false">
      <c r="A1120" s="16"/>
      <c r="B1120" s="16"/>
      <c r="C1120" s="15"/>
      <c r="D1120" s="19"/>
      <c r="E1120" s="20" t="b">
        <f aca="false">AND(A1120&lt;&gt;"",C1120&lt;&gt;"",D1120&lt;&gt;"",C1120&gt;='Read Me'!$B$5)</f>
        <v>0</v>
      </c>
      <c r="F1120" s="23" t="str">
        <f aca="false">IF(E1120,D1120,"")</f>
        <v/>
      </c>
      <c r="G1120" s="21" t="n">
        <f aca="false">IF(E1120,D1120^2,0)</f>
        <v>0</v>
      </c>
      <c r="H1120" s="3"/>
    </row>
    <row r="1121" customFormat="false" ht="15" hidden="false" customHeight="true" outlineLevel="0" collapsed="false">
      <c r="A1121" s="16"/>
      <c r="B1121" s="16"/>
      <c r="C1121" s="15"/>
      <c r="D1121" s="19"/>
      <c r="E1121" s="20" t="b">
        <f aca="false">AND(A1121&lt;&gt;"",C1121&lt;&gt;"",D1121&lt;&gt;"",C1121&gt;='Read Me'!$B$5)</f>
        <v>0</v>
      </c>
      <c r="F1121" s="23" t="str">
        <f aca="false">IF(E1121,D1121,"")</f>
        <v/>
      </c>
      <c r="G1121" s="21" t="n">
        <f aca="false">IF(E1121,D1121^2,0)</f>
        <v>0</v>
      </c>
      <c r="H1121" s="3"/>
    </row>
    <row r="1122" customFormat="false" ht="15" hidden="false" customHeight="true" outlineLevel="0" collapsed="false">
      <c r="A1122" s="16"/>
      <c r="B1122" s="16"/>
      <c r="C1122" s="15"/>
      <c r="D1122" s="19"/>
      <c r="E1122" s="20" t="b">
        <f aca="false">AND(A1122&lt;&gt;"",C1122&lt;&gt;"",D1122&lt;&gt;"",C1122&gt;='Read Me'!$B$5)</f>
        <v>0</v>
      </c>
      <c r="F1122" s="23" t="str">
        <f aca="false">IF(E1122,D1122,"")</f>
        <v/>
      </c>
      <c r="G1122" s="21" t="n">
        <f aca="false">IF(E1122,D1122^2,0)</f>
        <v>0</v>
      </c>
      <c r="H1122" s="3"/>
    </row>
    <row r="1123" customFormat="false" ht="15" hidden="false" customHeight="true" outlineLevel="0" collapsed="false">
      <c r="A1123" s="16"/>
      <c r="B1123" s="16"/>
      <c r="C1123" s="15"/>
      <c r="D1123" s="19"/>
      <c r="E1123" s="20" t="b">
        <f aca="false">AND(A1123&lt;&gt;"",C1123&lt;&gt;"",D1123&lt;&gt;"",C1123&gt;='Read Me'!$B$5)</f>
        <v>0</v>
      </c>
      <c r="F1123" s="23" t="str">
        <f aca="false">IF(E1123,D1123,"")</f>
        <v/>
      </c>
      <c r="G1123" s="21" t="n">
        <f aca="false">IF(E1123,D1123^2,0)</f>
        <v>0</v>
      </c>
      <c r="H1123" s="3"/>
    </row>
    <row r="1124" customFormat="false" ht="15" hidden="false" customHeight="true" outlineLevel="0" collapsed="false">
      <c r="A1124" s="16"/>
      <c r="B1124" s="16"/>
      <c r="C1124" s="15"/>
      <c r="D1124" s="19"/>
      <c r="E1124" s="20" t="b">
        <f aca="false">AND(A1124&lt;&gt;"",C1124&lt;&gt;"",D1124&lt;&gt;"",C1124&gt;='Read Me'!$B$5)</f>
        <v>0</v>
      </c>
      <c r="F1124" s="23" t="str">
        <f aca="false">IF(E1124,D1124,"")</f>
        <v/>
      </c>
      <c r="G1124" s="21" t="n">
        <f aca="false">IF(E1124,D1124^2,0)</f>
        <v>0</v>
      </c>
      <c r="H1124" s="3"/>
    </row>
    <row r="1125" customFormat="false" ht="15" hidden="false" customHeight="true" outlineLevel="0" collapsed="false">
      <c r="A1125" s="16"/>
      <c r="B1125" s="16"/>
      <c r="C1125" s="15"/>
      <c r="D1125" s="19"/>
      <c r="E1125" s="20" t="b">
        <f aca="false">AND(A1125&lt;&gt;"",C1125&lt;&gt;"",D1125&lt;&gt;"",C1125&gt;='Read Me'!$B$5)</f>
        <v>0</v>
      </c>
      <c r="F1125" s="23" t="str">
        <f aca="false">IF(E1125,D1125,"")</f>
        <v/>
      </c>
      <c r="G1125" s="21" t="n">
        <f aca="false">IF(E1125,D1125^2,0)</f>
        <v>0</v>
      </c>
      <c r="H1125" s="3"/>
    </row>
    <row r="1126" customFormat="false" ht="15" hidden="false" customHeight="true" outlineLevel="0" collapsed="false">
      <c r="A1126" s="16"/>
      <c r="B1126" s="16"/>
      <c r="C1126" s="15"/>
      <c r="D1126" s="19"/>
      <c r="E1126" s="20" t="b">
        <f aca="false">AND(A1126&lt;&gt;"",C1126&lt;&gt;"",D1126&lt;&gt;"",C1126&gt;='Read Me'!$B$5)</f>
        <v>0</v>
      </c>
      <c r="F1126" s="23" t="str">
        <f aca="false">IF(E1126,D1126,"")</f>
        <v/>
      </c>
      <c r="G1126" s="21" t="n">
        <f aca="false">IF(E1126,D1126^2,0)</f>
        <v>0</v>
      </c>
      <c r="H1126" s="3"/>
    </row>
    <row r="1127" customFormat="false" ht="15" hidden="false" customHeight="true" outlineLevel="0" collapsed="false">
      <c r="A1127" s="16"/>
      <c r="B1127" s="16"/>
      <c r="C1127" s="15"/>
      <c r="D1127" s="19"/>
      <c r="E1127" s="20" t="b">
        <f aca="false">AND(A1127&lt;&gt;"",C1127&lt;&gt;"",D1127&lt;&gt;"",C1127&gt;='Read Me'!$B$5)</f>
        <v>0</v>
      </c>
      <c r="F1127" s="23" t="str">
        <f aca="false">IF(E1127,D1127,"")</f>
        <v/>
      </c>
      <c r="G1127" s="21" t="n">
        <f aca="false">IF(E1127,D1127^2,0)</f>
        <v>0</v>
      </c>
      <c r="H1127" s="3"/>
    </row>
    <row r="1128" customFormat="false" ht="15" hidden="false" customHeight="true" outlineLevel="0" collapsed="false">
      <c r="A1128" s="16"/>
      <c r="B1128" s="16"/>
      <c r="C1128" s="15"/>
      <c r="D1128" s="19"/>
      <c r="E1128" s="20" t="b">
        <f aca="false">AND(A1128&lt;&gt;"",C1128&lt;&gt;"",D1128&lt;&gt;"",C1128&gt;='Read Me'!$B$5)</f>
        <v>0</v>
      </c>
      <c r="F1128" s="23" t="str">
        <f aca="false">IF(E1128,D1128,"")</f>
        <v/>
      </c>
      <c r="G1128" s="21" t="n">
        <f aca="false">IF(E1128,D1128^2,0)</f>
        <v>0</v>
      </c>
      <c r="H1128" s="3"/>
    </row>
    <row r="1129" customFormat="false" ht="15" hidden="false" customHeight="true" outlineLevel="0" collapsed="false">
      <c r="A1129" s="16"/>
      <c r="B1129" s="16"/>
      <c r="C1129" s="15"/>
      <c r="D1129" s="19"/>
      <c r="E1129" s="20" t="b">
        <f aca="false">AND(A1129&lt;&gt;"",C1129&lt;&gt;"",D1129&lt;&gt;"",C1129&gt;='Read Me'!$B$5)</f>
        <v>0</v>
      </c>
      <c r="F1129" s="23" t="str">
        <f aca="false">IF(E1129,D1129,"")</f>
        <v/>
      </c>
      <c r="G1129" s="21" t="n">
        <f aca="false">IF(E1129,D1129^2,0)</f>
        <v>0</v>
      </c>
      <c r="H1129" s="3"/>
    </row>
    <row r="1130" customFormat="false" ht="15" hidden="false" customHeight="true" outlineLevel="0" collapsed="false">
      <c r="A1130" s="16"/>
      <c r="B1130" s="16"/>
      <c r="C1130" s="15"/>
      <c r="D1130" s="19"/>
      <c r="E1130" s="20" t="b">
        <f aca="false">AND(A1130&lt;&gt;"",C1130&lt;&gt;"",D1130&lt;&gt;"",C1130&gt;='Read Me'!$B$5)</f>
        <v>0</v>
      </c>
      <c r="F1130" s="23" t="str">
        <f aca="false">IF(E1130,D1130,"")</f>
        <v/>
      </c>
      <c r="G1130" s="21" t="n">
        <f aca="false">IF(E1130,D1130^2,0)</f>
        <v>0</v>
      </c>
      <c r="H1130" s="3"/>
    </row>
    <row r="1131" customFormat="false" ht="15" hidden="false" customHeight="true" outlineLevel="0" collapsed="false">
      <c r="A1131" s="16"/>
      <c r="B1131" s="16"/>
      <c r="C1131" s="15"/>
      <c r="D1131" s="19"/>
      <c r="E1131" s="20" t="b">
        <f aca="false">AND(A1131&lt;&gt;"",C1131&lt;&gt;"",D1131&lt;&gt;"",C1131&gt;='Read Me'!$B$5)</f>
        <v>0</v>
      </c>
      <c r="F1131" s="23" t="str">
        <f aca="false">IF(E1131,D1131,"")</f>
        <v/>
      </c>
      <c r="G1131" s="21" t="n">
        <f aca="false">IF(E1131,D1131^2,0)</f>
        <v>0</v>
      </c>
      <c r="H1131" s="3"/>
    </row>
    <row r="1132" customFormat="false" ht="15" hidden="false" customHeight="true" outlineLevel="0" collapsed="false">
      <c r="A1132" s="16"/>
      <c r="B1132" s="16"/>
      <c r="C1132" s="15"/>
      <c r="D1132" s="19"/>
      <c r="E1132" s="20" t="b">
        <f aca="false">AND(A1132&lt;&gt;"",C1132&lt;&gt;"",D1132&lt;&gt;"",C1132&gt;='Read Me'!$B$5)</f>
        <v>0</v>
      </c>
      <c r="F1132" s="23" t="str">
        <f aca="false">IF(E1132,D1132,"")</f>
        <v/>
      </c>
      <c r="G1132" s="21" t="n">
        <f aca="false">IF(E1132,D1132^2,0)</f>
        <v>0</v>
      </c>
      <c r="H1132" s="3"/>
    </row>
    <row r="1133" customFormat="false" ht="15" hidden="false" customHeight="true" outlineLevel="0" collapsed="false">
      <c r="A1133" s="16"/>
      <c r="B1133" s="16"/>
      <c r="C1133" s="15"/>
      <c r="D1133" s="19"/>
      <c r="E1133" s="20" t="b">
        <f aca="false">AND(A1133&lt;&gt;"",C1133&lt;&gt;"",D1133&lt;&gt;"",C1133&gt;='Read Me'!$B$5)</f>
        <v>0</v>
      </c>
      <c r="F1133" s="23" t="str">
        <f aca="false">IF(E1133,D1133,"")</f>
        <v/>
      </c>
      <c r="G1133" s="21" t="n">
        <f aca="false">IF(E1133,D1133^2,0)</f>
        <v>0</v>
      </c>
      <c r="H1133" s="3"/>
    </row>
    <row r="1134" customFormat="false" ht="15" hidden="false" customHeight="true" outlineLevel="0" collapsed="false">
      <c r="A1134" s="16"/>
      <c r="B1134" s="16"/>
      <c r="C1134" s="15"/>
      <c r="D1134" s="19"/>
      <c r="E1134" s="20" t="b">
        <f aca="false">AND(A1134&lt;&gt;"",C1134&lt;&gt;"",D1134&lt;&gt;"",C1134&gt;='Read Me'!$B$5)</f>
        <v>0</v>
      </c>
      <c r="F1134" s="23" t="str">
        <f aca="false">IF(E1134,D1134,"")</f>
        <v/>
      </c>
      <c r="G1134" s="21" t="n">
        <f aca="false">IF(E1134,D1134^2,0)</f>
        <v>0</v>
      </c>
      <c r="H1134" s="3"/>
    </row>
    <row r="1135" customFormat="false" ht="15" hidden="false" customHeight="true" outlineLevel="0" collapsed="false">
      <c r="A1135" s="16"/>
      <c r="B1135" s="16"/>
      <c r="C1135" s="15"/>
      <c r="D1135" s="19"/>
      <c r="E1135" s="20" t="b">
        <f aca="false">AND(A1135&lt;&gt;"",C1135&lt;&gt;"",D1135&lt;&gt;"",C1135&gt;='Read Me'!$B$5)</f>
        <v>0</v>
      </c>
      <c r="F1135" s="23" t="str">
        <f aca="false">IF(E1135,D1135,"")</f>
        <v/>
      </c>
      <c r="G1135" s="21" t="n">
        <f aca="false">IF(E1135,D1135^2,0)</f>
        <v>0</v>
      </c>
      <c r="H1135" s="3"/>
    </row>
    <row r="1136" customFormat="false" ht="15" hidden="false" customHeight="true" outlineLevel="0" collapsed="false">
      <c r="A1136" s="16"/>
      <c r="B1136" s="16"/>
      <c r="C1136" s="15"/>
      <c r="D1136" s="19"/>
      <c r="E1136" s="20" t="b">
        <f aca="false">AND(A1136&lt;&gt;"",C1136&lt;&gt;"",D1136&lt;&gt;"",C1136&gt;='Read Me'!$B$5)</f>
        <v>0</v>
      </c>
      <c r="F1136" s="23" t="str">
        <f aca="false">IF(E1136,D1136,"")</f>
        <v/>
      </c>
      <c r="G1136" s="21" t="n">
        <f aca="false">IF(E1136,D1136^2,0)</f>
        <v>0</v>
      </c>
      <c r="H1136" s="3"/>
    </row>
    <row r="1137" customFormat="false" ht="15" hidden="false" customHeight="true" outlineLevel="0" collapsed="false">
      <c r="A1137" s="16"/>
      <c r="B1137" s="16"/>
      <c r="C1137" s="15"/>
      <c r="D1137" s="19"/>
      <c r="E1137" s="20" t="b">
        <f aca="false">AND(A1137&lt;&gt;"",C1137&lt;&gt;"",D1137&lt;&gt;"",C1137&gt;='Read Me'!$B$5)</f>
        <v>0</v>
      </c>
      <c r="F1137" s="23" t="str">
        <f aca="false">IF(E1137,D1137,"")</f>
        <v/>
      </c>
      <c r="G1137" s="21" t="n">
        <f aca="false">IF(E1137,D1137^2,0)</f>
        <v>0</v>
      </c>
      <c r="H1137" s="3"/>
    </row>
    <row r="1138" customFormat="false" ht="15" hidden="false" customHeight="true" outlineLevel="0" collapsed="false">
      <c r="A1138" s="16"/>
      <c r="B1138" s="16"/>
      <c r="C1138" s="15"/>
      <c r="D1138" s="19"/>
      <c r="E1138" s="20" t="b">
        <f aca="false">AND(A1138&lt;&gt;"",C1138&lt;&gt;"",D1138&lt;&gt;"",C1138&gt;='Read Me'!$B$5)</f>
        <v>0</v>
      </c>
      <c r="F1138" s="23" t="str">
        <f aca="false">IF(E1138,D1138,"")</f>
        <v/>
      </c>
      <c r="G1138" s="21" t="n">
        <f aca="false">IF(E1138,D1138^2,0)</f>
        <v>0</v>
      </c>
      <c r="H1138" s="3"/>
    </row>
    <row r="1139" customFormat="false" ht="15" hidden="false" customHeight="true" outlineLevel="0" collapsed="false">
      <c r="A1139" s="16"/>
      <c r="B1139" s="16"/>
      <c r="C1139" s="15"/>
      <c r="D1139" s="19"/>
      <c r="E1139" s="20" t="b">
        <f aca="false">AND(A1139&lt;&gt;"",C1139&lt;&gt;"",D1139&lt;&gt;"",C1139&gt;='Read Me'!$B$5)</f>
        <v>0</v>
      </c>
      <c r="F1139" s="23" t="str">
        <f aca="false">IF(E1139,D1139,"")</f>
        <v/>
      </c>
      <c r="G1139" s="21" t="n">
        <f aca="false">IF(E1139,D1139^2,0)</f>
        <v>0</v>
      </c>
      <c r="H1139" s="3"/>
    </row>
    <row r="1140" customFormat="false" ht="15" hidden="false" customHeight="true" outlineLevel="0" collapsed="false">
      <c r="A1140" s="16"/>
      <c r="B1140" s="16"/>
      <c r="C1140" s="15"/>
      <c r="D1140" s="19"/>
      <c r="E1140" s="20" t="b">
        <f aca="false">AND(A1140&lt;&gt;"",C1140&lt;&gt;"",D1140&lt;&gt;"",C1140&gt;='Read Me'!$B$5)</f>
        <v>0</v>
      </c>
      <c r="F1140" s="23" t="str">
        <f aca="false">IF(E1140,D1140,"")</f>
        <v/>
      </c>
      <c r="G1140" s="21" t="n">
        <f aca="false">IF(E1140,D1140^2,0)</f>
        <v>0</v>
      </c>
      <c r="H1140" s="3"/>
    </row>
    <row r="1141" customFormat="false" ht="15" hidden="false" customHeight="true" outlineLevel="0" collapsed="false">
      <c r="A1141" s="16"/>
      <c r="B1141" s="16"/>
      <c r="C1141" s="15"/>
      <c r="D1141" s="19"/>
      <c r="E1141" s="20" t="b">
        <f aca="false">AND(A1141&lt;&gt;"",C1141&lt;&gt;"",D1141&lt;&gt;"",C1141&gt;='Read Me'!$B$5)</f>
        <v>0</v>
      </c>
      <c r="F1141" s="23" t="str">
        <f aca="false">IF(E1141,D1141,"")</f>
        <v/>
      </c>
      <c r="G1141" s="21" t="n">
        <f aca="false">IF(E1141,D1141^2,0)</f>
        <v>0</v>
      </c>
      <c r="H1141" s="3"/>
    </row>
    <row r="1142" customFormat="false" ht="15" hidden="false" customHeight="true" outlineLevel="0" collapsed="false">
      <c r="A1142" s="16"/>
      <c r="B1142" s="16"/>
      <c r="C1142" s="15"/>
      <c r="D1142" s="19"/>
      <c r="E1142" s="20" t="b">
        <f aca="false">AND(A1142&lt;&gt;"",C1142&lt;&gt;"",D1142&lt;&gt;"",C1142&gt;='Read Me'!$B$5)</f>
        <v>0</v>
      </c>
      <c r="F1142" s="23" t="str">
        <f aca="false">IF(E1142,D1142,"")</f>
        <v/>
      </c>
      <c r="G1142" s="21" t="n">
        <f aca="false">IF(E1142,D1142^2,0)</f>
        <v>0</v>
      </c>
      <c r="H1142" s="3"/>
    </row>
    <row r="1143" customFormat="false" ht="15" hidden="false" customHeight="true" outlineLevel="0" collapsed="false">
      <c r="A1143" s="16"/>
      <c r="B1143" s="16"/>
      <c r="C1143" s="15"/>
      <c r="D1143" s="19"/>
      <c r="E1143" s="20" t="b">
        <f aca="false">AND(A1143&lt;&gt;"",C1143&lt;&gt;"",D1143&lt;&gt;"",C1143&gt;='Read Me'!$B$5)</f>
        <v>0</v>
      </c>
      <c r="F1143" s="23" t="str">
        <f aca="false">IF(E1143,D1143,"")</f>
        <v/>
      </c>
      <c r="G1143" s="21" t="n">
        <f aca="false">IF(E1143,D1143^2,0)</f>
        <v>0</v>
      </c>
      <c r="H1143" s="3"/>
    </row>
    <row r="1144" customFormat="false" ht="15" hidden="false" customHeight="true" outlineLevel="0" collapsed="false">
      <c r="A1144" s="16"/>
      <c r="B1144" s="16"/>
      <c r="C1144" s="15"/>
      <c r="D1144" s="19"/>
      <c r="E1144" s="20" t="b">
        <f aca="false">AND(A1144&lt;&gt;"",C1144&lt;&gt;"",D1144&lt;&gt;"",C1144&gt;='Read Me'!$B$5)</f>
        <v>0</v>
      </c>
      <c r="F1144" s="23" t="str">
        <f aca="false">IF(E1144,D1144,"")</f>
        <v/>
      </c>
      <c r="G1144" s="21" t="n">
        <f aca="false">IF(E1144,D1144^2,0)</f>
        <v>0</v>
      </c>
      <c r="H1144" s="3"/>
    </row>
    <row r="1145" customFormat="false" ht="15" hidden="false" customHeight="true" outlineLevel="0" collapsed="false">
      <c r="A1145" s="16"/>
      <c r="B1145" s="16"/>
      <c r="C1145" s="15"/>
      <c r="D1145" s="19"/>
      <c r="E1145" s="20" t="b">
        <f aca="false">AND(A1145&lt;&gt;"",C1145&lt;&gt;"",D1145&lt;&gt;"",C1145&gt;='Read Me'!$B$5)</f>
        <v>0</v>
      </c>
      <c r="F1145" s="23" t="str">
        <f aca="false">IF(E1145,D1145,"")</f>
        <v/>
      </c>
      <c r="G1145" s="21" t="n">
        <f aca="false">IF(E1145,D1145^2,0)</f>
        <v>0</v>
      </c>
      <c r="H1145" s="3"/>
    </row>
    <row r="1146" customFormat="false" ht="15" hidden="false" customHeight="true" outlineLevel="0" collapsed="false">
      <c r="A1146" s="16"/>
      <c r="B1146" s="16"/>
      <c r="C1146" s="15"/>
      <c r="D1146" s="19"/>
      <c r="E1146" s="20" t="b">
        <f aca="false">AND(A1146&lt;&gt;"",C1146&lt;&gt;"",D1146&lt;&gt;"",C1146&gt;='Read Me'!$B$5)</f>
        <v>0</v>
      </c>
      <c r="F1146" s="23" t="str">
        <f aca="false">IF(E1146,D1146,"")</f>
        <v/>
      </c>
      <c r="G1146" s="21" t="n">
        <f aca="false">IF(E1146,D1146^2,0)</f>
        <v>0</v>
      </c>
      <c r="H1146" s="3"/>
    </row>
    <row r="1147" customFormat="false" ht="15" hidden="false" customHeight="true" outlineLevel="0" collapsed="false">
      <c r="A1147" s="16"/>
      <c r="B1147" s="16"/>
      <c r="C1147" s="15"/>
      <c r="D1147" s="19"/>
      <c r="E1147" s="20" t="b">
        <f aca="false">AND(A1147&lt;&gt;"",C1147&lt;&gt;"",D1147&lt;&gt;"",C1147&gt;='Read Me'!$B$5)</f>
        <v>0</v>
      </c>
      <c r="F1147" s="23" t="str">
        <f aca="false">IF(E1147,D1147,"")</f>
        <v/>
      </c>
      <c r="G1147" s="21" t="n">
        <f aca="false">IF(E1147,D1147^2,0)</f>
        <v>0</v>
      </c>
      <c r="H1147" s="3"/>
    </row>
    <row r="1148" customFormat="false" ht="15" hidden="false" customHeight="true" outlineLevel="0" collapsed="false">
      <c r="A1148" s="16"/>
      <c r="B1148" s="16"/>
      <c r="C1148" s="15"/>
      <c r="D1148" s="19"/>
      <c r="E1148" s="20" t="b">
        <f aca="false">AND(A1148&lt;&gt;"",C1148&lt;&gt;"",D1148&lt;&gt;"",C1148&gt;='Read Me'!$B$5)</f>
        <v>0</v>
      </c>
      <c r="F1148" s="23" t="str">
        <f aca="false">IF(E1148,D1148,"")</f>
        <v/>
      </c>
      <c r="G1148" s="21" t="n">
        <f aca="false">IF(E1148,D1148^2,0)</f>
        <v>0</v>
      </c>
      <c r="H1148" s="3"/>
    </row>
    <row r="1149" customFormat="false" ht="15" hidden="false" customHeight="true" outlineLevel="0" collapsed="false">
      <c r="A1149" s="16"/>
      <c r="B1149" s="16"/>
      <c r="C1149" s="15"/>
      <c r="D1149" s="19"/>
      <c r="E1149" s="20" t="b">
        <f aca="false">AND(A1149&lt;&gt;"",C1149&lt;&gt;"",D1149&lt;&gt;"",C1149&gt;='Read Me'!$B$5)</f>
        <v>0</v>
      </c>
      <c r="F1149" s="23" t="str">
        <f aca="false">IF(E1149,D1149,"")</f>
        <v/>
      </c>
      <c r="G1149" s="21" t="n">
        <f aca="false">IF(E1149,D1149^2,0)</f>
        <v>0</v>
      </c>
      <c r="H1149" s="3"/>
    </row>
    <row r="1150" customFormat="false" ht="15" hidden="false" customHeight="true" outlineLevel="0" collapsed="false">
      <c r="A1150" s="16"/>
      <c r="B1150" s="16"/>
      <c r="C1150" s="15"/>
      <c r="D1150" s="19"/>
      <c r="E1150" s="20" t="b">
        <f aca="false">AND(A1150&lt;&gt;"",C1150&lt;&gt;"",D1150&lt;&gt;"",C1150&gt;='Read Me'!$B$5)</f>
        <v>0</v>
      </c>
      <c r="F1150" s="23" t="str">
        <f aca="false">IF(E1150,D1150,"")</f>
        <v/>
      </c>
      <c r="G1150" s="21" t="n">
        <f aca="false">IF(E1150,D1150^2,0)</f>
        <v>0</v>
      </c>
      <c r="H1150" s="3"/>
    </row>
    <row r="1151" customFormat="false" ht="15" hidden="false" customHeight="true" outlineLevel="0" collapsed="false">
      <c r="A1151" s="16"/>
      <c r="B1151" s="16"/>
      <c r="C1151" s="15"/>
      <c r="D1151" s="19"/>
      <c r="E1151" s="20" t="b">
        <f aca="false">AND(A1151&lt;&gt;"",C1151&lt;&gt;"",D1151&lt;&gt;"",C1151&gt;='Read Me'!$B$5)</f>
        <v>0</v>
      </c>
      <c r="F1151" s="23" t="str">
        <f aca="false">IF(E1151,D1151,"")</f>
        <v/>
      </c>
      <c r="G1151" s="21" t="n">
        <f aca="false">IF(E1151,D1151^2,0)</f>
        <v>0</v>
      </c>
      <c r="H1151" s="3"/>
    </row>
    <row r="1152" customFormat="false" ht="15" hidden="false" customHeight="true" outlineLevel="0" collapsed="false">
      <c r="A1152" s="16"/>
      <c r="B1152" s="16"/>
      <c r="C1152" s="15"/>
      <c r="D1152" s="19"/>
      <c r="E1152" s="20" t="b">
        <f aca="false">AND(A1152&lt;&gt;"",C1152&lt;&gt;"",D1152&lt;&gt;"",C1152&gt;='Read Me'!$B$5)</f>
        <v>0</v>
      </c>
      <c r="F1152" s="23" t="str">
        <f aca="false">IF(E1152,D1152,"")</f>
        <v/>
      </c>
      <c r="G1152" s="21" t="n">
        <f aca="false">IF(E1152,D1152^2,0)</f>
        <v>0</v>
      </c>
      <c r="H1152" s="3"/>
    </row>
    <row r="1153" customFormat="false" ht="15" hidden="false" customHeight="true" outlineLevel="0" collapsed="false">
      <c r="A1153" s="16"/>
      <c r="B1153" s="16"/>
      <c r="C1153" s="15"/>
      <c r="D1153" s="19"/>
      <c r="E1153" s="20" t="b">
        <f aca="false">AND(A1153&lt;&gt;"",C1153&lt;&gt;"",D1153&lt;&gt;"",C1153&gt;='Read Me'!$B$5)</f>
        <v>0</v>
      </c>
      <c r="F1153" s="23" t="str">
        <f aca="false">IF(E1153,D1153,"")</f>
        <v/>
      </c>
      <c r="G1153" s="21" t="n">
        <f aca="false">IF(E1153,D1153^2,0)</f>
        <v>0</v>
      </c>
      <c r="H1153" s="3"/>
    </row>
    <row r="1154" customFormat="false" ht="15" hidden="false" customHeight="true" outlineLevel="0" collapsed="false">
      <c r="A1154" s="16"/>
      <c r="B1154" s="16"/>
      <c r="C1154" s="15"/>
      <c r="D1154" s="19"/>
      <c r="E1154" s="20" t="b">
        <f aca="false">AND(A1154&lt;&gt;"",C1154&lt;&gt;"",D1154&lt;&gt;"",C1154&gt;='Read Me'!$B$5)</f>
        <v>0</v>
      </c>
      <c r="F1154" s="23" t="str">
        <f aca="false">IF(E1154,D1154,"")</f>
        <v/>
      </c>
      <c r="G1154" s="21" t="n">
        <f aca="false">IF(E1154,D1154^2,0)</f>
        <v>0</v>
      </c>
      <c r="H1154" s="3"/>
    </row>
    <row r="1155" customFormat="false" ht="15" hidden="false" customHeight="true" outlineLevel="0" collapsed="false">
      <c r="A1155" s="16"/>
      <c r="B1155" s="16"/>
      <c r="C1155" s="15"/>
      <c r="D1155" s="19"/>
      <c r="E1155" s="20" t="b">
        <f aca="false">AND(A1155&lt;&gt;"",C1155&lt;&gt;"",D1155&lt;&gt;"",C1155&gt;='Read Me'!$B$5)</f>
        <v>0</v>
      </c>
      <c r="F1155" s="23" t="str">
        <f aca="false">IF(E1155,D1155,"")</f>
        <v/>
      </c>
      <c r="G1155" s="21" t="n">
        <f aca="false">IF(E1155,D1155^2,0)</f>
        <v>0</v>
      </c>
      <c r="H1155" s="3"/>
    </row>
    <row r="1156" customFormat="false" ht="15" hidden="false" customHeight="true" outlineLevel="0" collapsed="false">
      <c r="A1156" s="16"/>
      <c r="B1156" s="16"/>
      <c r="C1156" s="15"/>
      <c r="D1156" s="19"/>
      <c r="E1156" s="20" t="b">
        <f aca="false">AND(A1156&lt;&gt;"",C1156&lt;&gt;"",D1156&lt;&gt;"",C1156&gt;='Read Me'!$B$5)</f>
        <v>0</v>
      </c>
      <c r="F1156" s="23" t="str">
        <f aca="false">IF(E1156,D1156,"")</f>
        <v/>
      </c>
      <c r="G1156" s="21" t="n">
        <f aca="false">IF(E1156,D1156^2,0)</f>
        <v>0</v>
      </c>
      <c r="H1156" s="3"/>
    </row>
    <row r="1157" customFormat="false" ht="15" hidden="false" customHeight="true" outlineLevel="0" collapsed="false">
      <c r="A1157" s="16"/>
      <c r="B1157" s="16"/>
      <c r="C1157" s="15"/>
      <c r="D1157" s="19"/>
      <c r="E1157" s="20" t="b">
        <f aca="false">AND(A1157&lt;&gt;"",C1157&lt;&gt;"",D1157&lt;&gt;"",C1157&gt;='Read Me'!$B$5)</f>
        <v>0</v>
      </c>
      <c r="F1157" s="23" t="str">
        <f aca="false">IF(E1157,D1157,"")</f>
        <v/>
      </c>
      <c r="G1157" s="21" t="n">
        <f aca="false">IF(E1157,D1157^2,0)</f>
        <v>0</v>
      </c>
      <c r="H1157" s="3"/>
    </row>
    <row r="1158" customFormat="false" ht="15" hidden="false" customHeight="true" outlineLevel="0" collapsed="false">
      <c r="A1158" s="16"/>
      <c r="B1158" s="16"/>
      <c r="C1158" s="15"/>
      <c r="D1158" s="19"/>
      <c r="E1158" s="20" t="b">
        <f aca="false">AND(A1158&lt;&gt;"",C1158&lt;&gt;"",D1158&lt;&gt;"",C1158&gt;='Read Me'!$B$5)</f>
        <v>0</v>
      </c>
      <c r="F1158" s="23" t="str">
        <f aca="false">IF(E1158,D1158,"")</f>
        <v/>
      </c>
      <c r="G1158" s="21" t="n">
        <f aca="false">IF(E1158,D1158^2,0)</f>
        <v>0</v>
      </c>
      <c r="H1158" s="3"/>
    </row>
    <row r="1159" customFormat="false" ht="15" hidden="false" customHeight="true" outlineLevel="0" collapsed="false">
      <c r="A1159" s="16"/>
      <c r="B1159" s="16"/>
      <c r="C1159" s="15"/>
      <c r="D1159" s="19"/>
      <c r="E1159" s="20" t="b">
        <f aca="false">AND(A1159&lt;&gt;"",C1159&lt;&gt;"",D1159&lt;&gt;"",C1159&gt;='Read Me'!$B$5)</f>
        <v>0</v>
      </c>
      <c r="F1159" s="23" t="str">
        <f aca="false">IF(E1159,D1159,"")</f>
        <v/>
      </c>
      <c r="G1159" s="21" t="n">
        <f aca="false">IF(E1159,D1159^2,0)</f>
        <v>0</v>
      </c>
      <c r="H1159" s="3"/>
    </row>
    <row r="1160" customFormat="false" ht="15" hidden="false" customHeight="true" outlineLevel="0" collapsed="false">
      <c r="A1160" s="16"/>
      <c r="B1160" s="16"/>
      <c r="C1160" s="15"/>
      <c r="D1160" s="19"/>
      <c r="E1160" s="20" t="b">
        <f aca="false">AND(A1160&lt;&gt;"",C1160&lt;&gt;"",D1160&lt;&gt;"",C1160&gt;='Read Me'!$B$5)</f>
        <v>0</v>
      </c>
      <c r="F1160" s="23" t="str">
        <f aca="false">IF(E1160,D1160,"")</f>
        <v/>
      </c>
      <c r="G1160" s="21" t="n">
        <f aca="false">IF(E1160,D1160^2,0)</f>
        <v>0</v>
      </c>
      <c r="H1160" s="3"/>
    </row>
    <row r="1161" customFormat="false" ht="15" hidden="false" customHeight="true" outlineLevel="0" collapsed="false">
      <c r="A1161" s="16"/>
      <c r="B1161" s="16"/>
      <c r="C1161" s="15"/>
      <c r="D1161" s="19"/>
      <c r="E1161" s="20" t="b">
        <f aca="false">AND(A1161&lt;&gt;"",C1161&lt;&gt;"",D1161&lt;&gt;"",C1161&gt;='Read Me'!$B$5)</f>
        <v>0</v>
      </c>
      <c r="F1161" s="23" t="str">
        <f aca="false">IF(E1161,D1161,"")</f>
        <v/>
      </c>
      <c r="G1161" s="21" t="n">
        <f aca="false">IF(E1161,D1161^2,0)</f>
        <v>0</v>
      </c>
      <c r="H1161" s="3"/>
    </row>
    <row r="1162" customFormat="false" ht="15" hidden="false" customHeight="true" outlineLevel="0" collapsed="false">
      <c r="A1162" s="16"/>
      <c r="B1162" s="16"/>
      <c r="C1162" s="15"/>
      <c r="D1162" s="19"/>
      <c r="E1162" s="20" t="b">
        <f aca="false">AND(A1162&lt;&gt;"",C1162&lt;&gt;"",D1162&lt;&gt;"",C1162&gt;='Read Me'!$B$5)</f>
        <v>0</v>
      </c>
      <c r="F1162" s="23" t="str">
        <f aca="false">IF(E1162,D1162,"")</f>
        <v/>
      </c>
      <c r="G1162" s="21" t="n">
        <f aca="false">IF(E1162,D1162^2,0)</f>
        <v>0</v>
      </c>
      <c r="H1162" s="3"/>
    </row>
    <row r="1163" customFormat="false" ht="15" hidden="false" customHeight="true" outlineLevel="0" collapsed="false">
      <c r="A1163" s="16"/>
      <c r="B1163" s="16"/>
      <c r="C1163" s="15"/>
      <c r="D1163" s="19"/>
      <c r="E1163" s="20" t="b">
        <f aca="false">AND(A1163&lt;&gt;"",C1163&lt;&gt;"",D1163&lt;&gt;"",C1163&gt;='Read Me'!$B$5)</f>
        <v>0</v>
      </c>
      <c r="F1163" s="23" t="str">
        <f aca="false">IF(E1163,D1163,"")</f>
        <v/>
      </c>
      <c r="G1163" s="21" t="n">
        <f aca="false">IF(E1163,D1163^2,0)</f>
        <v>0</v>
      </c>
      <c r="H1163" s="3"/>
    </row>
    <row r="1164" customFormat="false" ht="15" hidden="false" customHeight="true" outlineLevel="0" collapsed="false">
      <c r="A1164" s="16"/>
      <c r="B1164" s="16"/>
      <c r="C1164" s="15"/>
      <c r="D1164" s="19"/>
      <c r="E1164" s="20" t="b">
        <f aca="false">AND(A1164&lt;&gt;"",C1164&lt;&gt;"",D1164&lt;&gt;"",C1164&gt;='Read Me'!$B$5)</f>
        <v>0</v>
      </c>
      <c r="F1164" s="23" t="str">
        <f aca="false">IF(E1164,D1164,"")</f>
        <v/>
      </c>
      <c r="G1164" s="21" t="n">
        <f aca="false">IF(E1164,D1164^2,0)</f>
        <v>0</v>
      </c>
      <c r="H1164" s="3"/>
    </row>
    <row r="1165" customFormat="false" ht="15" hidden="false" customHeight="true" outlineLevel="0" collapsed="false">
      <c r="A1165" s="16"/>
      <c r="B1165" s="16"/>
      <c r="C1165" s="15"/>
      <c r="D1165" s="19"/>
      <c r="E1165" s="20" t="b">
        <f aca="false">AND(A1165&lt;&gt;"",C1165&lt;&gt;"",D1165&lt;&gt;"",C1165&gt;='Read Me'!$B$5)</f>
        <v>0</v>
      </c>
      <c r="F1165" s="23" t="str">
        <f aca="false">IF(E1165,D1165,"")</f>
        <v/>
      </c>
      <c r="G1165" s="21" t="n">
        <f aca="false">IF(E1165,D1165^2,0)</f>
        <v>0</v>
      </c>
      <c r="H1165" s="3"/>
    </row>
    <row r="1166" customFormat="false" ht="15" hidden="false" customHeight="true" outlineLevel="0" collapsed="false">
      <c r="A1166" s="16"/>
      <c r="B1166" s="16"/>
      <c r="C1166" s="15"/>
      <c r="D1166" s="19"/>
      <c r="E1166" s="20" t="b">
        <f aca="false">AND(A1166&lt;&gt;"",C1166&lt;&gt;"",D1166&lt;&gt;"",C1166&gt;='Read Me'!$B$5)</f>
        <v>0</v>
      </c>
      <c r="F1166" s="23" t="str">
        <f aca="false">IF(E1166,D1166,"")</f>
        <v/>
      </c>
      <c r="G1166" s="21" t="n">
        <f aca="false">IF(E1166,D1166^2,0)</f>
        <v>0</v>
      </c>
      <c r="H1166" s="3"/>
    </row>
    <row r="1167" customFormat="false" ht="15" hidden="false" customHeight="true" outlineLevel="0" collapsed="false">
      <c r="A1167" s="16"/>
      <c r="B1167" s="16"/>
      <c r="C1167" s="15"/>
      <c r="D1167" s="19"/>
      <c r="E1167" s="20" t="b">
        <f aca="false">AND(A1167&lt;&gt;"",C1167&lt;&gt;"",D1167&lt;&gt;"",C1167&gt;='Read Me'!$B$5)</f>
        <v>0</v>
      </c>
      <c r="F1167" s="23" t="str">
        <f aca="false">IF(E1167,D1167,"")</f>
        <v/>
      </c>
      <c r="G1167" s="21" t="n">
        <f aca="false">IF(E1167,D1167^2,0)</f>
        <v>0</v>
      </c>
      <c r="H1167" s="3"/>
    </row>
    <row r="1168" customFormat="false" ht="15" hidden="false" customHeight="true" outlineLevel="0" collapsed="false">
      <c r="A1168" s="16"/>
      <c r="B1168" s="16"/>
      <c r="C1168" s="15"/>
      <c r="D1168" s="19"/>
      <c r="E1168" s="20" t="b">
        <f aca="false">AND(A1168&lt;&gt;"",C1168&lt;&gt;"",D1168&lt;&gt;"",C1168&gt;='Read Me'!$B$5)</f>
        <v>0</v>
      </c>
      <c r="F1168" s="23" t="str">
        <f aca="false">IF(E1168,D1168,"")</f>
        <v/>
      </c>
      <c r="G1168" s="21" t="n">
        <f aca="false">IF(E1168,D1168^2,0)</f>
        <v>0</v>
      </c>
      <c r="H1168" s="3"/>
    </row>
    <row r="1169" customFormat="false" ht="15" hidden="false" customHeight="true" outlineLevel="0" collapsed="false">
      <c r="A1169" s="16"/>
      <c r="B1169" s="16"/>
      <c r="C1169" s="15"/>
      <c r="D1169" s="19"/>
      <c r="E1169" s="20" t="b">
        <f aca="false">AND(A1169&lt;&gt;"",C1169&lt;&gt;"",D1169&lt;&gt;"",C1169&gt;='Read Me'!$B$5)</f>
        <v>0</v>
      </c>
      <c r="F1169" s="23" t="str">
        <f aca="false">IF(E1169,D1169,"")</f>
        <v/>
      </c>
      <c r="G1169" s="21" t="n">
        <f aca="false">IF(E1169,D1169^2,0)</f>
        <v>0</v>
      </c>
      <c r="H1169" s="3"/>
    </row>
    <row r="1170" customFormat="false" ht="15" hidden="false" customHeight="true" outlineLevel="0" collapsed="false">
      <c r="A1170" s="16"/>
      <c r="B1170" s="16"/>
      <c r="C1170" s="15"/>
      <c r="D1170" s="19"/>
      <c r="E1170" s="20" t="b">
        <f aca="false">AND(A1170&lt;&gt;"",C1170&lt;&gt;"",D1170&lt;&gt;"",C1170&gt;='Read Me'!$B$5)</f>
        <v>0</v>
      </c>
      <c r="F1170" s="23" t="str">
        <f aca="false">IF(E1170,D1170,"")</f>
        <v/>
      </c>
      <c r="G1170" s="21" t="n">
        <f aca="false">IF(E1170,D1170^2,0)</f>
        <v>0</v>
      </c>
      <c r="H1170" s="3"/>
    </row>
    <row r="1171" customFormat="false" ht="15" hidden="false" customHeight="true" outlineLevel="0" collapsed="false">
      <c r="A1171" s="16"/>
      <c r="B1171" s="16"/>
      <c r="C1171" s="15"/>
      <c r="D1171" s="19"/>
      <c r="E1171" s="20" t="b">
        <f aca="false">AND(A1171&lt;&gt;"",C1171&lt;&gt;"",D1171&lt;&gt;"",C1171&gt;='Read Me'!$B$5)</f>
        <v>0</v>
      </c>
      <c r="F1171" s="23" t="str">
        <f aca="false">IF(E1171,D1171,"")</f>
        <v/>
      </c>
      <c r="G1171" s="21" t="n">
        <f aca="false">IF(E1171,D1171^2,0)</f>
        <v>0</v>
      </c>
      <c r="H1171" s="3"/>
    </row>
    <row r="1172" customFormat="false" ht="15" hidden="false" customHeight="true" outlineLevel="0" collapsed="false">
      <c r="A1172" s="16"/>
      <c r="B1172" s="16"/>
      <c r="C1172" s="15"/>
      <c r="D1172" s="19"/>
      <c r="E1172" s="20" t="b">
        <f aca="false">AND(A1172&lt;&gt;"",C1172&lt;&gt;"",D1172&lt;&gt;"",C1172&gt;='Read Me'!$B$5)</f>
        <v>0</v>
      </c>
      <c r="F1172" s="23" t="str">
        <f aca="false">IF(E1172,D1172,"")</f>
        <v/>
      </c>
      <c r="G1172" s="21" t="n">
        <f aca="false">IF(E1172,D1172^2,0)</f>
        <v>0</v>
      </c>
      <c r="H1172" s="3"/>
    </row>
    <row r="1173" customFormat="false" ht="15" hidden="false" customHeight="true" outlineLevel="0" collapsed="false">
      <c r="A1173" s="16"/>
      <c r="B1173" s="16"/>
      <c r="C1173" s="15"/>
      <c r="D1173" s="19"/>
      <c r="E1173" s="20" t="b">
        <f aca="false">AND(A1173&lt;&gt;"",C1173&lt;&gt;"",D1173&lt;&gt;"",C1173&gt;='Read Me'!$B$5)</f>
        <v>0</v>
      </c>
      <c r="F1173" s="23" t="str">
        <f aca="false">IF(E1173,D1173,"")</f>
        <v/>
      </c>
      <c r="G1173" s="21" t="n">
        <f aca="false">IF(E1173,D1173^2,0)</f>
        <v>0</v>
      </c>
      <c r="H1173" s="3"/>
    </row>
    <row r="1174" customFormat="false" ht="15" hidden="false" customHeight="true" outlineLevel="0" collapsed="false">
      <c r="A1174" s="16"/>
      <c r="B1174" s="16"/>
      <c r="C1174" s="15"/>
      <c r="D1174" s="19"/>
      <c r="E1174" s="20" t="b">
        <f aca="false">AND(A1174&lt;&gt;"",C1174&lt;&gt;"",D1174&lt;&gt;"",C1174&gt;='Read Me'!$B$5)</f>
        <v>0</v>
      </c>
      <c r="F1174" s="23" t="str">
        <f aca="false">IF(E1174,D1174,"")</f>
        <v/>
      </c>
      <c r="G1174" s="21" t="n">
        <f aca="false">IF(E1174,D1174^2,0)</f>
        <v>0</v>
      </c>
      <c r="H1174" s="3"/>
    </row>
    <row r="1175" customFormat="false" ht="15" hidden="false" customHeight="true" outlineLevel="0" collapsed="false">
      <c r="A1175" s="16"/>
      <c r="B1175" s="16"/>
      <c r="C1175" s="15"/>
      <c r="D1175" s="19"/>
      <c r="E1175" s="20" t="b">
        <f aca="false">AND(A1175&lt;&gt;"",C1175&lt;&gt;"",D1175&lt;&gt;"",C1175&gt;='Read Me'!$B$5)</f>
        <v>0</v>
      </c>
      <c r="F1175" s="23" t="str">
        <f aca="false">IF(E1175,D1175,"")</f>
        <v/>
      </c>
      <c r="G1175" s="21" t="n">
        <f aca="false">IF(E1175,D1175^2,0)</f>
        <v>0</v>
      </c>
      <c r="H1175" s="3"/>
    </row>
    <row r="1176" customFormat="false" ht="15" hidden="false" customHeight="true" outlineLevel="0" collapsed="false">
      <c r="A1176" s="16"/>
      <c r="B1176" s="16"/>
      <c r="C1176" s="15"/>
      <c r="D1176" s="19"/>
      <c r="E1176" s="20" t="b">
        <f aca="false">AND(A1176&lt;&gt;"",C1176&lt;&gt;"",D1176&lt;&gt;"",C1176&gt;='Read Me'!$B$5)</f>
        <v>0</v>
      </c>
      <c r="F1176" s="23" t="str">
        <f aca="false">IF(E1176,D1176,"")</f>
        <v/>
      </c>
      <c r="G1176" s="21" t="n">
        <f aca="false">IF(E1176,D1176^2,0)</f>
        <v>0</v>
      </c>
      <c r="H1176" s="3"/>
    </row>
    <row r="1177" customFormat="false" ht="15" hidden="false" customHeight="true" outlineLevel="0" collapsed="false">
      <c r="A1177" s="16"/>
      <c r="B1177" s="16"/>
      <c r="C1177" s="15"/>
      <c r="D1177" s="19"/>
      <c r="E1177" s="20" t="b">
        <f aca="false">AND(A1177&lt;&gt;"",C1177&lt;&gt;"",D1177&lt;&gt;"",C1177&gt;='Read Me'!$B$5)</f>
        <v>0</v>
      </c>
      <c r="F1177" s="23" t="str">
        <f aca="false">IF(E1177,D1177,"")</f>
        <v/>
      </c>
      <c r="G1177" s="21" t="n">
        <f aca="false">IF(E1177,D1177^2,0)</f>
        <v>0</v>
      </c>
      <c r="H1177" s="3"/>
    </row>
    <row r="1178" customFormat="false" ht="15" hidden="false" customHeight="true" outlineLevel="0" collapsed="false">
      <c r="A1178" s="16"/>
      <c r="B1178" s="16"/>
      <c r="C1178" s="15"/>
      <c r="D1178" s="19"/>
      <c r="E1178" s="20" t="b">
        <f aca="false">AND(A1178&lt;&gt;"",C1178&lt;&gt;"",D1178&lt;&gt;"",C1178&gt;='Read Me'!$B$5)</f>
        <v>0</v>
      </c>
      <c r="F1178" s="23" t="str">
        <f aca="false">IF(E1178,D1178,"")</f>
        <v/>
      </c>
      <c r="G1178" s="21" t="n">
        <f aca="false">IF(E1178,D1178^2,0)</f>
        <v>0</v>
      </c>
      <c r="H1178" s="3"/>
    </row>
    <row r="1179" customFormat="false" ht="15" hidden="false" customHeight="true" outlineLevel="0" collapsed="false">
      <c r="A1179" s="16"/>
      <c r="B1179" s="16"/>
      <c r="C1179" s="15"/>
      <c r="D1179" s="19"/>
      <c r="E1179" s="20" t="b">
        <f aca="false">AND(A1179&lt;&gt;"",C1179&lt;&gt;"",D1179&lt;&gt;"",C1179&gt;='Read Me'!$B$5)</f>
        <v>0</v>
      </c>
      <c r="F1179" s="23" t="str">
        <f aca="false">IF(E1179,D1179,"")</f>
        <v/>
      </c>
      <c r="G1179" s="21" t="n">
        <f aca="false">IF(E1179,D1179^2,0)</f>
        <v>0</v>
      </c>
      <c r="H1179" s="3"/>
    </row>
    <row r="1180" customFormat="false" ht="15" hidden="false" customHeight="true" outlineLevel="0" collapsed="false">
      <c r="A1180" s="16"/>
      <c r="B1180" s="16"/>
      <c r="C1180" s="15"/>
      <c r="D1180" s="19"/>
      <c r="E1180" s="20" t="b">
        <f aca="false">AND(A1180&lt;&gt;"",C1180&lt;&gt;"",D1180&lt;&gt;"",C1180&gt;='Read Me'!$B$5)</f>
        <v>0</v>
      </c>
      <c r="F1180" s="23" t="str">
        <f aca="false">IF(E1180,D1180,"")</f>
        <v/>
      </c>
      <c r="G1180" s="21" t="n">
        <f aca="false">IF(E1180,D1180^2,0)</f>
        <v>0</v>
      </c>
      <c r="H1180" s="3"/>
    </row>
    <row r="1181" customFormat="false" ht="15" hidden="false" customHeight="true" outlineLevel="0" collapsed="false">
      <c r="A1181" s="16"/>
      <c r="B1181" s="16"/>
      <c r="C1181" s="15"/>
      <c r="D1181" s="19"/>
      <c r="E1181" s="20" t="b">
        <f aca="false">AND(A1181&lt;&gt;"",C1181&lt;&gt;"",D1181&lt;&gt;"",C1181&gt;='Read Me'!$B$5)</f>
        <v>0</v>
      </c>
      <c r="F1181" s="23" t="str">
        <f aca="false">IF(E1181,D1181,"")</f>
        <v/>
      </c>
      <c r="G1181" s="21" t="n">
        <f aca="false">IF(E1181,D1181^2,0)</f>
        <v>0</v>
      </c>
      <c r="H1181" s="3"/>
    </row>
    <row r="1182" customFormat="false" ht="15" hidden="false" customHeight="true" outlineLevel="0" collapsed="false">
      <c r="A1182" s="16"/>
      <c r="B1182" s="16"/>
      <c r="C1182" s="15"/>
      <c r="D1182" s="19"/>
      <c r="E1182" s="20" t="b">
        <f aca="false">AND(A1182&lt;&gt;"",C1182&lt;&gt;"",D1182&lt;&gt;"",C1182&gt;='Read Me'!$B$5)</f>
        <v>0</v>
      </c>
      <c r="F1182" s="23" t="str">
        <f aca="false">IF(E1182,D1182,"")</f>
        <v/>
      </c>
      <c r="G1182" s="21" t="n">
        <f aca="false">IF(E1182,D1182^2,0)</f>
        <v>0</v>
      </c>
      <c r="H1182" s="3"/>
    </row>
    <row r="1183" customFormat="false" ht="15" hidden="false" customHeight="true" outlineLevel="0" collapsed="false">
      <c r="A1183" s="16"/>
      <c r="B1183" s="16"/>
      <c r="C1183" s="15"/>
      <c r="D1183" s="19"/>
      <c r="E1183" s="20" t="b">
        <f aca="false">AND(A1183&lt;&gt;"",C1183&lt;&gt;"",D1183&lt;&gt;"",C1183&gt;='Read Me'!$B$5)</f>
        <v>0</v>
      </c>
      <c r="F1183" s="23" t="str">
        <f aca="false">IF(E1183,D1183,"")</f>
        <v/>
      </c>
      <c r="G1183" s="21" t="n">
        <f aca="false">IF(E1183,D1183^2,0)</f>
        <v>0</v>
      </c>
      <c r="H1183" s="3"/>
    </row>
    <row r="1184" customFormat="false" ht="15" hidden="false" customHeight="true" outlineLevel="0" collapsed="false">
      <c r="A1184" s="16"/>
      <c r="B1184" s="16"/>
      <c r="C1184" s="15"/>
      <c r="D1184" s="19"/>
      <c r="E1184" s="20" t="b">
        <f aca="false">AND(A1184&lt;&gt;"",C1184&lt;&gt;"",D1184&lt;&gt;"",C1184&gt;='Read Me'!$B$5)</f>
        <v>0</v>
      </c>
      <c r="F1184" s="23" t="str">
        <f aca="false">IF(E1184,D1184,"")</f>
        <v/>
      </c>
      <c r="G1184" s="21" t="n">
        <f aca="false">IF(E1184,D1184^2,0)</f>
        <v>0</v>
      </c>
      <c r="H1184" s="3"/>
    </row>
    <row r="1185" customFormat="false" ht="15" hidden="false" customHeight="true" outlineLevel="0" collapsed="false">
      <c r="A1185" s="16"/>
      <c r="B1185" s="16"/>
      <c r="C1185" s="15"/>
      <c r="D1185" s="19"/>
      <c r="E1185" s="20" t="b">
        <f aca="false">AND(A1185&lt;&gt;"",C1185&lt;&gt;"",D1185&lt;&gt;"",C1185&gt;='Read Me'!$B$5)</f>
        <v>0</v>
      </c>
      <c r="F1185" s="23" t="str">
        <f aca="false">IF(E1185,D1185,"")</f>
        <v/>
      </c>
      <c r="G1185" s="21" t="n">
        <f aca="false">IF(E1185,D1185^2,0)</f>
        <v>0</v>
      </c>
      <c r="H1185" s="3"/>
    </row>
    <row r="1186" customFormat="false" ht="15" hidden="false" customHeight="true" outlineLevel="0" collapsed="false">
      <c r="A1186" s="16"/>
      <c r="B1186" s="16"/>
      <c r="C1186" s="15"/>
      <c r="D1186" s="19"/>
      <c r="E1186" s="20" t="b">
        <f aca="false">AND(A1186&lt;&gt;"",C1186&lt;&gt;"",D1186&lt;&gt;"",C1186&gt;='Read Me'!$B$5)</f>
        <v>0</v>
      </c>
      <c r="F1186" s="23" t="str">
        <f aca="false">IF(E1186,D1186,"")</f>
        <v/>
      </c>
      <c r="G1186" s="21" t="n">
        <f aca="false">IF(E1186,D1186^2,0)</f>
        <v>0</v>
      </c>
      <c r="H1186" s="3"/>
    </row>
    <row r="1187" customFormat="false" ht="15" hidden="false" customHeight="true" outlineLevel="0" collapsed="false">
      <c r="A1187" s="16"/>
      <c r="B1187" s="16"/>
      <c r="C1187" s="15"/>
      <c r="D1187" s="19"/>
      <c r="E1187" s="20" t="b">
        <f aca="false">AND(A1187&lt;&gt;"",C1187&lt;&gt;"",D1187&lt;&gt;"",C1187&gt;='Read Me'!$B$5)</f>
        <v>0</v>
      </c>
      <c r="F1187" s="23" t="str">
        <f aca="false">IF(E1187,D1187,"")</f>
        <v/>
      </c>
      <c r="G1187" s="21" t="n">
        <f aca="false">IF(E1187,D1187^2,0)</f>
        <v>0</v>
      </c>
      <c r="H1187" s="3"/>
    </row>
    <row r="1188" customFormat="false" ht="15" hidden="false" customHeight="true" outlineLevel="0" collapsed="false">
      <c r="A1188" s="16"/>
      <c r="B1188" s="16"/>
      <c r="C1188" s="15"/>
      <c r="D1188" s="19"/>
      <c r="E1188" s="20" t="b">
        <f aca="false">AND(A1188&lt;&gt;"",C1188&lt;&gt;"",D1188&lt;&gt;"",C1188&gt;='Read Me'!$B$5)</f>
        <v>0</v>
      </c>
      <c r="F1188" s="23" t="str">
        <f aca="false">IF(E1188,D1188,"")</f>
        <v/>
      </c>
      <c r="G1188" s="21" t="n">
        <f aca="false">IF(E1188,D1188^2,0)</f>
        <v>0</v>
      </c>
      <c r="H1188" s="3"/>
    </row>
    <row r="1189" customFormat="false" ht="15" hidden="false" customHeight="true" outlineLevel="0" collapsed="false">
      <c r="A1189" s="16"/>
      <c r="B1189" s="16"/>
      <c r="C1189" s="15"/>
      <c r="D1189" s="19"/>
      <c r="E1189" s="20" t="b">
        <f aca="false">AND(A1189&lt;&gt;"",C1189&lt;&gt;"",D1189&lt;&gt;"",C1189&gt;='Read Me'!$B$5)</f>
        <v>0</v>
      </c>
      <c r="F1189" s="23" t="str">
        <f aca="false">IF(E1189,D1189,"")</f>
        <v/>
      </c>
      <c r="G1189" s="21" t="n">
        <f aca="false">IF(E1189,D1189^2,0)</f>
        <v>0</v>
      </c>
      <c r="H1189" s="3"/>
    </row>
    <row r="1190" customFormat="false" ht="15" hidden="false" customHeight="true" outlineLevel="0" collapsed="false">
      <c r="A1190" s="16"/>
      <c r="B1190" s="16"/>
      <c r="C1190" s="15"/>
      <c r="D1190" s="19"/>
      <c r="E1190" s="20" t="b">
        <f aca="false">AND(A1190&lt;&gt;"",C1190&lt;&gt;"",D1190&lt;&gt;"",C1190&gt;='Read Me'!$B$5)</f>
        <v>0</v>
      </c>
      <c r="F1190" s="23" t="str">
        <f aca="false">IF(E1190,D1190,"")</f>
        <v/>
      </c>
      <c r="G1190" s="21" t="n">
        <f aca="false">IF(E1190,D1190^2,0)</f>
        <v>0</v>
      </c>
      <c r="H1190" s="3"/>
    </row>
    <row r="1191" customFormat="false" ht="15" hidden="false" customHeight="true" outlineLevel="0" collapsed="false">
      <c r="A1191" s="16"/>
      <c r="B1191" s="16"/>
      <c r="C1191" s="15"/>
      <c r="D1191" s="19"/>
      <c r="E1191" s="20" t="b">
        <f aca="false">AND(A1191&lt;&gt;"",C1191&lt;&gt;"",D1191&lt;&gt;"",C1191&gt;='Read Me'!$B$5)</f>
        <v>0</v>
      </c>
      <c r="F1191" s="23" t="str">
        <f aca="false">IF(E1191,D1191,"")</f>
        <v/>
      </c>
      <c r="G1191" s="21" t="n">
        <f aca="false">IF(E1191,D1191^2,0)</f>
        <v>0</v>
      </c>
      <c r="H1191" s="3"/>
    </row>
    <row r="1192" customFormat="false" ht="15" hidden="false" customHeight="true" outlineLevel="0" collapsed="false">
      <c r="A1192" s="16"/>
      <c r="B1192" s="16"/>
      <c r="C1192" s="15"/>
      <c r="D1192" s="19"/>
      <c r="E1192" s="20" t="b">
        <f aca="false">AND(A1192&lt;&gt;"",C1192&lt;&gt;"",D1192&lt;&gt;"",C1192&gt;='Read Me'!$B$5)</f>
        <v>0</v>
      </c>
      <c r="F1192" s="23" t="str">
        <f aca="false">IF(E1192,D1192,"")</f>
        <v/>
      </c>
      <c r="G1192" s="21" t="n">
        <f aca="false">IF(E1192,D1192^2,0)</f>
        <v>0</v>
      </c>
      <c r="H1192" s="3"/>
    </row>
    <row r="1193" customFormat="false" ht="15" hidden="false" customHeight="true" outlineLevel="0" collapsed="false">
      <c r="A1193" s="16"/>
      <c r="B1193" s="16"/>
      <c r="C1193" s="15"/>
      <c r="D1193" s="19"/>
      <c r="E1193" s="20" t="b">
        <f aca="false">AND(A1193&lt;&gt;"",C1193&lt;&gt;"",D1193&lt;&gt;"",C1193&gt;='Read Me'!$B$5)</f>
        <v>0</v>
      </c>
      <c r="F1193" s="23" t="str">
        <f aca="false">IF(E1193,D1193,"")</f>
        <v/>
      </c>
      <c r="G1193" s="21" t="n">
        <f aca="false">IF(E1193,D1193^2,0)</f>
        <v>0</v>
      </c>
      <c r="H1193" s="3"/>
    </row>
    <row r="1194" customFormat="false" ht="15" hidden="false" customHeight="true" outlineLevel="0" collapsed="false">
      <c r="A1194" s="16"/>
      <c r="B1194" s="16"/>
      <c r="C1194" s="15"/>
      <c r="D1194" s="19"/>
      <c r="E1194" s="20" t="b">
        <f aca="false">AND(A1194&lt;&gt;"",C1194&lt;&gt;"",D1194&lt;&gt;"",C1194&gt;='Read Me'!$B$5)</f>
        <v>0</v>
      </c>
      <c r="F1194" s="23" t="str">
        <f aca="false">IF(E1194,D1194,"")</f>
        <v/>
      </c>
      <c r="G1194" s="21" t="n">
        <f aca="false">IF(E1194,D1194^2,0)</f>
        <v>0</v>
      </c>
      <c r="H1194" s="3"/>
    </row>
    <row r="1195" customFormat="false" ht="15" hidden="false" customHeight="true" outlineLevel="0" collapsed="false">
      <c r="A1195" s="16"/>
      <c r="B1195" s="16"/>
      <c r="C1195" s="15"/>
      <c r="D1195" s="19"/>
      <c r="E1195" s="20" t="b">
        <f aca="false">AND(A1195&lt;&gt;"",C1195&lt;&gt;"",D1195&lt;&gt;"",C1195&gt;='Read Me'!$B$5)</f>
        <v>0</v>
      </c>
      <c r="F1195" s="23" t="str">
        <f aca="false">IF(E1195,D1195,"")</f>
        <v/>
      </c>
      <c r="G1195" s="21" t="n">
        <f aca="false">IF(E1195,D1195^2,0)</f>
        <v>0</v>
      </c>
      <c r="H1195" s="3"/>
    </row>
    <row r="1196" customFormat="false" ht="15" hidden="false" customHeight="true" outlineLevel="0" collapsed="false">
      <c r="A1196" s="16"/>
      <c r="B1196" s="16"/>
      <c r="C1196" s="15"/>
      <c r="D1196" s="19"/>
      <c r="E1196" s="20" t="b">
        <f aca="false">AND(A1196&lt;&gt;"",C1196&lt;&gt;"",D1196&lt;&gt;"",C1196&gt;='Read Me'!$B$5)</f>
        <v>0</v>
      </c>
      <c r="F1196" s="23" t="str">
        <f aca="false">IF(E1196,D1196,"")</f>
        <v/>
      </c>
      <c r="G1196" s="21" t="n">
        <f aca="false">IF(E1196,D1196^2,0)</f>
        <v>0</v>
      </c>
      <c r="H1196" s="3"/>
    </row>
    <row r="1197" customFormat="false" ht="15" hidden="false" customHeight="true" outlineLevel="0" collapsed="false">
      <c r="A1197" s="16"/>
      <c r="B1197" s="16"/>
      <c r="C1197" s="15"/>
      <c r="D1197" s="19"/>
      <c r="E1197" s="20" t="b">
        <f aca="false">AND(A1197&lt;&gt;"",C1197&lt;&gt;"",D1197&lt;&gt;"",C1197&gt;='Read Me'!$B$5)</f>
        <v>0</v>
      </c>
      <c r="F1197" s="23" t="str">
        <f aca="false">IF(E1197,D1197,"")</f>
        <v/>
      </c>
      <c r="G1197" s="21" t="n">
        <f aca="false">IF(E1197,D1197^2,0)</f>
        <v>0</v>
      </c>
      <c r="H1197" s="3"/>
    </row>
    <row r="1198" customFormat="false" ht="15" hidden="false" customHeight="true" outlineLevel="0" collapsed="false">
      <c r="A1198" s="16"/>
      <c r="B1198" s="16"/>
      <c r="C1198" s="15"/>
      <c r="D1198" s="19"/>
      <c r="E1198" s="20" t="b">
        <f aca="false">AND(A1198&lt;&gt;"",C1198&lt;&gt;"",D1198&lt;&gt;"",C1198&gt;='Read Me'!$B$5)</f>
        <v>0</v>
      </c>
      <c r="F1198" s="23" t="str">
        <f aca="false">IF(E1198,D1198,"")</f>
        <v/>
      </c>
      <c r="G1198" s="21" t="n">
        <f aca="false">IF(E1198,D1198^2,0)</f>
        <v>0</v>
      </c>
      <c r="H1198" s="3"/>
    </row>
    <row r="1199" customFormat="false" ht="15" hidden="false" customHeight="true" outlineLevel="0" collapsed="false">
      <c r="A1199" s="16"/>
      <c r="B1199" s="16"/>
      <c r="C1199" s="15"/>
      <c r="D1199" s="19"/>
      <c r="E1199" s="20" t="b">
        <f aca="false">AND(A1199&lt;&gt;"",C1199&lt;&gt;"",D1199&lt;&gt;"",C1199&gt;='Read Me'!$B$5)</f>
        <v>0</v>
      </c>
      <c r="F1199" s="23" t="str">
        <f aca="false">IF(E1199,D1199,"")</f>
        <v/>
      </c>
      <c r="G1199" s="21" t="n">
        <f aca="false">IF(E1199,D1199^2,0)</f>
        <v>0</v>
      </c>
      <c r="H1199" s="3"/>
    </row>
    <row r="1200" customFormat="false" ht="15" hidden="false" customHeight="true" outlineLevel="0" collapsed="false">
      <c r="A1200" s="16"/>
      <c r="B1200" s="16"/>
      <c r="C1200" s="15"/>
      <c r="D1200" s="19"/>
      <c r="E1200" s="20" t="b">
        <f aca="false">AND(A1200&lt;&gt;"",C1200&lt;&gt;"",D1200&lt;&gt;"",C1200&gt;='Read Me'!$B$5)</f>
        <v>0</v>
      </c>
      <c r="F1200" s="23" t="str">
        <f aca="false">IF(E1200,D1200,"")</f>
        <v/>
      </c>
      <c r="G1200" s="21" t="n">
        <f aca="false">IF(E1200,D1200^2,0)</f>
        <v>0</v>
      </c>
      <c r="H1200" s="3"/>
    </row>
    <row r="1201" customFormat="false" ht="15" hidden="false" customHeight="true" outlineLevel="0" collapsed="false">
      <c r="A1201" s="16"/>
      <c r="B1201" s="16"/>
      <c r="C1201" s="15"/>
      <c r="D1201" s="19"/>
      <c r="E1201" s="20" t="b">
        <f aca="false">AND(A1201&lt;&gt;"",C1201&lt;&gt;"",D1201&lt;&gt;"",C1201&gt;='Read Me'!$B$5)</f>
        <v>0</v>
      </c>
      <c r="F1201" s="23" t="str">
        <f aca="false">IF(E1201,D1201,"")</f>
        <v/>
      </c>
      <c r="G1201" s="21" t="n">
        <f aca="false">IF(E1201,D1201^2,0)</f>
        <v>0</v>
      </c>
      <c r="H1201" s="3"/>
    </row>
    <row r="1202" customFormat="false" ht="15" hidden="false" customHeight="true" outlineLevel="0" collapsed="false">
      <c r="A1202" s="16"/>
      <c r="B1202" s="16"/>
      <c r="C1202" s="15"/>
      <c r="D1202" s="19"/>
      <c r="E1202" s="20" t="b">
        <f aca="false">AND(A1202&lt;&gt;"",C1202&lt;&gt;"",D1202&lt;&gt;"",C1202&gt;='Read Me'!$B$5)</f>
        <v>0</v>
      </c>
      <c r="F1202" s="23" t="str">
        <f aca="false">IF(E1202,D1202,"")</f>
        <v/>
      </c>
      <c r="G1202" s="21" t="n">
        <f aca="false">IF(E1202,D1202^2,0)</f>
        <v>0</v>
      </c>
      <c r="H1202" s="3"/>
    </row>
    <row r="1203" customFormat="false" ht="15" hidden="false" customHeight="true" outlineLevel="0" collapsed="false">
      <c r="A1203" s="16"/>
      <c r="B1203" s="16"/>
      <c r="C1203" s="15"/>
      <c r="D1203" s="19"/>
      <c r="E1203" s="20" t="b">
        <f aca="false">AND(A1203&lt;&gt;"",C1203&lt;&gt;"",D1203&lt;&gt;"",C1203&gt;='Read Me'!$B$5)</f>
        <v>0</v>
      </c>
      <c r="F1203" s="23" t="str">
        <f aca="false">IF(E1203,D1203,"")</f>
        <v/>
      </c>
      <c r="G1203" s="21" t="n">
        <f aca="false">IF(E1203,D1203^2,0)</f>
        <v>0</v>
      </c>
      <c r="H1203" s="3"/>
    </row>
    <row r="1204" customFormat="false" ht="15" hidden="false" customHeight="true" outlineLevel="0" collapsed="false">
      <c r="A1204" s="16"/>
      <c r="B1204" s="16"/>
      <c r="C1204" s="15"/>
      <c r="D1204" s="19"/>
      <c r="E1204" s="20" t="b">
        <f aca="false">AND(A1204&lt;&gt;"",C1204&lt;&gt;"",D1204&lt;&gt;"",C1204&gt;='Read Me'!$B$5)</f>
        <v>0</v>
      </c>
      <c r="F1204" s="23" t="str">
        <f aca="false">IF(E1204,D1204,"")</f>
        <v/>
      </c>
      <c r="G1204" s="21" t="n">
        <f aca="false">IF(E1204,D1204^2,0)</f>
        <v>0</v>
      </c>
      <c r="H1204" s="3"/>
    </row>
    <row r="1205" customFormat="false" ht="15" hidden="false" customHeight="true" outlineLevel="0" collapsed="false">
      <c r="A1205" s="16"/>
      <c r="B1205" s="16"/>
      <c r="C1205" s="15"/>
      <c r="D1205" s="19"/>
      <c r="E1205" s="20" t="b">
        <f aca="false">AND(A1205&lt;&gt;"",C1205&lt;&gt;"",D1205&lt;&gt;"",C1205&gt;='Read Me'!$B$5)</f>
        <v>0</v>
      </c>
      <c r="F1205" s="23" t="str">
        <f aca="false">IF(E1205,D1205,"")</f>
        <v/>
      </c>
      <c r="G1205" s="21" t="n">
        <f aca="false">IF(E1205,D1205^2,0)</f>
        <v>0</v>
      </c>
      <c r="H1205" s="3"/>
    </row>
    <row r="1206" customFormat="false" ht="15" hidden="false" customHeight="true" outlineLevel="0" collapsed="false">
      <c r="A1206" s="16"/>
      <c r="B1206" s="16"/>
      <c r="C1206" s="15"/>
      <c r="D1206" s="19"/>
      <c r="E1206" s="20" t="b">
        <f aca="false">AND(A1206&lt;&gt;"",C1206&lt;&gt;"",D1206&lt;&gt;"",C1206&gt;='Read Me'!$B$5)</f>
        <v>0</v>
      </c>
      <c r="F1206" s="23" t="str">
        <f aca="false">IF(E1206,D1206,"")</f>
        <v/>
      </c>
      <c r="G1206" s="21" t="n">
        <f aca="false">IF(E1206,D1206^2,0)</f>
        <v>0</v>
      </c>
      <c r="H1206" s="3"/>
    </row>
    <row r="1207" customFormat="false" ht="15" hidden="false" customHeight="true" outlineLevel="0" collapsed="false">
      <c r="A1207" s="16"/>
      <c r="B1207" s="16"/>
      <c r="C1207" s="15"/>
      <c r="D1207" s="19"/>
      <c r="E1207" s="20" t="b">
        <f aca="false">AND(A1207&lt;&gt;"",C1207&lt;&gt;"",D1207&lt;&gt;"",C1207&gt;='Read Me'!$B$5)</f>
        <v>0</v>
      </c>
      <c r="F1207" s="23" t="str">
        <f aca="false">IF(E1207,D1207,"")</f>
        <v/>
      </c>
      <c r="G1207" s="21" t="n">
        <f aca="false">IF(E1207,D1207^2,0)</f>
        <v>0</v>
      </c>
      <c r="H1207" s="3"/>
    </row>
    <row r="1208" customFormat="false" ht="15" hidden="false" customHeight="true" outlineLevel="0" collapsed="false">
      <c r="A1208" s="16"/>
      <c r="B1208" s="16"/>
      <c r="C1208" s="15"/>
      <c r="D1208" s="19"/>
      <c r="E1208" s="20" t="b">
        <f aca="false">AND(A1208&lt;&gt;"",C1208&lt;&gt;"",D1208&lt;&gt;"",C1208&gt;='Read Me'!$B$5)</f>
        <v>0</v>
      </c>
      <c r="F1208" s="23" t="str">
        <f aca="false">IF(E1208,D1208,"")</f>
        <v/>
      </c>
      <c r="G1208" s="21" t="n">
        <f aca="false">IF(E1208,D1208^2,0)</f>
        <v>0</v>
      </c>
      <c r="H1208" s="3"/>
    </row>
    <row r="1209" customFormat="false" ht="15" hidden="false" customHeight="true" outlineLevel="0" collapsed="false">
      <c r="A1209" s="16"/>
      <c r="B1209" s="16"/>
      <c r="C1209" s="15"/>
      <c r="D1209" s="19"/>
      <c r="E1209" s="20" t="b">
        <f aca="false">AND(A1209&lt;&gt;"",C1209&lt;&gt;"",D1209&lt;&gt;"",C1209&gt;='Read Me'!$B$5)</f>
        <v>0</v>
      </c>
      <c r="F1209" s="23" t="str">
        <f aca="false">IF(E1209,D1209,"")</f>
        <v/>
      </c>
      <c r="G1209" s="21" t="n">
        <f aca="false">IF(E1209,D1209^2,0)</f>
        <v>0</v>
      </c>
      <c r="H1209" s="3"/>
    </row>
    <row r="1210" customFormat="false" ht="15" hidden="false" customHeight="true" outlineLevel="0" collapsed="false">
      <c r="A1210" s="16"/>
      <c r="B1210" s="16"/>
      <c r="C1210" s="15"/>
      <c r="D1210" s="19"/>
      <c r="E1210" s="20" t="b">
        <f aca="false">AND(A1210&lt;&gt;"",C1210&lt;&gt;"",D1210&lt;&gt;"",C1210&gt;='Read Me'!$B$5)</f>
        <v>0</v>
      </c>
      <c r="F1210" s="23" t="str">
        <f aca="false">IF(E1210,D1210,"")</f>
        <v/>
      </c>
      <c r="G1210" s="21" t="n">
        <f aca="false">IF(E1210,D1210^2,0)</f>
        <v>0</v>
      </c>
      <c r="H1210" s="3"/>
    </row>
    <row r="1211" customFormat="false" ht="15" hidden="false" customHeight="true" outlineLevel="0" collapsed="false">
      <c r="A1211" s="16"/>
      <c r="B1211" s="16"/>
      <c r="C1211" s="15"/>
      <c r="D1211" s="19"/>
      <c r="E1211" s="20" t="b">
        <f aca="false">AND(A1211&lt;&gt;"",C1211&lt;&gt;"",D1211&lt;&gt;"",C1211&gt;='Read Me'!$B$5)</f>
        <v>0</v>
      </c>
      <c r="F1211" s="23" t="str">
        <f aca="false">IF(E1211,D1211,"")</f>
        <v/>
      </c>
      <c r="G1211" s="21" t="n">
        <f aca="false">IF(E1211,D1211^2,0)</f>
        <v>0</v>
      </c>
      <c r="H1211" s="3"/>
    </row>
    <row r="1212" customFormat="false" ht="15" hidden="false" customHeight="true" outlineLevel="0" collapsed="false">
      <c r="A1212" s="16"/>
      <c r="B1212" s="16"/>
      <c r="C1212" s="15"/>
      <c r="D1212" s="19"/>
      <c r="E1212" s="20" t="b">
        <f aca="false">AND(A1212&lt;&gt;"",C1212&lt;&gt;"",D1212&lt;&gt;"",C1212&gt;='Read Me'!$B$5)</f>
        <v>0</v>
      </c>
      <c r="F1212" s="23" t="str">
        <f aca="false">IF(E1212,D1212,"")</f>
        <v/>
      </c>
      <c r="G1212" s="21" t="n">
        <f aca="false">IF(E1212,D1212^2,0)</f>
        <v>0</v>
      </c>
      <c r="H1212" s="3"/>
    </row>
    <row r="1213" customFormat="false" ht="15" hidden="false" customHeight="true" outlineLevel="0" collapsed="false">
      <c r="A1213" s="16"/>
      <c r="B1213" s="16"/>
      <c r="C1213" s="15"/>
      <c r="D1213" s="19"/>
      <c r="E1213" s="20" t="b">
        <f aca="false">AND(A1213&lt;&gt;"",C1213&lt;&gt;"",D1213&lt;&gt;"",C1213&gt;='Read Me'!$B$5)</f>
        <v>0</v>
      </c>
      <c r="F1213" s="23" t="str">
        <f aca="false">IF(E1213,D1213,"")</f>
        <v/>
      </c>
      <c r="G1213" s="21" t="n">
        <f aca="false">IF(E1213,D1213^2,0)</f>
        <v>0</v>
      </c>
      <c r="H1213" s="3"/>
    </row>
    <row r="1214" customFormat="false" ht="15" hidden="false" customHeight="true" outlineLevel="0" collapsed="false">
      <c r="A1214" s="16"/>
      <c r="B1214" s="16"/>
      <c r="C1214" s="15"/>
      <c r="D1214" s="19"/>
      <c r="E1214" s="20" t="b">
        <f aca="false">AND(A1214&lt;&gt;"",C1214&lt;&gt;"",D1214&lt;&gt;"",C1214&gt;='Read Me'!$B$5)</f>
        <v>0</v>
      </c>
      <c r="F1214" s="23" t="str">
        <f aca="false">IF(E1214,D1214,"")</f>
        <v/>
      </c>
      <c r="G1214" s="21" t="n">
        <f aca="false">IF(E1214,D1214^2,0)</f>
        <v>0</v>
      </c>
      <c r="H1214" s="3"/>
    </row>
    <row r="1215" customFormat="false" ht="15" hidden="false" customHeight="true" outlineLevel="0" collapsed="false">
      <c r="A1215" s="16"/>
      <c r="B1215" s="16"/>
      <c r="C1215" s="15"/>
      <c r="D1215" s="19"/>
      <c r="E1215" s="20" t="b">
        <f aca="false">AND(A1215&lt;&gt;"",C1215&lt;&gt;"",D1215&lt;&gt;"",C1215&gt;='Read Me'!$B$5)</f>
        <v>0</v>
      </c>
      <c r="F1215" s="23" t="str">
        <f aca="false">IF(E1215,D1215,"")</f>
        <v/>
      </c>
      <c r="G1215" s="21" t="n">
        <f aca="false">IF(E1215,D1215^2,0)</f>
        <v>0</v>
      </c>
      <c r="H1215" s="3"/>
    </row>
    <row r="1216" customFormat="false" ht="15" hidden="false" customHeight="true" outlineLevel="0" collapsed="false">
      <c r="A1216" s="16"/>
      <c r="B1216" s="16"/>
      <c r="C1216" s="15"/>
      <c r="D1216" s="19"/>
      <c r="E1216" s="20" t="b">
        <f aca="false">AND(A1216&lt;&gt;"",C1216&lt;&gt;"",D1216&lt;&gt;"",C1216&gt;='Read Me'!$B$5)</f>
        <v>0</v>
      </c>
      <c r="F1216" s="23" t="str">
        <f aca="false">IF(E1216,D1216,"")</f>
        <v/>
      </c>
      <c r="G1216" s="21" t="n">
        <f aca="false">IF(E1216,D1216^2,0)</f>
        <v>0</v>
      </c>
      <c r="H1216" s="3"/>
    </row>
    <row r="1217" customFormat="false" ht="15" hidden="false" customHeight="true" outlineLevel="0" collapsed="false">
      <c r="A1217" s="16"/>
      <c r="B1217" s="16"/>
      <c r="C1217" s="15"/>
      <c r="D1217" s="19"/>
      <c r="E1217" s="20" t="b">
        <f aca="false">AND(A1217&lt;&gt;"",C1217&lt;&gt;"",D1217&lt;&gt;"",C1217&gt;='Read Me'!$B$5)</f>
        <v>0</v>
      </c>
      <c r="F1217" s="23" t="str">
        <f aca="false">IF(E1217,D1217,"")</f>
        <v/>
      </c>
      <c r="G1217" s="21" t="n">
        <f aca="false">IF(E1217,D1217^2,0)</f>
        <v>0</v>
      </c>
      <c r="H1217" s="3"/>
    </row>
    <row r="1218" customFormat="false" ht="15" hidden="false" customHeight="true" outlineLevel="0" collapsed="false">
      <c r="A1218" s="16"/>
      <c r="B1218" s="16"/>
      <c r="C1218" s="15"/>
      <c r="D1218" s="19"/>
      <c r="E1218" s="20" t="b">
        <f aca="false">AND(A1218&lt;&gt;"",C1218&lt;&gt;"",D1218&lt;&gt;"",C1218&gt;='Read Me'!$B$5)</f>
        <v>0</v>
      </c>
      <c r="F1218" s="23" t="str">
        <f aca="false">IF(E1218,D1218,"")</f>
        <v/>
      </c>
      <c r="G1218" s="21" t="n">
        <f aca="false">IF(E1218,D1218^2,0)</f>
        <v>0</v>
      </c>
      <c r="H1218" s="3"/>
    </row>
    <row r="1219" customFormat="false" ht="15" hidden="false" customHeight="true" outlineLevel="0" collapsed="false">
      <c r="A1219" s="16"/>
      <c r="B1219" s="16"/>
      <c r="C1219" s="15"/>
      <c r="D1219" s="19"/>
      <c r="E1219" s="20" t="b">
        <f aca="false">AND(A1219&lt;&gt;"",C1219&lt;&gt;"",D1219&lt;&gt;"",C1219&gt;='Read Me'!$B$5)</f>
        <v>0</v>
      </c>
      <c r="F1219" s="23" t="str">
        <f aca="false">IF(E1219,D1219,"")</f>
        <v/>
      </c>
      <c r="G1219" s="21" t="n">
        <f aca="false">IF(E1219,D1219^2,0)</f>
        <v>0</v>
      </c>
      <c r="H1219" s="3"/>
    </row>
    <row r="1220" customFormat="false" ht="15" hidden="false" customHeight="true" outlineLevel="0" collapsed="false">
      <c r="A1220" s="16"/>
      <c r="B1220" s="16"/>
      <c r="C1220" s="15"/>
      <c r="D1220" s="19"/>
      <c r="E1220" s="20" t="b">
        <f aca="false">AND(A1220&lt;&gt;"",C1220&lt;&gt;"",D1220&lt;&gt;"",C1220&gt;='Read Me'!$B$5)</f>
        <v>0</v>
      </c>
      <c r="F1220" s="23" t="str">
        <f aca="false">IF(E1220,D1220,"")</f>
        <v/>
      </c>
      <c r="G1220" s="21" t="n">
        <f aca="false">IF(E1220,D1220^2,0)</f>
        <v>0</v>
      </c>
      <c r="H1220" s="3"/>
    </row>
    <row r="1221" customFormat="false" ht="15" hidden="false" customHeight="true" outlineLevel="0" collapsed="false">
      <c r="A1221" s="16"/>
      <c r="B1221" s="16"/>
      <c r="C1221" s="15"/>
      <c r="D1221" s="19"/>
      <c r="E1221" s="20" t="b">
        <f aca="false">AND(A1221&lt;&gt;"",C1221&lt;&gt;"",D1221&lt;&gt;"",C1221&gt;='Read Me'!$B$5)</f>
        <v>0</v>
      </c>
      <c r="F1221" s="23" t="str">
        <f aca="false">IF(E1221,D1221,"")</f>
        <v/>
      </c>
      <c r="G1221" s="21" t="n">
        <f aca="false">IF(E1221,D1221^2,0)</f>
        <v>0</v>
      </c>
      <c r="H1221" s="3"/>
    </row>
    <row r="1222" customFormat="false" ht="15" hidden="false" customHeight="true" outlineLevel="0" collapsed="false">
      <c r="A1222" s="16"/>
      <c r="B1222" s="16"/>
      <c r="C1222" s="15"/>
      <c r="D1222" s="19"/>
      <c r="E1222" s="20" t="b">
        <f aca="false">AND(A1222&lt;&gt;"",C1222&lt;&gt;"",D1222&lt;&gt;"",C1222&gt;='Read Me'!$B$5)</f>
        <v>0</v>
      </c>
      <c r="F1222" s="23" t="str">
        <f aca="false">IF(E1222,D1222,"")</f>
        <v/>
      </c>
      <c r="G1222" s="21" t="n">
        <f aca="false">IF(E1222,D1222^2,0)</f>
        <v>0</v>
      </c>
      <c r="H1222" s="3"/>
    </row>
    <row r="1223" customFormat="false" ht="15" hidden="false" customHeight="true" outlineLevel="0" collapsed="false">
      <c r="A1223" s="16"/>
      <c r="B1223" s="16"/>
      <c r="C1223" s="15"/>
      <c r="D1223" s="19"/>
      <c r="E1223" s="20" t="b">
        <f aca="false">AND(A1223&lt;&gt;"",C1223&lt;&gt;"",D1223&lt;&gt;"",C1223&gt;='Read Me'!$B$5)</f>
        <v>0</v>
      </c>
      <c r="F1223" s="23" t="str">
        <f aca="false">IF(E1223,D1223,"")</f>
        <v/>
      </c>
      <c r="G1223" s="21" t="n">
        <f aca="false">IF(E1223,D1223^2,0)</f>
        <v>0</v>
      </c>
      <c r="H1223" s="3"/>
    </row>
    <row r="1224" customFormat="false" ht="15" hidden="false" customHeight="true" outlineLevel="0" collapsed="false">
      <c r="A1224" s="16"/>
      <c r="B1224" s="16"/>
      <c r="C1224" s="15"/>
      <c r="D1224" s="19"/>
      <c r="E1224" s="20" t="b">
        <f aca="false">AND(A1224&lt;&gt;"",C1224&lt;&gt;"",D1224&lt;&gt;"",C1224&gt;='Read Me'!$B$5)</f>
        <v>0</v>
      </c>
      <c r="F1224" s="23" t="str">
        <f aca="false">IF(E1224,D1224,"")</f>
        <v/>
      </c>
      <c r="G1224" s="21" t="n">
        <f aca="false">IF(E1224,D1224^2,0)</f>
        <v>0</v>
      </c>
      <c r="H1224" s="3"/>
    </row>
    <row r="1225" customFormat="false" ht="15" hidden="false" customHeight="true" outlineLevel="0" collapsed="false">
      <c r="A1225" s="16"/>
      <c r="B1225" s="16"/>
      <c r="C1225" s="15"/>
      <c r="D1225" s="19"/>
      <c r="E1225" s="20" t="b">
        <f aca="false">AND(A1225&lt;&gt;"",C1225&lt;&gt;"",D1225&lt;&gt;"",C1225&gt;='Read Me'!$B$5)</f>
        <v>0</v>
      </c>
      <c r="F1225" s="23" t="str">
        <f aca="false">IF(E1225,D1225,"")</f>
        <v/>
      </c>
      <c r="G1225" s="21" t="n">
        <f aca="false">IF(E1225,D1225^2,0)</f>
        <v>0</v>
      </c>
      <c r="H1225" s="3"/>
    </row>
    <row r="1226" customFormat="false" ht="15" hidden="false" customHeight="true" outlineLevel="0" collapsed="false">
      <c r="A1226" s="16"/>
      <c r="B1226" s="16"/>
      <c r="C1226" s="15"/>
      <c r="D1226" s="19"/>
      <c r="E1226" s="20" t="b">
        <f aca="false">AND(A1226&lt;&gt;"",C1226&lt;&gt;"",D1226&lt;&gt;"",C1226&gt;='Read Me'!$B$5)</f>
        <v>0</v>
      </c>
      <c r="F1226" s="23" t="str">
        <f aca="false">IF(E1226,D1226,"")</f>
        <v/>
      </c>
      <c r="G1226" s="21" t="n">
        <f aca="false">IF(E1226,D1226^2,0)</f>
        <v>0</v>
      </c>
      <c r="H1226" s="3"/>
    </row>
    <row r="1227" customFormat="false" ht="15" hidden="false" customHeight="true" outlineLevel="0" collapsed="false">
      <c r="A1227" s="16"/>
      <c r="B1227" s="16"/>
      <c r="C1227" s="15"/>
      <c r="D1227" s="19"/>
      <c r="E1227" s="20" t="b">
        <f aca="false">AND(A1227&lt;&gt;"",C1227&lt;&gt;"",D1227&lt;&gt;"",C1227&gt;='Read Me'!$B$5)</f>
        <v>0</v>
      </c>
      <c r="F1227" s="23" t="str">
        <f aca="false">IF(E1227,D1227,"")</f>
        <v/>
      </c>
      <c r="G1227" s="21" t="n">
        <f aca="false">IF(E1227,D1227^2,0)</f>
        <v>0</v>
      </c>
      <c r="H1227" s="3"/>
    </row>
    <row r="1228" customFormat="false" ht="15" hidden="false" customHeight="true" outlineLevel="0" collapsed="false">
      <c r="A1228" s="16"/>
      <c r="B1228" s="16"/>
      <c r="C1228" s="15"/>
      <c r="D1228" s="19"/>
      <c r="E1228" s="20" t="b">
        <f aca="false">AND(A1228&lt;&gt;"",C1228&lt;&gt;"",D1228&lt;&gt;"",C1228&gt;='Read Me'!$B$5)</f>
        <v>0</v>
      </c>
      <c r="F1228" s="23" t="str">
        <f aca="false">IF(E1228,D1228,"")</f>
        <v/>
      </c>
      <c r="G1228" s="21" t="n">
        <f aca="false">IF(E1228,D1228^2,0)</f>
        <v>0</v>
      </c>
      <c r="H1228" s="3"/>
    </row>
    <row r="1229" customFormat="false" ht="15" hidden="false" customHeight="true" outlineLevel="0" collapsed="false">
      <c r="A1229" s="16"/>
      <c r="B1229" s="16"/>
      <c r="C1229" s="15"/>
      <c r="D1229" s="19"/>
      <c r="E1229" s="20" t="b">
        <f aca="false">AND(A1229&lt;&gt;"",C1229&lt;&gt;"",D1229&lt;&gt;"",C1229&gt;='Read Me'!$B$5)</f>
        <v>0</v>
      </c>
      <c r="F1229" s="23" t="str">
        <f aca="false">IF(E1229,D1229,"")</f>
        <v/>
      </c>
      <c r="G1229" s="21" t="n">
        <f aca="false">IF(E1229,D1229^2,0)</f>
        <v>0</v>
      </c>
      <c r="H1229" s="3"/>
    </row>
    <row r="1230" customFormat="false" ht="15" hidden="false" customHeight="true" outlineLevel="0" collapsed="false">
      <c r="A1230" s="16"/>
      <c r="B1230" s="16"/>
      <c r="C1230" s="15"/>
      <c r="D1230" s="19"/>
      <c r="E1230" s="20" t="b">
        <f aca="false">AND(A1230&lt;&gt;"",C1230&lt;&gt;"",D1230&lt;&gt;"",C1230&gt;='Read Me'!$B$5)</f>
        <v>0</v>
      </c>
      <c r="F1230" s="23" t="str">
        <f aca="false">IF(E1230,D1230,"")</f>
        <v/>
      </c>
      <c r="G1230" s="21" t="n">
        <f aca="false">IF(E1230,D1230^2,0)</f>
        <v>0</v>
      </c>
      <c r="H1230" s="3"/>
    </row>
    <row r="1231" customFormat="false" ht="15" hidden="false" customHeight="true" outlineLevel="0" collapsed="false">
      <c r="A1231" s="16"/>
      <c r="B1231" s="16"/>
      <c r="C1231" s="15"/>
      <c r="D1231" s="19"/>
      <c r="E1231" s="20" t="b">
        <f aca="false">AND(A1231&lt;&gt;"",C1231&lt;&gt;"",D1231&lt;&gt;"",C1231&gt;='Read Me'!$B$5)</f>
        <v>0</v>
      </c>
      <c r="F1231" s="23" t="str">
        <f aca="false">IF(E1231,D1231,"")</f>
        <v/>
      </c>
      <c r="G1231" s="21" t="n">
        <f aca="false">IF(E1231,D1231^2,0)</f>
        <v>0</v>
      </c>
      <c r="H1231" s="3"/>
    </row>
    <row r="1232" customFormat="false" ht="15" hidden="false" customHeight="true" outlineLevel="0" collapsed="false">
      <c r="A1232" s="16"/>
      <c r="B1232" s="16"/>
      <c r="C1232" s="15"/>
      <c r="D1232" s="19"/>
      <c r="E1232" s="20" t="b">
        <f aca="false">AND(A1232&lt;&gt;"",C1232&lt;&gt;"",D1232&lt;&gt;"",C1232&gt;='Read Me'!$B$5)</f>
        <v>0</v>
      </c>
      <c r="F1232" s="23" t="str">
        <f aca="false">IF(E1232,D1232,"")</f>
        <v/>
      </c>
      <c r="G1232" s="21" t="n">
        <f aca="false">IF(E1232,D1232^2,0)</f>
        <v>0</v>
      </c>
      <c r="H1232" s="3"/>
    </row>
    <row r="1233" customFormat="false" ht="15" hidden="false" customHeight="true" outlineLevel="0" collapsed="false">
      <c r="A1233" s="16"/>
      <c r="B1233" s="16"/>
      <c r="C1233" s="15"/>
      <c r="D1233" s="19"/>
      <c r="E1233" s="20" t="b">
        <f aca="false">AND(A1233&lt;&gt;"",C1233&lt;&gt;"",D1233&lt;&gt;"",C1233&gt;='Read Me'!$B$5)</f>
        <v>0</v>
      </c>
      <c r="F1233" s="23" t="str">
        <f aca="false">IF(E1233,D1233,"")</f>
        <v/>
      </c>
      <c r="G1233" s="21" t="n">
        <f aca="false">IF(E1233,D1233^2,0)</f>
        <v>0</v>
      </c>
      <c r="H1233" s="3"/>
    </row>
    <row r="1234" customFormat="false" ht="15" hidden="false" customHeight="true" outlineLevel="0" collapsed="false">
      <c r="A1234" s="16"/>
      <c r="B1234" s="16"/>
      <c r="C1234" s="15"/>
      <c r="D1234" s="19"/>
      <c r="E1234" s="20" t="b">
        <f aca="false">AND(A1234&lt;&gt;"",C1234&lt;&gt;"",D1234&lt;&gt;"",C1234&gt;='Read Me'!$B$5)</f>
        <v>0</v>
      </c>
      <c r="F1234" s="23" t="str">
        <f aca="false">IF(E1234,D1234,"")</f>
        <v/>
      </c>
      <c r="G1234" s="21" t="n">
        <f aca="false">IF(E1234,D1234^2,0)</f>
        <v>0</v>
      </c>
      <c r="H1234" s="3"/>
    </row>
    <row r="1235" customFormat="false" ht="15" hidden="false" customHeight="true" outlineLevel="0" collapsed="false">
      <c r="A1235" s="16"/>
      <c r="B1235" s="16"/>
      <c r="C1235" s="15"/>
      <c r="D1235" s="19"/>
      <c r="E1235" s="20" t="b">
        <f aca="false">AND(A1235&lt;&gt;"",C1235&lt;&gt;"",D1235&lt;&gt;"",C1235&gt;='Read Me'!$B$5)</f>
        <v>0</v>
      </c>
      <c r="F1235" s="23" t="str">
        <f aca="false">IF(E1235,D1235,"")</f>
        <v/>
      </c>
      <c r="G1235" s="21" t="n">
        <f aca="false">IF(E1235,D1235^2,0)</f>
        <v>0</v>
      </c>
      <c r="H1235" s="3"/>
    </row>
    <row r="1236" customFormat="false" ht="15" hidden="false" customHeight="true" outlineLevel="0" collapsed="false">
      <c r="A1236" s="16"/>
      <c r="B1236" s="16"/>
      <c r="C1236" s="15"/>
      <c r="D1236" s="19"/>
      <c r="E1236" s="20" t="b">
        <f aca="false">AND(A1236&lt;&gt;"",C1236&lt;&gt;"",D1236&lt;&gt;"",C1236&gt;='Read Me'!$B$5)</f>
        <v>0</v>
      </c>
      <c r="F1236" s="23" t="str">
        <f aca="false">IF(E1236,D1236,"")</f>
        <v/>
      </c>
      <c r="G1236" s="21" t="n">
        <f aca="false">IF(E1236,D1236^2,0)</f>
        <v>0</v>
      </c>
      <c r="H1236" s="3"/>
    </row>
    <row r="1237" customFormat="false" ht="15" hidden="false" customHeight="true" outlineLevel="0" collapsed="false">
      <c r="A1237" s="16"/>
      <c r="B1237" s="16"/>
      <c r="C1237" s="15"/>
      <c r="D1237" s="19"/>
      <c r="E1237" s="20" t="b">
        <f aca="false">AND(A1237&lt;&gt;"",C1237&lt;&gt;"",D1237&lt;&gt;"",C1237&gt;='Read Me'!$B$5)</f>
        <v>0</v>
      </c>
      <c r="F1237" s="23" t="str">
        <f aca="false">IF(E1237,D1237,"")</f>
        <v/>
      </c>
      <c r="G1237" s="21" t="n">
        <f aca="false">IF(E1237,D1237^2,0)</f>
        <v>0</v>
      </c>
      <c r="H1237" s="3"/>
    </row>
    <row r="1238" customFormat="false" ht="15" hidden="false" customHeight="true" outlineLevel="0" collapsed="false">
      <c r="A1238" s="16"/>
      <c r="B1238" s="16"/>
      <c r="C1238" s="15"/>
      <c r="D1238" s="19"/>
      <c r="E1238" s="20" t="b">
        <f aca="false">AND(A1238&lt;&gt;"",C1238&lt;&gt;"",D1238&lt;&gt;"",C1238&gt;='Read Me'!$B$5)</f>
        <v>0</v>
      </c>
      <c r="F1238" s="23" t="str">
        <f aca="false">IF(E1238,D1238,"")</f>
        <v/>
      </c>
      <c r="G1238" s="21" t="n">
        <f aca="false">IF(E1238,D1238^2,0)</f>
        <v>0</v>
      </c>
      <c r="H1238" s="3"/>
    </row>
    <row r="1239" customFormat="false" ht="15" hidden="false" customHeight="true" outlineLevel="0" collapsed="false">
      <c r="A1239" s="16"/>
      <c r="B1239" s="16"/>
      <c r="C1239" s="15"/>
      <c r="D1239" s="19"/>
      <c r="E1239" s="20" t="b">
        <f aca="false">AND(A1239&lt;&gt;"",C1239&lt;&gt;"",D1239&lt;&gt;"",C1239&gt;='Read Me'!$B$5)</f>
        <v>0</v>
      </c>
      <c r="F1239" s="23" t="str">
        <f aca="false">IF(E1239,D1239,"")</f>
        <v/>
      </c>
      <c r="G1239" s="21" t="n">
        <f aca="false">IF(E1239,D1239^2,0)</f>
        <v>0</v>
      </c>
      <c r="H1239" s="3"/>
    </row>
    <row r="1240" customFormat="false" ht="15" hidden="false" customHeight="true" outlineLevel="0" collapsed="false">
      <c r="A1240" s="16"/>
      <c r="B1240" s="16"/>
      <c r="C1240" s="15"/>
      <c r="D1240" s="19"/>
      <c r="E1240" s="20" t="b">
        <f aca="false">AND(A1240&lt;&gt;"",C1240&lt;&gt;"",D1240&lt;&gt;"",C1240&gt;='Read Me'!$B$5)</f>
        <v>0</v>
      </c>
      <c r="F1240" s="23" t="str">
        <f aca="false">IF(E1240,D1240,"")</f>
        <v/>
      </c>
      <c r="G1240" s="21" t="n">
        <f aca="false">IF(E1240,D1240^2,0)</f>
        <v>0</v>
      </c>
      <c r="H1240" s="3"/>
    </row>
    <row r="1241" customFormat="false" ht="15" hidden="false" customHeight="true" outlineLevel="0" collapsed="false">
      <c r="A1241" s="16"/>
      <c r="B1241" s="16"/>
      <c r="C1241" s="15"/>
      <c r="D1241" s="19"/>
      <c r="E1241" s="20" t="b">
        <f aca="false">AND(A1241&lt;&gt;"",C1241&lt;&gt;"",D1241&lt;&gt;"",C1241&gt;='Read Me'!$B$5)</f>
        <v>0</v>
      </c>
      <c r="F1241" s="23" t="str">
        <f aca="false">IF(E1241,D1241,"")</f>
        <v/>
      </c>
      <c r="G1241" s="21" t="n">
        <f aca="false">IF(E1241,D1241^2,0)</f>
        <v>0</v>
      </c>
      <c r="H1241" s="3"/>
    </row>
    <row r="1242" customFormat="false" ht="15" hidden="false" customHeight="true" outlineLevel="0" collapsed="false">
      <c r="A1242" s="16"/>
      <c r="B1242" s="16"/>
      <c r="C1242" s="15"/>
      <c r="D1242" s="19"/>
      <c r="E1242" s="20" t="b">
        <f aca="false">AND(A1242&lt;&gt;"",C1242&lt;&gt;"",D1242&lt;&gt;"",C1242&gt;='Read Me'!$B$5)</f>
        <v>0</v>
      </c>
      <c r="F1242" s="23" t="str">
        <f aca="false">IF(E1242,D1242,"")</f>
        <v/>
      </c>
      <c r="G1242" s="21" t="n">
        <f aca="false">IF(E1242,D1242^2,0)</f>
        <v>0</v>
      </c>
      <c r="H1242" s="3"/>
    </row>
    <row r="1243" customFormat="false" ht="15" hidden="false" customHeight="true" outlineLevel="0" collapsed="false">
      <c r="A1243" s="16"/>
      <c r="B1243" s="16"/>
      <c r="C1243" s="15"/>
      <c r="D1243" s="19"/>
      <c r="E1243" s="20" t="b">
        <f aca="false">AND(A1243&lt;&gt;"",C1243&lt;&gt;"",D1243&lt;&gt;"",C1243&gt;='Read Me'!$B$5)</f>
        <v>0</v>
      </c>
      <c r="F1243" s="23" t="str">
        <f aca="false">IF(E1243,D1243,"")</f>
        <v/>
      </c>
      <c r="G1243" s="21" t="n">
        <f aca="false">IF(E1243,D1243^2,0)</f>
        <v>0</v>
      </c>
      <c r="H1243" s="3"/>
    </row>
    <row r="1244" customFormat="false" ht="15" hidden="false" customHeight="true" outlineLevel="0" collapsed="false">
      <c r="A1244" s="16"/>
      <c r="B1244" s="16"/>
      <c r="C1244" s="15"/>
      <c r="D1244" s="19"/>
      <c r="E1244" s="20" t="b">
        <f aca="false">AND(A1244&lt;&gt;"",C1244&lt;&gt;"",D1244&lt;&gt;"",C1244&gt;='Read Me'!$B$5)</f>
        <v>0</v>
      </c>
      <c r="F1244" s="23" t="str">
        <f aca="false">IF(E1244,D1244,"")</f>
        <v/>
      </c>
      <c r="G1244" s="21" t="n">
        <f aca="false">IF(E1244,D1244^2,0)</f>
        <v>0</v>
      </c>
      <c r="H1244" s="3"/>
    </row>
    <row r="1245" customFormat="false" ht="15" hidden="false" customHeight="true" outlineLevel="0" collapsed="false">
      <c r="A1245" s="16"/>
      <c r="B1245" s="16"/>
      <c r="C1245" s="15"/>
      <c r="D1245" s="19"/>
      <c r="E1245" s="20" t="b">
        <f aca="false">AND(A1245&lt;&gt;"",C1245&lt;&gt;"",D1245&lt;&gt;"",C1245&gt;='Read Me'!$B$5)</f>
        <v>0</v>
      </c>
      <c r="F1245" s="23" t="str">
        <f aca="false">IF(E1245,D1245,"")</f>
        <v/>
      </c>
      <c r="G1245" s="21" t="n">
        <f aca="false">IF(E1245,D1245^2,0)</f>
        <v>0</v>
      </c>
      <c r="H1245" s="3"/>
    </row>
    <row r="1246" customFormat="false" ht="15" hidden="false" customHeight="true" outlineLevel="0" collapsed="false">
      <c r="A1246" s="16"/>
      <c r="B1246" s="16"/>
      <c r="C1246" s="15"/>
      <c r="D1246" s="19"/>
      <c r="E1246" s="20" t="b">
        <f aca="false">AND(A1246&lt;&gt;"",C1246&lt;&gt;"",D1246&lt;&gt;"",C1246&gt;='Read Me'!$B$5)</f>
        <v>0</v>
      </c>
      <c r="F1246" s="23" t="str">
        <f aca="false">IF(E1246,D1246,"")</f>
        <v/>
      </c>
      <c r="G1246" s="21" t="n">
        <f aca="false">IF(E1246,D1246^2,0)</f>
        <v>0</v>
      </c>
      <c r="H1246" s="3"/>
    </row>
    <row r="1247" customFormat="false" ht="15" hidden="false" customHeight="true" outlineLevel="0" collapsed="false">
      <c r="A1247" s="16"/>
      <c r="B1247" s="16"/>
      <c r="C1247" s="15"/>
      <c r="D1247" s="19"/>
      <c r="E1247" s="20" t="b">
        <f aca="false">AND(A1247&lt;&gt;"",C1247&lt;&gt;"",D1247&lt;&gt;"",C1247&gt;='Read Me'!$B$5)</f>
        <v>0</v>
      </c>
      <c r="F1247" s="23" t="str">
        <f aca="false">IF(E1247,D1247,"")</f>
        <v/>
      </c>
      <c r="G1247" s="21" t="n">
        <f aca="false">IF(E1247,D1247^2,0)</f>
        <v>0</v>
      </c>
      <c r="H1247" s="3"/>
    </row>
    <row r="1248" customFormat="false" ht="15" hidden="false" customHeight="true" outlineLevel="0" collapsed="false">
      <c r="A1248" s="16"/>
      <c r="B1248" s="16"/>
      <c r="C1248" s="15"/>
      <c r="D1248" s="19"/>
      <c r="E1248" s="20" t="b">
        <f aca="false">AND(A1248&lt;&gt;"",C1248&lt;&gt;"",D1248&lt;&gt;"",C1248&gt;='Read Me'!$B$5)</f>
        <v>0</v>
      </c>
      <c r="F1248" s="23" t="str">
        <f aca="false">IF(E1248,D1248,"")</f>
        <v/>
      </c>
      <c r="G1248" s="21" t="n">
        <f aca="false">IF(E1248,D1248^2,0)</f>
        <v>0</v>
      </c>
      <c r="H1248" s="3"/>
    </row>
    <row r="1249" customFormat="false" ht="15" hidden="false" customHeight="true" outlineLevel="0" collapsed="false">
      <c r="A1249" s="16"/>
      <c r="B1249" s="16"/>
      <c r="C1249" s="15"/>
      <c r="D1249" s="19"/>
      <c r="E1249" s="20" t="b">
        <f aca="false">AND(A1249&lt;&gt;"",C1249&lt;&gt;"",D1249&lt;&gt;"",C1249&gt;='Read Me'!$B$5)</f>
        <v>0</v>
      </c>
      <c r="F1249" s="23" t="str">
        <f aca="false">IF(E1249,D1249,"")</f>
        <v/>
      </c>
      <c r="G1249" s="21" t="n">
        <f aca="false">IF(E1249,D1249^2,0)</f>
        <v>0</v>
      </c>
      <c r="H1249" s="3"/>
    </row>
    <row r="1250" customFormat="false" ht="15" hidden="false" customHeight="true" outlineLevel="0" collapsed="false">
      <c r="A1250" s="16"/>
      <c r="B1250" s="16"/>
      <c r="C1250" s="15"/>
      <c r="D1250" s="19"/>
      <c r="E1250" s="20" t="b">
        <f aca="false">AND(A1250&lt;&gt;"",C1250&lt;&gt;"",D1250&lt;&gt;"",C1250&gt;='Read Me'!$B$5)</f>
        <v>0</v>
      </c>
      <c r="F1250" s="23" t="str">
        <f aca="false">IF(E1250,D1250,"")</f>
        <v/>
      </c>
      <c r="G1250" s="21" t="n">
        <f aca="false">IF(E1250,D1250^2,0)</f>
        <v>0</v>
      </c>
      <c r="H1250" s="3"/>
    </row>
    <row r="1251" customFormat="false" ht="15" hidden="false" customHeight="true" outlineLevel="0" collapsed="false">
      <c r="A1251" s="16"/>
      <c r="B1251" s="16"/>
      <c r="C1251" s="15"/>
      <c r="D1251" s="19"/>
      <c r="E1251" s="20" t="b">
        <f aca="false">AND(A1251&lt;&gt;"",C1251&lt;&gt;"",D1251&lt;&gt;"",C1251&gt;='Read Me'!$B$5)</f>
        <v>0</v>
      </c>
      <c r="F1251" s="23" t="str">
        <f aca="false">IF(E1251,D1251,"")</f>
        <v/>
      </c>
      <c r="G1251" s="21" t="n">
        <f aca="false">IF(E1251,D1251^2,0)</f>
        <v>0</v>
      </c>
      <c r="H1251" s="3"/>
    </row>
    <row r="1252" customFormat="false" ht="15" hidden="false" customHeight="true" outlineLevel="0" collapsed="false">
      <c r="A1252" s="16"/>
      <c r="B1252" s="16"/>
      <c r="C1252" s="15"/>
      <c r="D1252" s="19"/>
      <c r="E1252" s="20" t="b">
        <f aca="false">AND(A1252&lt;&gt;"",C1252&lt;&gt;"",D1252&lt;&gt;"",C1252&gt;='Read Me'!$B$5)</f>
        <v>0</v>
      </c>
      <c r="F1252" s="23" t="str">
        <f aca="false">IF(E1252,D1252,"")</f>
        <v/>
      </c>
      <c r="G1252" s="21" t="n">
        <f aca="false">IF(E1252,D1252^2,0)</f>
        <v>0</v>
      </c>
      <c r="H1252" s="3"/>
    </row>
    <row r="1253" customFormat="false" ht="15" hidden="false" customHeight="true" outlineLevel="0" collapsed="false">
      <c r="A1253" s="16"/>
      <c r="B1253" s="16"/>
      <c r="C1253" s="15"/>
      <c r="D1253" s="19"/>
      <c r="E1253" s="20" t="b">
        <f aca="false">AND(A1253&lt;&gt;"",C1253&lt;&gt;"",D1253&lt;&gt;"",C1253&gt;='Read Me'!$B$5)</f>
        <v>0</v>
      </c>
      <c r="F1253" s="23" t="str">
        <f aca="false">IF(E1253,D1253,"")</f>
        <v/>
      </c>
      <c r="G1253" s="21" t="n">
        <f aca="false">IF(E1253,D1253^2,0)</f>
        <v>0</v>
      </c>
      <c r="H1253" s="3"/>
    </row>
    <row r="1254" customFormat="false" ht="15" hidden="false" customHeight="true" outlineLevel="0" collapsed="false">
      <c r="A1254" s="16"/>
      <c r="B1254" s="16"/>
      <c r="C1254" s="15"/>
      <c r="D1254" s="19"/>
      <c r="E1254" s="20" t="b">
        <f aca="false">AND(A1254&lt;&gt;"",C1254&lt;&gt;"",D1254&lt;&gt;"",C1254&gt;='Read Me'!$B$5)</f>
        <v>0</v>
      </c>
      <c r="F1254" s="23" t="str">
        <f aca="false">IF(E1254,D1254,"")</f>
        <v/>
      </c>
      <c r="G1254" s="21" t="n">
        <f aca="false">IF(E1254,D1254^2,0)</f>
        <v>0</v>
      </c>
      <c r="H1254" s="3"/>
    </row>
    <row r="1255" customFormat="false" ht="15" hidden="false" customHeight="true" outlineLevel="0" collapsed="false">
      <c r="A1255" s="16"/>
      <c r="B1255" s="16"/>
      <c r="C1255" s="15"/>
      <c r="D1255" s="19"/>
      <c r="E1255" s="20" t="b">
        <f aca="false">AND(A1255&lt;&gt;"",C1255&lt;&gt;"",D1255&lt;&gt;"",C1255&gt;='Read Me'!$B$5)</f>
        <v>0</v>
      </c>
      <c r="F1255" s="23" t="str">
        <f aca="false">IF(E1255,D1255,"")</f>
        <v/>
      </c>
      <c r="G1255" s="21" t="n">
        <f aca="false">IF(E1255,D1255^2,0)</f>
        <v>0</v>
      </c>
      <c r="H1255" s="3"/>
    </row>
    <row r="1256" customFormat="false" ht="15" hidden="false" customHeight="true" outlineLevel="0" collapsed="false">
      <c r="A1256" s="16"/>
      <c r="B1256" s="16"/>
      <c r="C1256" s="15"/>
      <c r="D1256" s="19"/>
      <c r="E1256" s="20" t="b">
        <f aca="false">AND(A1256&lt;&gt;"",C1256&lt;&gt;"",D1256&lt;&gt;"",C1256&gt;='Read Me'!$B$5)</f>
        <v>0</v>
      </c>
      <c r="F1256" s="23" t="str">
        <f aca="false">IF(E1256,D1256,"")</f>
        <v/>
      </c>
      <c r="G1256" s="21" t="n">
        <f aca="false">IF(E1256,D1256^2,0)</f>
        <v>0</v>
      </c>
      <c r="H1256" s="3"/>
    </row>
    <row r="1257" customFormat="false" ht="15" hidden="false" customHeight="true" outlineLevel="0" collapsed="false">
      <c r="A1257" s="16"/>
      <c r="B1257" s="16"/>
      <c r="C1257" s="15"/>
      <c r="D1257" s="19"/>
      <c r="E1257" s="20" t="b">
        <f aca="false">AND(A1257&lt;&gt;"",C1257&lt;&gt;"",D1257&lt;&gt;"",C1257&gt;='Read Me'!$B$5)</f>
        <v>0</v>
      </c>
      <c r="F1257" s="23" t="str">
        <f aca="false">IF(E1257,D1257,"")</f>
        <v/>
      </c>
      <c r="G1257" s="21" t="n">
        <f aca="false">IF(E1257,D1257^2,0)</f>
        <v>0</v>
      </c>
      <c r="H1257" s="3"/>
    </row>
    <row r="1258" customFormat="false" ht="15" hidden="false" customHeight="true" outlineLevel="0" collapsed="false">
      <c r="A1258" s="16"/>
      <c r="B1258" s="16"/>
      <c r="C1258" s="15"/>
      <c r="D1258" s="19"/>
      <c r="E1258" s="20" t="b">
        <f aca="false">AND(A1258&lt;&gt;"",C1258&lt;&gt;"",D1258&lt;&gt;"",C1258&gt;='Read Me'!$B$5)</f>
        <v>0</v>
      </c>
      <c r="F1258" s="23" t="str">
        <f aca="false">IF(E1258,D1258,"")</f>
        <v/>
      </c>
      <c r="G1258" s="21" t="n">
        <f aca="false">IF(E1258,D1258^2,0)</f>
        <v>0</v>
      </c>
      <c r="H1258" s="3"/>
    </row>
    <row r="1259" customFormat="false" ht="15" hidden="false" customHeight="true" outlineLevel="0" collapsed="false">
      <c r="A1259" s="16"/>
      <c r="B1259" s="16"/>
      <c r="C1259" s="15"/>
      <c r="D1259" s="19"/>
      <c r="E1259" s="20" t="b">
        <f aca="false">AND(A1259&lt;&gt;"",C1259&lt;&gt;"",D1259&lt;&gt;"",C1259&gt;='Read Me'!$B$5)</f>
        <v>0</v>
      </c>
      <c r="F1259" s="23" t="str">
        <f aca="false">IF(E1259,D1259,"")</f>
        <v/>
      </c>
      <c r="G1259" s="21" t="n">
        <f aca="false">IF(E1259,D1259^2,0)</f>
        <v>0</v>
      </c>
      <c r="H1259" s="3"/>
    </row>
    <row r="1260" customFormat="false" ht="15" hidden="false" customHeight="true" outlineLevel="0" collapsed="false">
      <c r="A1260" s="16"/>
      <c r="B1260" s="16"/>
      <c r="C1260" s="15"/>
      <c r="D1260" s="19"/>
      <c r="E1260" s="20" t="b">
        <f aca="false">AND(A1260&lt;&gt;"",C1260&lt;&gt;"",D1260&lt;&gt;"",C1260&gt;='Read Me'!$B$5)</f>
        <v>0</v>
      </c>
      <c r="F1260" s="23" t="str">
        <f aca="false">IF(E1260,D1260,"")</f>
        <v/>
      </c>
      <c r="G1260" s="21" t="n">
        <f aca="false">IF(E1260,D1260^2,0)</f>
        <v>0</v>
      </c>
      <c r="H1260" s="3"/>
    </row>
    <row r="1261" customFormat="false" ht="15" hidden="false" customHeight="true" outlineLevel="0" collapsed="false">
      <c r="A1261" s="16"/>
      <c r="B1261" s="16"/>
      <c r="C1261" s="15"/>
      <c r="D1261" s="19"/>
      <c r="E1261" s="20" t="b">
        <f aca="false">AND(A1261&lt;&gt;"",C1261&lt;&gt;"",D1261&lt;&gt;"",C1261&gt;='Read Me'!$B$5)</f>
        <v>0</v>
      </c>
      <c r="F1261" s="23" t="str">
        <f aca="false">IF(E1261,D1261,"")</f>
        <v/>
      </c>
      <c r="G1261" s="21" t="n">
        <f aca="false">IF(E1261,D1261^2,0)</f>
        <v>0</v>
      </c>
      <c r="H1261" s="3"/>
    </row>
    <row r="1262" customFormat="false" ht="15" hidden="false" customHeight="true" outlineLevel="0" collapsed="false">
      <c r="A1262" s="16"/>
      <c r="B1262" s="16"/>
      <c r="C1262" s="15"/>
      <c r="D1262" s="19"/>
      <c r="E1262" s="20" t="b">
        <f aca="false">AND(A1262&lt;&gt;"",C1262&lt;&gt;"",D1262&lt;&gt;"",C1262&gt;='Read Me'!$B$5)</f>
        <v>0</v>
      </c>
      <c r="F1262" s="23" t="str">
        <f aca="false">IF(E1262,D1262,"")</f>
        <v/>
      </c>
      <c r="G1262" s="21" t="n">
        <f aca="false">IF(E1262,D1262^2,0)</f>
        <v>0</v>
      </c>
      <c r="H1262" s="3"/>
    </row>
    <row r="1263" customFormat="false" ht="15" hidden="false" customHeight="true" outlineLevel="0" collapsed="false">
      <c r="A1263" s="16"/>
      <c r="B1263" s="16"/>
      <c r="C1263" s="15"/>
      <c r="D1263" s="19"/>
      <c r="E1263" s="20" t="b">
        <f aca="false">AND(A1263&lt;&gt;"",C1263&lt;&gt;"",D1263&lt;&gt;"",C1263&gt;='Read Me'!$B$5)</f>
        <v>0</v>
      </c>
      <c r="F1263" s="23" t="str">
        <f aca="false">IF(E1263,D1263,"")</f>
        <v/>
      </c>
      <c r="G1263" s="21" t="n">
        <f aca="false">IF(E1263,D1263^2,0)</f>
        <v>0</v>
      </c>
      <c r="H1263" s="3"/>
    </row>
    <row r="1264" customFormat="false" ht="15" hidden="false" customHeight="true" outlineLevel="0" collapsed="false">
      <c r="A1264" s="16"/>
      <c r="B1264" s="16"/>
      <c r="C1264" s="15"/>
      <c r="D1264" s="19"/>
      <c r="E1264" s="20" t="b">
        <f aca="false">AND(A1264&lt;&gt;"",C1264&lt;&gt;"",D1264&lt;&gt;"",C1264&gt;='Read Me'!$B$5)</f>
        <v>0</v>
      </c>
      <c r="F1264" s="23" t="str">
        <f aca="false">IF(E1264,D1264,"")</f>
        <v/>
      </c>
      <c r="G1264" s="21" t="n">
        <f aca="false">IF(E1264,D1264^2,0)</f>
        <v>0</v>
      </c>
      <c r="H1264" s="3"/>
    </row>
    <row r="1265" customFormat="false" ht="15" hidden="false" customHeight="true" outlineLevel="0" collapsed="false">
      <c r="A1265" s="16"/>
      <c r="B1265" s="16"/>
      <c r="C1265" s="15"/>
      <c r="D1265" s="19"/>
      <c r="E1265" s="20" t="b">
        <f aca="false">AND(A1265&lt;&gt;"",C1265&lt;&gt;"",D1265&lt;&gt;"",C1265&gt;='Read Me'!$B$5)</f>
        <v>0</v>
      </c>
      <c r="F1265" s="23" t="str">
        <f aca="false">IF(E1265,D1265,"")</f>
        <v/>
      </c>
      <c r="G1265" s="21" t="n">
        <f aca="false">IF(E1265,D1265^2,0)</f>
        <v>0</v>
      </c>
      <c r="H1265" s="3"/>
    </row>
    <row r="1266" customFormat="false" ht="15" hidden="false" customHeight="true" outlineLevel="0" collapsed="false">
      <c r="A1266" s="16"/>
      <c r="B1266" s="16"/>
      <c r="C1266" s="15"/>
      <c r="D1266" s="19"/>
      <c r="E1266" s="20" t="b">
        <f aca="false">AND(A1266&lt;&gt;"",C1266&lt;&gt;"",D1266&lt;&gt;"",C1266&gt;='Read Me'!$B$5)</f>
        <v>0</v>
      </c>
      <c r="F1266" s="23" t="str">
        <f aca="false">IF(E1266,D1266,"")</f>
        <v/>
      </c>
      <c r="G1266" s="21" t="n">
        <f aca="false">IF(E1266,D1266^2,0)</f>
        <v>0</v>
      </c>
      <c r="H1266" s="3"/>
    </row>
    <row r="1267" customFormat="false" ht="15" hidden="false" customHeight="true" outlineLevel="0" collapsed="false">
      <c r="A1267" s="16"/>
      <c r="B1267" s="16"/>
      <c r="C1267" s="15"/>
      <c r="D1267" s="19"/>
      <c r="E1267" s="20" t="b">
        <f aca="false">AND(A1267&lt;&gt;"",C1267&lt;&gt;"",D1267&lt;&gt;"",C1267&gt;='Read Me'!$B$5)</f>
        <v>0</v>
      </c>
      <c r="F1267" s="23" t="str">
        <f aca="false">IF(E1267,D1267,"")</f>
        <v/>
      </c>
      <c r="G1267" s="21" t="n">
        <f aca="false">IF(E1267,D1267^2,0)</f>
        <v>0</v>
      </c>
      <c r="H1267" s="3"/>
    </row>
    <row r="1268" customFormat="false" ht="15" hidden="false" customHeight="true" outlineLevel="0" collapsed="false">
      <c r="A1268" s="16"/>
      <c r="B1268" s="16"/>
      <c r="C1268" s="15"/>
      <c r="D1268" s="19"/>
      <c r="E1268" s="20" t="b">
        <f aca="false">AND(A1268&lt;&gt;"",C1268&lt;&gt;"",D1268&lt;&gt;"",C1268&gt;='Read Me'!$B$5)</f>
        <v>0</v>
      </c>
      <c r="F1268" s="23" t="str">
        <f aca="false">IF(E1268,D1268,"")</f>
        <v/>
      </c>
      <c r="G1268" s="21" t="n">
        <f aca="false">IF(E1268,D1268^2,0)</f>
        <v>0</v>
      </c>
      <c r="H1268" s="3"/>
    </row>
    <row r="1269" customFormat="false" ht="15" hidden="false" customHeight="true" outlineLevel="0" collapsed="false">
      <c r="A1269" s="16"/>
      <c r="B1269" s="16"/>
      <c r="C1269" s="15"/>
      <c r="D1269" s="19"/>
      <c r="E1269" s="20" t="b">
        <f aca="false">AND(A1269&lt;&gt;"",C1269&lt;&gt;"",D1269&lt;&gt;"",C1269&gt;='Read Me'!$B$5)</f>
        <v>0</v>
      </c>
      <c r="F1269" s="23" t="str">
        <f aca="false">IF(E1269,D1269,"")</f>
        <v/>
      </c>
      <c r="G1269" s="21" t="n">
        <f aca="false">IF(E1269,D1269^2,0)</f>
        <v>0</v>
      </c>
      <c r="H1269" s="3"/>
    </row>
    <row r="1270" customFormat="false" ht="15" hidden="false" customHeight="true" outlineLevel="0" collapsed="false">
      <c r="A1270" s="16"/>
      <c r="B1270" s="16"/>
      <c r="C1270" s="15"/>
      <c r="D1270" s="19"/>
      <c r="E1270" s="20" t="b">
        <f aca="false">AND(A1270&lt;&gt;"",C1270&lt;&gt;"",D1270&lt;&gt;"",C1270&gt;='Read Me'!$B$5)</f>
        <v>0</v>
      </c>
      <c r="F1270" s="23" t="str">
        <f aca="false">IF(E1270,D1270,"")</f>
        <v/>
      </c>
      <c r="G1270" s="21" t="n">
        <f aca="false">IF(E1270,D1270^2,0)</f>
        <v>0</v>
      </c>
      <c r="H1270" s="3"/>
    </row>
    <row r="1271" customFormat="false" ht="15" hidden="false" customHeight="true" outlineLevel="0" collapsed="false">
      <c r="A1271" s="16"/>
      <c r="B1271" s="16"/>
      <c r="C1271" s="15"/>
      <c r="D1271" s="19"/>
      <c r="E1271" s="20" t="b">
        <f aca="false">AND(A1271&lt;&gt;"",C1271&lt;&gt;"",D1271&lt;&gt;"",C1271&gt;='Read Me'!$B$5)</f>
        <v>0</v>
      </c>
      <c r="F1271" s="23" t="str">
        <f aca="false">IF(E1271,D1271,"")</f>
        <v/>
      </c>
      <c r="G1271" s="21" t="n">
        <f aca="false">IF(E1271,D1271^2,0)</f>
        <v>0</v>
      </c>
      <c r="H1271" s="3"/>
    </row>
    <row r="1272" customFormat="false" ht="15" hidden="false" customHeight="true" outlineLevel="0" collapsed="false">
      <c r="A1272" s="16"/>
      <c r="B1272" s="16"/>
      <c r="C1272" s="15"/>
      <c r="D1272" s="19"/>
      <c r="E1272" s="20" t="b">
        <f aca="false">AND(A1272&lt;&gt;"",C1272&lt;&gt;"",D1272&lt;&gt;"",C1272&gt;='Read Me'!$B$5)</f>
        <v>0</v>
      </c>
      <c r="F1272" s="23" t="str">
        <f aca="false">IF(E1272,D1272,"")</f>
        <v/>
      </c>
      <c r="G1272" s="21" t="n">
        <f aca="false">IF(E1272,D1272^2,0)</f>
        <v>0</v>
      </c>
      <c r="H1272" s="3"/>
    </row>
    <row r="1273" customFormat="false" ht="15" hidden="false" customHeight="true" outlineLevel="0" collapsed="false">
      <c r="A1273" s="16"/>
      <c r="B1273" s="16"/>
      <c r="C1273" s="15"/>
      <c r="D1273" s="19"/>
      <c r="E1273" s="20" t="b">
        <f aca="false">AND(A1273&lt;&gt;"",C1273&lt;&gt;"",D1273&lt;&gt;"",C1273&gt;='Read Me'!$B$5)</f>
        <v>0</v>
      </c>
      <c r="F1273" s="23" t="str">
        <f aca="false">IF(E1273,D1273,"")</f>
        <v/>
      </c>
      <c r="G1273" s="21" t="n">
        <f aca="false">IF(E1273,D1273^2,0)</f>
        <v>0</v>
      </c>
      <c r="H1273" s="3"/>
    </row>
    <row r="1274" customFormat="false" ht="15" hidden="false" customHeight="true" outlineLevel="0" collapsed="false">
      <c r="A1274" s="16"/>
      <c r="B1274" s="16"/>
      <c r="C1274" s="15"/>
      <c r="D1274" s="19"/>
      <c r="E1274" s="20" t="b">
        <f aca="false">AND(A1274&lt;&gt;"",C1274&lt;&gt;"",D1274&lt;&gt;"",C1274&gt;='Read Me'!$B$5)</f>
        <v>0</v>
      </c>
      <c r="F1274" s="23" t="str">
        <f aca="false">IF(E1274,D1274,"")</f>
        <v/>
      </c>
      <c r="G1274" s="21" t="n">
        <f aca="false">IF(E1274,D1274^2,0)</f>
        <v>0</v>
      </c>
      <c r="H1274" s="3"/>
    </row>
    <row r="1275" customFormat="false" ht="15" hidden="false" customHeight="true" outlineLevel="0" collapsed="false">
      <c r="A1275" s="16"/>
      <c r="B1275" s="16"/>
      <c r="C1275" s="15"/>
      <c r="D1275" s="19"/>
      <c r="E1275" s="20" t="b">
        <f aca="false">AND(A1275&lt;&gt;"",C1275&lt;&gt;"",D1275&lt;&gt;"",C1275&gt;='Read Me'!$B$5)</f>
        <v>0</v>
      </c>
      <c r="F1275" s="23" t="str">
        <f aca="false">IF(E1275,D1275,"")</f>
        <v/>
      </c>
      <c r="G1275" s="21" t="n">
        <f aca="false">IF(E1275,D1275^2,0)</f>
        <v>0</v>
      </c>
      <c r="H1275" s="3"/>
    </row>
    <row r="1276" customFormat="false" ht="15" hidden="false" customHeight="true" outlineLevel="0" collapsed="false">
      <c r="A1276" s="16"/>
      <c r="B1276" s="16"/>
      <c r="C1276" s="15"/>
      <c r="D1276" s="19"/>
      <c r="E1276" s="20" t="b">
        <f aca="false">AND(A1276&lt;&gt;"",C1276&lt;&gt;"",D1276&lt;&gt;"",C1276&gt;='Read Me'!$B$5)</f>
        <v>0</v>
      </c>
      <c r="F1276" s="23" t="str">
        <f aca="false">IF(E1276,D1276,"")</f>
        <v/>
      </c>
      <c r="G1276" s="21" t="n">
        <f aca="false">IF(E1276,D1276^2,0)</f>
        <v>0</v>
      </c>
      <c r="H1276" s="3"/>
    </row>
    <row r="1277" customFormat="false" ht="15" hidden="false" customHeight="true" outlineLevel="0" collapsed="false">
      <c r="A1277" s="16"/>
      <c r="B1277" s="16"/>
      <c r="C1277" s="15"/>
      <c r="D1277" s="19"/>
      <c r="E1277" s="20" t="b">
        <f aca="false">AND(A1277&lt;&gt;"",C1277&lt;&gt;"",D1277&lt;&gt;"",C1277&gt;='Read Me'!$B$5)</f>
        <v>0</v>
      </c>
      <c r="F1277" s="23" t="str">
        <f aca="false">IF(E1277,D1277,"")</f>
        <v/>
      </c>
      <c r="G1277" s="21" t="n">
        <f aca="false">IF(E1277,D1277^2,0)</f>
        <v>0</v>
      </c>
      <c r="H1277" s="3"/>
    </row>
    <row r="1278" customFormat="false" ht="15" hidden="false" customHeight="true" outlineLevel="0" collapsed="false">
      <c r="A1278" s="16"/>
      <c r="B1278" s="16"/>
      <c r="C1278" s="15"/>
      <c r="D1278" s="19"/>
      <c r="E1278" s="20" t="b">
        <f aca="false">AND(A1278&lt;&gt;"",C1278&lt;&gt;"",D1278&lt;&gt;"",C1278&gt;='Read Me'!$B$5)</f>
        <v>0</v>
      </c>
      <c r="F1278" s="23" t="str">
        <f aca="false">IF(E1278,D1278,"")</f>
        <v/>
      </c>
      <c r="G1278" s="21" t="n">
        <f aca="false">IF(E1278,D1278^2,0)</f>
        <v>0</v>
      </c>
      <c r="H1278" s="3"/>
    </row>
    <row r="1279" customFormat="false" ht="15" hidden="false" customHeight="true" outlineLevel="0" collapsed="false">
      <c r="A1279" s="16"/>
      <c r="B1279" s="16"/>
      <c r="C1279" s="15"/>
      <c r="D1279" s="19"/>
      <c r="E1279" s="20" t="b">
        <f aca="false">AND(A1279&lt;&gt;"",C1279&lt;&gt;"",D1279&lt;&gt;"",C1279&gt;='Read Me'!$B$5)</f>
        <v>0</v>
      </c>
      <c r="F1279" s="23" t="str">
        <f aca="false">IF(E1279,D1279,"")</f>
        <v/>
      </c>
      <c r="G1279" s="21" t="n">
        <f aca="false">IF(E1279,D1279^2,0)</f>
        <v>0</v>
      </c>
      <c r="H1279" s="3"/>
    </row>
    <row r="1280" customFormat="false" ht="15" hidden="false" customHeight="true" outlineLevel="0" collapsed="false">
      <c r="A1280" s="16"/>
      <c r="B1280" s="16"/>
      <c r="C1280" s="15"/>
      <c r="D1280" s="19"/>
      <c r="E1280" s="20" t="b">
        <f aca="false">AND(A1280&lt;&gt;"",C1280&lt;&gt;"",D1280&lt;&gt;"",C1280&gt;='Read Me'!$B$5)</f>
        <v>0</v>
      </c>
      <c r="F1280" s="23" t="str">
        <f aca="false">IF(E1280,D1280,"")</f>
        <v/>
      </c>
      <c r="G1280" s="21" t="n">
        <f aca="false">IF(E1280,D1280^2,0)</f>
        <v>0</v>
      </c>
      <c r="H1280" s="3"/>
    </row>
    <row r="1281" customFormat="false" ht="15" hidden="false" customHeight="true" outlineLevel="0" collapsed="false">
      <c r="A1281" s="16"/>
      <c r="B1281" s="16"/>
      <c r="C1281" s="15"/>
      <c r="D1281" s="19"/>
      <c r="E1281" s="20" t="b">
        <f aca="false">AND(A1281&lt;&gt;"",C1281&lt;&gt;"",D1281&lt;&gt;"",C1281&gt;='Read Me'!$B$5)</f>
        <v>0</v>
      </c>
      <c r="F1281" s="23" t="str">
        <f aca="false">IF(E1281,D1281,"")</f>
        <v/>
      </c>
      <c r="G1281" s="21" t="n">
        <f aca="false">IF(E1281,D1281^2,0)</f>
        <v>0</v>
      </c>
      <c r="H1281" s="3"/>
    </row>
    <row r="1282" customFormat="false" ht="15" hidden="false" customHeight="true" outlineLevel="0" collapsed="false">
      <c r="A1282" s="16"/>
      <c r="B1282" s="16"/>
      <c r="C1282" s="15"/>
      <c r="D1282" s="19"/>
      <c r="E1282" s="20" t="b">
        <f aca="false">AND(A1282&lt;&gt;"",C1282&lt;&gt;"",D1282&lt;&gt;"",C1282&gt;='Read Me'!$B$5)</f>
        <v>0</v>
      </c>
      <c r="F1282" s="23" t="str">
        <f aca="false">IF(E1282,D1282,"")</f>
        <v/>
      </c>
      <c r="G1282" s="21" t="n">
        <f aca="false">IF(E1282,D1282^2,0)</f>
        <v>0</v>
      </c>
      <c r="H1282" s="3"/>
    </row>
    <row r="1283" customFormat="false" ht="15" hidden="false" customHeight="true" outlineLevel="0" collapsed="false">
      <c r="A1283" s="16"/>
      <c r="B1283" s="16"/>
      <c r="C1283" s="15"/>
      <c r="D1283" s="19"/>
      <c r="E1283" s="20" t="b">
        <f aca="false">AND(A1283&lt;&gt;"",C1283&lt;&gt;"",D1283&lt;&gt;"",C1283&gt;='Read Me'!$B$5)</f>
        <v>0</v>
      </c>
      <c r="F1283" s="23" t="str">
        <f aca="false">IF(E1283,D1283,"")</f>
        <v/>
      </c>
      <c r="G1283" s="21" t="n">
        <f aca="false">IF(E1283,D1283^2,0)</f>
        <v>0</v>
      </c>
      <c r="H1283" s="3"/>
    </row>
    <row r="1284" customFormat="false" ht="15" hidden="false" customHeight="true" outlineLevel="0" collapsed="false">
      <c r="A1284" s="16"/>
      <c r="B1284" s="16"/>
      <c r="C1284" s="15"/>
      <c r="D1284" s="19"/>
      <c r="E1284" s="20" t="b">
        <f aca="false">AND(A1284&lt;&gt;"",C1284&lt;&gt;"",D1284&lt;&gt;"",C1284&gt;='Read Me'!$B$5)</f>
        <v>0</v>
      </c>
      <c r="F1284" s="23" t="str">
        <f aca="false">IF(E1284,D1284,"")</f>
        <v/>
      </c>
      <c r="G1284" s="21" t="n">
        <f aca="false">IF(E1284,D1284^2,0)</f>
        <v>0</v>
      </c>
      <c r="H1284" s="3"/>
    </row>
    <row r="1285" customFormat="false" ht="15" hidden="false" customHeight="true" outlineLevel="0" collapsed="false">
      <c r="A1285" s="16"/>
      <c r="B1285" s="16"/>
      <c r="C1285" s="15"/>
      <c r="D1285" s="19"/>
      <c r="E1285" s="20" t="b">
        <f aca="false">AND(A1285&lt;&gt;"",C1285&lt;&gt;"",D1285&lt;&gt;"",C1285&gt;='Read Me'!$B$5)</f>
        <v>0</v>
      </c>
      <c r="F1285" s="23" t="str">
        <f aca="false">IF(E1285,D1285,"")</f>
        <v/>
      </c>
      <c r="G1285" s="21" t="n">
        <f aca="false">IF(E1285,D1285^2,0)</f>
        <v>0</v>
      </c>
      <c r="H1285" s="3"/>
    </row>
    <row r="1286" customFormat="false" ht="15" hidden="false" customHeight="true" outlineLevel="0" collapsed="false">
      <c r="A1286" s="16"/>
      <c r="B1286" s="16"/>
      <c r="C1286" s="15"/>
      <c r="D1286" s="19"/>
      <c r="E1286" s="20" t="b">
        <f aca="false">AND(A1286&lt;&gt;"",C1286&lt;&gt;"",D1286&lt;&gt;"",C1286&gt;='Read Me'!$B$5)</f>
        <v>0</v>
      </c>
      <c r="F1286" s="23" t="str">
        <f aca="false">IF(E1286,D1286,"")</f>
        <v/>
      </c>
      <c r="G1286" s="21" t="n">
        <f aca="false">IF(E1286,D1286^2,0)</f>
        <v>0</v>
      </c>
      <c r="H1286" s="3"/>
    </row>
    <row r="1287" customFormat="false" ht="15" hidden="false" customHeight="true" outlineLevel="0" collapsed="false">
      <c r="A1287" s="16"/>
      <c r="B1287" s="16"/>
      <c r="C1287" s="15"/>
      <c r="D1287" s="19"/>
      <c r="E1287" s="20" t="b">
        <f aca="false">AND(A1287&lt;&gt;"",C1287&lt;&gt;"",D1287&lt;&gt;"",C1287&gt;='Read Me'!$B$5)</f>
        <v>0</v>
      </c>
      <c r="F1287" s="23" t="str">
        <f aca="false">IF(E1287,D1287,"")</f>
        <v/>
      </c>
      <c r="G1287" s="21" t="n">
        <f aca="false">IF(E1287,D1287^2,0)</f>
        <v>0</v>
      </c>
      <c r="H1287" s="3"/>
    </row>
    <row r="1288" customFormat="false" ht="15" hidden="false" customHeight="true" outlineLevel="0" collapsed="false">
      <c r="A1288" s="16"/>
      <c r="B1288" s="16"/>
      <c r="C1288" s="15"/>
      <c r="D1288" s="19"/>
      <c r="E1288" s="20" t="b">
        <f aca="false">AND(A1288&lt;&gt;"",C1288&lt;&gt;"",D1288&lt;&gt;"",C1288&gt;='Read Me'!$B$5)</f>
        <v>0</v>
      </c>
      <c r="F1288" s="23" t="str">
        <f aca="false">IF(E1288,D1288,"")</f>
        <v/>
      </c>
      <c r="G1288" s="21" t="n">
        <f aca="false">IF(E1288,D1288^2,0)</f>
        <v>0</v>
      </c>
      <c r="H1288" s="3"/>
    </row>
    <row r="1289" customFormat="false" ht="15" hidden="false" customHeight="true" outlineLevel="0" collapsed="false">
      <c r="A1289" s="16"/>
      <c r="B1289" s="16"/>
      <c r="C1289" s="15"/>
      <c r="D1289" s="19"/>
      <c r="E1289" s="20" t="b">
        <f aca="false">AND(A1289&lt;&gt;"",C1289&lt;&gt;"",D1289&lt;&gt;"",C1289&gt;='Read Me'!$B$5)</f>
        <v>0</v>
      </c>
      <c r="F1289" s="23" t="str">
        <f aca="false">IF(E1289,D1289,"")</f>
        <v/>
      </c>
      <c r="G1289" s="21" t="n">
        <f aca="false">IF(E1289,D1289^2,0)</f>
        <v>0</v>
      </c>
      <c r="H1289" s="3"/>
    </row>
    <row r="1290" customFormat="false" ht="15" hidden="false" customHeight="true" outlineLevel="0" collapsed="false">
      <c r="A1290" s="16"/>
      <c r="B1290" s="16"/>
      <c r="C1290" s="15"/>
      <c r="D1290" s="19"/>
      <c r="E1290" s="20" t="b">
        <f aca="false">AND(A1290&lt;&gt;"",C1290&lt;&gt;"",D1290&lt;&gt;"",C1290&gt;='Read Me'!$B$5)</f>
        <v>0</v>
      </c>
      <c r="F1290" s="23" t="str">
        <f aca="false">IF(E1290,D1290,"")</f>
        <v/>
      </c>
      <c r="G1290" s="21" t="n">
        <f aca="false">IF(E1290,D1290^2,0)</f>
        <v>0</v>
      </c>
      <c r="H1290" s="3"/>
    </row>
    <row r="1291" customFormat="false" ht="15" hidden="false" customHeight="true" outlineLevel="0" collapsed="false">
      <c r="A1291" s="16"/>
      <c r="B1291" s="16"/>
      <c r="C1291" s="15"/>
      <c r="D1291" s="19"/>
      <c r="E1291" s="20" t="b">
        <f aca="false">AND(A1291&lt;&gt;"",C1291&lt;&gt;"",D1291&lt;&gt;"",C1291&gt;='Read Me'!$B$5)</f>
        <v>0</v>
      </c>
      <c r="F1291" s="23" t="str">
        <f aca="false">IF(E1291,D1291,"")</f>
        <v/>
      </c>
      <c r="G1291" s="21" t="n">
        <f aca="false">IF(E1291,D1291^2,0)</f>
        <v>0</v>
      </c>
      <c r="H1291" s="3"/>
    </row>
    <row r="1292" customFormat="false" ht="15" hidden="false" customHeight="true" outlineLevel="0" collapsed="false">
      <c r="A1292" s="16"/>
      <c r="B1292" s="16"/>
      <c r="C1292" s="15"/>
      <c r="D1292" s="19"/>
      <c r="E1292" s="20" t="b">
        <f aca="false">AND(A1292&lt;&gt;"",C1292&lt;&gt;"",D1292&lt;&gt;"",C1292&gt;='Read Me'!$B$5)</f>
        <v>0</v>
      </c>
      <c r="F1292" s="23" t="str">
        <f aca="false">IF(E1292,D1292,"")</f>
        <v/>
      </c>
      <c r="G1292" s="21" t="n">
        <f aca="false">IF(E1292,D1292^2,0)</f>
        <v>0</v>
      </c>
      <c r="H1292" s="3"/>
    </row>
    <row r="1293" customFormat="false" ht="15" hidden="false" customHeight="true" outlineLevel="0" collapsed="false">
      <c r="A1293" s="16"/>
      <c r="B1293" s="16"/>
      <c r="C1293" s="15"/>
      <c r="D1293" s="19"/>
      <c r="E1293" s="20" t="b">
        <f aca="false">AND(A1293&lt;&gt;"",C1293&lt;&gt;"",D1293&lt;&gt;"",C1293&gt;='Read Me'!$B$5)</f>
        <v>0</v>
      </c>
      <c r="F1293" s="23" t="str">
        <f aca="false">IF(E1293,D1293,"")</f>
        <v/>
      </c>
      <c r="G1293" s="21" t="n">
        <f aca="false">IF(E1293,D1293^2,0)</f>
        <v>0</v>
      </c>
      <c r="H1293" s="3"/>
    </row>
    <row r="1294" customFormat="false" ht="15" hidden="false" customHeight="true" outlineLevel="0" collapsed="false">
      <c r="A1294" s="16"/>
      <c r="B1294" s="16"/>
      <c r="C1294" s="15"/>
      <c r="D1294" s="19"/>
      <c r="E1294" s="20" t="b">
        <f aca="false">AND(A1294&lt;&gt;"",C1294&lt;&gt;"",D1294&lt;&gt;"",C1294&gt;='Read Me'!$B$5)</f>
        <v>0</v>
      </c>
      <c r="F1294" s="23" t="str">
        <f aca="false">IF(E1294,D1294,"")</f>
        <v/>
      </c>
      <c r="G1294" s="21" t="n">
        <f aca="false">IF(E1294,D1294^2,0)</f>
        <v>0</v>
      </c>
      <c r="H1294" s="3"/>
    </row>
    <row r="1295" customFormat="false" ht="15" hidden="false" customHeight="true" outlineLevel="0" collapsed="false">
      <c r="A1295" s="16"/>
      <c r="B1295" s="16"/>
      <c r="C1295" s="15"/>
      <c r="D1295" s="19"/>
      <c r="E1295" s="20" t="b">
        <f aca="false">AND(A1295&lt;&gt;"",C1295&lt;&gt;"",D1295&lt;&gt;"",C1295&gt;='Read Me'!$B$5)</f>
        <v>0</v>
      </c>
      <c r="F1295" s="23" t="str">
        <f aca="false">IF(E1295,D1295,"")</f>
        <v/>
      </c>
      <c r="G1295" s="21" t="n">
        <f aca="false">IF(E1295,D1295^2,0)</f>
        <v>0</v>
      </c>
      <c r="H1295" s="3"/>
    </row>
    <row r="1296" customFormat="false" ht="15" hidden="false" customHeight="true" outlineLevel="0" collapsed="false">
      <c r="A1296" s="16"/>
      <c r="B1296" s="16"/>
      <c r="C1296" s="15"/>
      <c r="D1296" s="19"/>
      <c r="E1296" s="20" t="b">
        <f aca="false">AND(A1296&lt;&gt;"",C1296&lt;&gt;"",D1296&lt;&gt;"",C1296&gt;='Read Me'!$B$5)</f>
        <v>0</v>
      </c>
      <c r="F1296" s="23" t="str">
        <f aca="false">IF(E1296,D1296,"")</f>
        <v/>
      </c>
      <c r="G1296" s="21" t="n">
        <f aca="false">IF(E1296,D1296^2,0)</f>
        <v>0</v>
      </c>
      <c r="H1296" s="3"/>
    </row>
    <row r="1297" customFormat="false" ht="15" hidden="false" customHeight="true" outlineLevel="0" collapsed="false">
      <c r="A1297" s="16"/>
      <c r="B1297" s="16"/>
      <c r="C1297" s="15"/>
      <c r="D1297" s="19"/>
      <c r="E1297" s="20" t="b">
        <f aca="false">AND(A1297&lt;&gt;"",C1297&lt;&gt;"",D1297&lt;&gt;"",C1297&gt;='Read Me'!$B$5)</f>
        <v>0</v>
      </c>
      <c r="F1297" s="23" t="str">
        <f aca="false">IF(E1297,D1297,"")</f>
        <v/>
      </c>
      <c r="G1297" s="21" t="n">
        <f aca="false">IF(E1297,D1297^2,0)</f>
        <v>0</v>
      </c>
      <c r="H1297" s="3"/>
    </row>
    <row r="1298" customFormat="false" ht="15" hidden="false" customHeight="true" outlineLevel="0" collapsed="false">
      <c r="A1298" s="16"/>
      <c r="B1298" s="16"/>
      <c r="C1298" s="15"/>
      <c r="D1298" s="19"/>
      <c r="E1298" s="20" t="b">
        <f aca="false">AND(A1298&lt;&gt;"",C1298&lt;&gt;"",D1298&lt;&gt;"",C1298&gt;='Read Me'!$B$5)</f>
        <v>0</v>
      </c>
      <c r="F1298" s="23" t="str">
        <f aca="false">IF(E1298,D1298,"")</f>
        <v/>
      </c>
      <c r="G1298" s="21" t="n">
        <f aca="false">IF(E1298,D1298^2,0)</f>
        <v>0</v>
      </c>
      <c r="H1298" s="3"/>
    </row>
    <row r="1299" customFormat="false" ht="15" hidden="false" customHeight="true" outlineLevel="0" collapsed="false">
      <c r="A1299" s="16"/>
      <c r="B1299" s="16"/>
      <c r="C1299" s="15"/>
      <c r="D1299" s="19"/>
      <c r="E1299" s="20" t="b">
        <f aca="false">AND(A1299&lt;&gt;"",C1299&lt;&gt;"",D1299&lt;&gt;"",C1299&gt;='Read Me'!$B$5)</f>
        <v>0</v>
      </c>
      <c r="F1299" s="23" t="str">
        <f aca="false">IF(E1299,D1299,"")</f>
        <v/>
      </c>
      <c r="G1299" s="21" t="n">
        <f aca="false">IF(E1299,D1299^2,0)</f>
        <v>0</v>
      </c>
      <c r="H1299" s="3"/>
    </row>
    <row r="1300" customFormat="false" ht="15" hidden="false" customHeight="true" outlineLevel="0" collapsed="false">
      <c r="A1300" s="16"/>
      <c r="B1300" s="16"/>
      <c r="C1300" s="15"/>
      <c r="D1300" s="19"/>
      <c r="E1300" s="20" t="b">
        <f aca="false">AND(A1300&lt;&gt;"",C1300&lt;&gt;"",D1300&lt;&gt;"",C1300&gt;='Read Me'!$B$5)</f>
        <v>0</v>
      </c>
      <c r="F1300" s="23" t="str">
        <f aca="false">IF(E1300,D1300,"")</f>
        <v/>
      </c>
      <c r="G1300" s="21" t="n">
        <f aca="false">IF(E1300,D1300^2,0)</f>
        <v>0</v>
      </c>
      <c r="H1300" s="3"/>
    </row>
    <row r="1301" customFormat="false" ht="15" hidden="false" customHeight="true" outlineLevel="0" collapsed="false">
      <c r="A1301" s="16"/>
      <c r="B1301" s="16"/>
      <c r="C1301" s="15"/>
      <c r="D1301" s="19"/>
      <c r="E1301" s="20" t="b">
        <f aca="false">AND(A1301&lt;&gt;"",C1301&lt;&gt;"",D1301&lt;&gt;"",C1301&gt;='Read Me'!$B$5)</f>
        <v>0</v>
      </c>
      <c r="F1301" s="23" t="str">
        <f aca="false">IF(E1301,D1301,"")</f>
        <v/>
      </c>
      <c r="G1301" s="21" t="n">
        <f aca="false">IF(E1301,D1301^2,0)</f>
        <v>0</v>
      </c>
      <c r="H1301" s="3"/>
    </row>
    <row r="1302" customFormat="false" ht="15" hidden="false" customHeight="true" outlineLevel="0" collapsed="false">
      <c r="A1302" s="16"/>
      <c r="B1302" s="16"/>
      <c r="C1302" s="15"/>
      <c r="D1302" s="19"/>
      <c r="E1302" s="20" t="b">
        <f aca="false">AND(A1302&lt;&gt;"",C1302&lt;&gt;"",D1302&lt;&gt;"",C1302&gt;='Read Me'!$B$5)</f>
        <v>0</v>
      </c>
      <c r="F1302" s="23" t="str">
        <f aca="false">IF(E1302,D1302,"")</f>
        <v/>
      </c>
      <c r="G1302" s="21" t="n">
        <f aca="false">IF(E1302,D1302^2,0)</f>
        <v>0</v>
      </c>
      <c r="H1302" s="3"/>
    </row>
    <row r="1303" customFormat="false" ht="15" hidden="false" customHeight="true" outlineLevel="0" collapsed="false">
      <c r="A1303" s="16"/>
      <c r="B1303" s="16"/>
      <c r="C1303" s="15"/>
      <c r="D1303" s="19"/>
      <c r="E1303" s="20" t="b">
        <f aca="false">AND(A1303&lt;&gt;"",C1303&lt;&gt;"",D1303&lt;&gt;"",C1303&gt;='Read Me'!$B$5)</f>
        <v>0</v>
      </c>
      <c r="F1303" s="23" t="str">
        <f aca="false">IF(E1303,D1303,"")</f>
        <v/>
      </c>
      <c r="G1303" s="21" t="n">
        <f aca="false">IF(E1303,D1303^2,0)</f>
        <v>0</v>
      </c>
      <c r="H1303" s="3"/>
    </row>
    <row r="1304" customFormat="false" ht="15" hidden="false" customHeight="true" outlineLevel="0" collapsed="false">
      <c r="A1304" s="16"/>
      <c r="B1304" s="16"/>
      <c r="C1304" s="15"/>
      <c r="D1304" s="19"/>
      <c r="E1304" s="20" t="b">
        <f aca="false">AND(A1304&lt;&gt;"",C1304&lt;&gt;"",D1304&lt;&gt;"",C1304&gt;='Read Me'!$B$5)</f>
        <v>0</v>
      </c>
      <c r="F1304" s="23" t="str">
        <f aca="false">IF(E1304,D1304,"")</f>
        <v/>
      </c>
      <c r="G1304" s="21" t="n">
        <f aca="false">IF(E1304,D1304^2,0)</f>
        <v>0</v>
      </c>
      <c r="H1304" s="3"/>
    </row>
    <row r="1305" customFormat="false" ht="15" hidden="false" customHeight="true" outlineLevel="0" collapsed="false">
      <c r="A1305" s="16"/>
      <c r="B1305" s="16"/>
      <c r="C1305" s="15"/>
      <c r="D1305" s="19"/>
      <c r="E1305" s="20" t="b">
        <f aca="false">AND(A1305&lt;&gt;"",C1305&lt;&gt;"",D1305&lt;&gt;"",C1305&gt;='Read Me'!$B$5)</f>
        <v>0</v>
      </c>
      <c r="F1305" s="23" t="str">
        <f aca="false">IF(E1305,D1305,"")</f>
        <v/>
      </c>
      <c r="G1305" s="21" t="n">
        <f aca="false">IF(E1305,D1305^2,0)</f>
        <v>0</v>
      </c>
      <c r="H1305" s="3"/>
    </row>
    <row r="1306" customFormat="false" ht="15" hidden="false" customHeight="true" outlineLevel="0" collapsed="false">
      <c r="A1306" s="16"/>
      <c r="B1306" s="16"/>
      <c r="C1306" s="15"/>
      <c r="D1306" s="19"/>
      <c r="E1306" s="20" t="b">
        <f aca="false">AND(A1306&lt;&gt;"",C1306&lt;&gt;"",D1306&lt;&gt;"",C1306&gt;='Read Me'!$B$5)</f>
        <v>0</v>
      </c>
      <c r="F1306" s="23" t="str">
        <f aca="false">IF(E1306,D1306,"")</f>
        <v/>
      </c>
      <c r="G1306" s="21" t="n">
        <f aca="false">IF(E1306,D1306^2,0)</f>
        <v>0</v>
      </c>
      <c r="H1306" s="3"/>
    </row>
    <row r="1307" customFormat="false" ht="15" hidden="false" customHeight="true" outlineLevel="0" collapsed="false">
      <c r="A1307" s="16"/>
      <c r="B1307" s="16"/>
      <c r="C1307" s="15"/>
      <c r="D1307" s="19"/>
      <c r="E1307" s="20" t="b">
        <f aca="false">AND(A1307&lt;&gt;"",C1307&lt;&gt;"",D1307&lt;&gt;"",C1307&gt;='Read Me'!$B$5)</f>
        <v>0</v>
      </c>
      <c r="F1307" s="23" t="str">
        <f aca="false">IF(E1307,D1307,"")</f>
        <v/>
      </c>
      <c r="G1307" s="21" t="n">
        <f aca="false">IF(E1307,D1307^2,0)</f>
        <v>0</v>
      </c>
      <c r="H1307" s="3"/>
    </row>
    <row r="1308" customFormat="false" ht="15" hidden="false" customHeight="true" outlineLevel="0" collapsed="false">
      <c r="A1308" s="16"/>
      <c r="B1308" s="16"/>
      <c r="C1308" s="15"/>
      <c r="D1308" s="19"/>
      <c r="E1308" s="20" t="b">
        <f aca="false">AND(A1308&lt;&gt;"",C1308&lt;&gt;"",D1308&lt;&gt;"",C1308&gt;='Read Me'!$B$5)</f>
        <v>0</v>
      </c>
      <c r="F1308" s="23" t="str">
        <f aca="false">IF(E1308,D1308,"")</f>
        <v/>
      </c>
      <c r="G1308" s="21" t="n">
        <f aca="false">IF(E1308,D1308^2,0)</f>
        <v>0</v>
      </c>
      <c r="H1308" s="3"/>
    </row>
    <row r="1309" customFormat="false" ht="15" hidden="false" customHeight="true" outlineLevel="0" collapsed="false">
      <c r="A1309" s="16"/>
      <c r="B1309" s="16"/>
      <c r="C1309" s="15"/>
      <c r="D1309" s="19"/>
      <c r="E1309" s="20" t="b">
        <f aca="false">AND(A1309&lt;&gt;"",C1309&lt;&gt;"",D1309&lt;&gt;"",C1309&gt;='Read Me'!$B$5)</f>
        <v>0</v>
      </c>
      <c r="F1309" s="23" t="str">
        <f aca="false">IF(E1309,D1309,"")</f>
        <v/>
      </c>
      <c r="G1309" s="21" t="n">
        <f aca="false">IF(E1309,D1309^2,0)</f>
        <v>0</v>
      </c>
      <c r="H1309" s="3"/>
    </row>
    <row r="1310" customFormat="false" ht="15" hidden="false" customHeight="true" outlineLevel="0" collapsed="false">
      <c r="A1310" s="16"/>
      <c r="B1310" s="16"/>
      <c r="C1310" s="15"/>
      <c r="D1310" s="19"/>
      <c r="E1310" s="20" t="b">
        <f aca="false">AND(A1310&lt;&gt;"",C1310&lt;&gt;"",D1310&lt;&gt;"",C1310&gt;='Read Me'!$B$5)</f>
        <v>0</v>
      </c>
      <c r="F1310" s="23" t="str">
        <f aca="false">IF(E1310,D1310,"")</f>
        <v/>
      </c>
      <c r="G1310" s="21" t="n">
        <f aca="false">IF(E1310,D1310^2,0)</f>
        <v>0</v>
      </c>
      <c r="H1310" s="3"/>
    </row>
    <row r="1311" customFormat="false" ht="15" hidden="false" customHeight="true" outlineLevel="0" collapsed="false">
      <c r="A1311" s="16"/>
      <c r="B1311" s="16"/>
      <c r="C1311" s="15"/>
      <c r="D1311" s="19"/>
      <c r="E1311" s="20" t="b">
        <f aca="false">AND(A1311&lt;&gt;"",C1311&lt;&gt;"",D1311&lt;&gt;"",C1311&gt;='Read Me'!$B$5)</f>
        <v>0</v>
      </c>
      <c r="F1311" s="23" t="str">
        <f aca="false">IF(E1311,D1311,"")</f>
        <v/>
      </c>
      <c r="G1311" s="21" t="n">
        <f aca="false">IF(E1311,D1311^2,0)</f>
        <v>0</v>
      </c>
      <c r="H1311" s="3"/>
    </row>
    <row r="1312" customFormat="false" ht="15" hidden="false" customHeight="true" outlineLevel="0" collapsed="false">
      <c r="A1312" s="16"/>
      <c r="B1312" s="16"/>
      <c r="C1312" s="15"/>
      <c r="D1312" s="19"/>
      <c r="E1312" s="20" t="b">
        <f aca="false">AND(A1312&lt;&gt;"",C1312&lt;&gt;"",D1312&lt;&gt;"",C1312&gt;='Read Me'!$B$5)</f>
        <v>0</v>
      </c>
      <c r="F1312" s="23" t="str">
        <f aca="false">IF(E1312,D1312,"")</f>
        <v/>
      </c>
      <c r="G1312" s="21" t="n">
        <f aca="false">IF(E1312,D1312^2,0)</f>
        <v>0</v>
      </c>
      <c r="H1312" s="3"/>
    </row>
    <row r="1313" customFormat="false" ht="15" hidden="false" customHeight="true" outlineLevel="0" collapsed="false">
      <c r="A1313" s="16"/>
      <c r="B1313" s="16"/>
      <c r="C1313" s="15"/>
      <c r="D1313" s="19"/>
      <c r="E1313" s="20" t="b">
        <f aca="false">AND(A1313&lt;&gt;"",C1313&lt;&gt;"",D1313&lt;&gt;"",C1313&gt;='Read Me'!$B$5)</f>
        <v>0</v>
      </c>
      <c r="F1313" s="23" t="str">
        <f aca="false">IF(E1313,D1313,"")</f>
        <v/>
      </c>
      <c r="G1313" s="21" t="n">
        <f aca="false">IF(E1313,D1313^2,0)</f>
        <v>0</v>
      </c>
      <c r="H1313" s="3"/>
    </row>
    <row r="1314" customFormat="false" ht="15" hidden="false" customHeight="true" outlineLevel="0" collapsed="false">
      <c r="A1314" s="16"/>
      <c r="B1314" s="16"/>
      <c r="C1314" s="15"/>
      <c r="D1314" s="19"/>
      <c r="E1314" s="20" t="b">
        <f aca="false">AND(A1314&lt;&gt;"",C1314&lt;&gt;"",D1314&lt;&gt;"",C1314&gt;='Read Me'!$B$5)</f>
        <v>0</v>
      </c>
      <c r="F1314" s="23" t="str">
        <f aca="false">IF(E1314,D1314,"")</f>
        <v/>
      </c>
      <c r="G1314" s="21" t="n">
        <f aca="false">IF(E1314,D1314^2,0)</f>
        <v>0</v>
      </c>
      <c r="H1314" s="3"/>
    </row>
    <row r="1315" customFormat="false" ht="15" hidden="false" customHeight="true" outlineLevel="0" collapsed="false">
      <c r="A1315" s="16"/>
      <c r="B1315" s="16"/>
      <c r="C1315" s="15"/>
      <c r="D1315" s="19"/>
      <c r="E1315" s="20" t="b">
        <f aca="false">AND(A1315&lt;&gt;"",C1315&lt;&gt;"",D1315&lt;&gt;"",C1315&gt;='Read Me'!$B$5)</f>
        <v>0</v>
      </c>
      <c r="F1315" s="23" t="str">
        <f aca="false">IF(E1315,D1315,"")</f>
        <v/>
      </c>
      <c r="G1315" s="21" t="n">
        <f aca="false">IF(E1315,D1315^2,0)</f>
        <v>0</v>
      </c>
      <c r="H1315" s="3"/>
    </row>
    <row r="1316" customFormat="false" ht="15" hidden="false" customHeight="true" outlineLevel="0" collapsed="false">
      <c r="A1316" s="16"/>
      <c r="B1316" s="16"/>
      <c r="C1316" s="15"/>
      <c r="D1316" s="19"/>
      <c r="E1316" s="20" t="b">
        <f aca="false">AND(A1316&lt;&gt;"",C1316&lt;&gt;"",D1316&lt;&gt;"",C1316&gt;='Read Me'!$B$5)</f>
        <v>0</v>
      </c>
      <c r="F1316" s="23" t="str">
        <f aca="false">IF(E1316,D1316,"")</f>
        <v/>
      </c>
      <c r="G1316" s="21" t="n">
        <f aca="false">IF(E1316,D1316^2,0)</f>
        <v>0</v>
      </c>
      <c r="H1316" s="3"/>
    </row>
    <row r="1317" customFormat="false" ht="15" hidden="false" customHeight="true" outlineLevel="0" collapsed="false">
      <c r="A1317" s="16"/>
      <c r="B1317" s="16"/>
      <c r="C1317" s="15"/>
      <c r="D1317" s="19"/>
      <c r="E1317" s="20" t="b">
        <f aca="false">AND(A1317&lt;&gt;"",C1317&lt;&gt;"",D1317&lt;&gt;"",C1317&gt;='Read Me'!$B$5)</f>
        <v>0</v>
      </c>
      <c r="F1317" s="23" t="str">
        <f aca="false">IF(E1317,D1317,"")</f>
        <v/>
      </c>
      <c r="G1317" s="21" t="n">
        <f aca="false">IF(E1317,D1317^2,0)</f>
        <v>0</v>
      </c>
      <c r="H1317" s="3"/>
    </row>
    <row r="1318" customFormat="false" ht="15" hidden="false" customHeight="true" outlineLevel="0" collapsed="false">
      <c r="A1318" s="16"/>
      <c r="B1318" s="16"/>
      <c r="C1318" s="15"/>
      <c r="D1318" s="19"/>
      <c r="E1318" s="20" t="b">
        <f aca="false">AND(A1318&lt;&gt;"",C1318&lt;&gt;"",D1318&lt;&gt;"",C1318&gt;='Read Me'!$B$5)</f>
        <v>0</v>
      </c>
      <c r="F1318" s="23" t="str">
        <f aca="false">IF(E1318,D1318,"")</f>
        <v/>
      </c>
      <c r="G1318" s="21" t="n">
        <f aca="false">IF(E1318,D1318^2,0)</f>
        <v>0</v>
      </c>
      <c r="H1318" s="3"/>
    </row>
    <row r="1319" customFormat="false" ht="15" hidden="false" customHeight="true" outlineLevel="0" collapsed="false">
      <c r="A1319" s="16"/>
      <c r="B1319" s="16"/>
      <c r="C1319" s="15"/>
      <c r="D1319" s="19"/>
      <c r="E1319" s="20" t="b">
        <f aca="false">AND(A1319&lt;&gt;"",C1319&lt;&gt;"",D1319&lt;&gt;"",C1319&gt;='Read Me'!$B$5)</f>
        <v>0</v>
      </c>
      <c r="F1319" s="23" t="str">
        <f aca="false">IF(E1319,D1319,"")</f>
        <v/>
      </c>
      <c r="G1319" s="21" t="n">
        <f aca="false">IF(E1319,D1319^2,0)</f>
        <v>0</v>
      </c>
      <c r="H1319" s="3"/>
    </row>
    <row r="1320" customFormat="false" ht="15" hidden="false" customHeight="true" outlineLevel="0" collapsed="false">
      <c r="A1320" s="16"/>
      <c r="B1320" s="16"/>
      <c r="C1320" s="15"/>
      <c r="D1320" s="19"/>
      <c r="E1320" s="20" t="b">
        <f aca="false">AND(A1320&lt;&gt;"",C1320&lt;&gt;"",D1320&lt;&gt;"",C1320&gt;='Read Me'!$B$5)</f>
        <v>0</v>
      </c>
      <c r="F1320" s="23" t="str">
        <f aca="false">IF(E1320,D1320,"")</f>
        <v/>
      </c>
      <c r="G1320" s="21" t="n">
        <f aca="false">IF(E1320,D1320^2,0)</f>
        <v>0</v>
      </c>
      <c r="H1320" s="3"/>
    </row>
    <row r="1321" customFormat="false" ht="15" hidden="false" customHeight="true" outlineLevel="0" collapsed="false">
      <c r="A1321" s="16"/>
      <c r="B1321" s="16"/>
      <c r="C1321" s="15"/>
      <c r="D1321" s="19"/>
      <c r="E1321" s="20" t="b">
        <f aca="false">AND(A1321&lt;&gt;"",C1321&lt;&gt;"",D1321&lt;&gt;"",C1321&gt;='Read Me'!$B$5)</f>
        <v>0</v>
      </c>
      <c r="F1321" s="23" t="str">
        <f aca="false">IF(E1321,D1321,"")</f>
        <v/>
      </c>
      <c r="G1321" s="21" t="n">
        <f aca="false">IF(E1321,D1321^2,0)</f>
        <v>0</v>
      </c>
      <c r="H1321" s="3"/>
    </row>
    <row r="1322" customFormat="false" ht="15" hidden="false" customHeight="true" outlineLevel="0" collapsed="false">
      <c r="A1322" s="16"/>
      <c r="B1322" s="16"/>
      <c r="C1322" s="15"/>
      <c r="D1322" s="19"/>
      <c r="E1322" s="20" t="b">
        <f aca="false">AND(A1322&lt;&gt;"",C1322&lt;&gt;"",D1322&lt;&gt;"",C1322&gt;='Read Me'!$B$5)</f>
        <v>0</v>
      </c>
      <c r="F1322" s="23" t="str">
        <f aca="false">IF(E1322,D1322,"")</f>
        <v/>
      </c>
      <c r="G1322" s="21" t="n">
        <f aca="false">IF(E1322,D1322^2,0)</f>
        <v>0</v>
      </c>
      <c r="H1322" s="3"/>
    </row>
    <row r="1323" customFormat="false" ht="15" hidden="false" customHeight="true" outlineLevel="0" collapsed="false">
      <c r="A1323" s="16"/>
      <c r="B1323" s="16"/>
      <c r="C1323" s="15"/>
      <c r="D1323" s="19"/>
      <c r="E1323" s="20" t="b">
        <f aca="false">AND(A1323&lt;&gt;"",C1323&lt;&gt;"",D1323&lt;&gt;"",C1323&gt;='Read Me'!$B$5)</f>
        <v>0</v>
      </c>
      <c r="F1323" s="23" t="str">
        <f aca="false">IF(E1323,D1323,"")</f>
        <v/>
      </c>
      <c r="G1323" s="21" t="n">
        <f aca="false">IF(E1323,D1323^2,0)</f>
        <v>0</v>
      </c>
      <c r="H1323" s="3"/>
    </row>
    <row r="1324" customFormat="false" ht="15" hidden="false" customHeight="true" outlineLevel="0" collapsed="false">
      <c r="A1324" s="16"/>
      <c r="B1324" s="16"/>
      <c r="C1324" s="15"/>
      <c r="D1324" s="19"/>
      <c r="E1324" s="20" t="b">
        <f aca="false">AND(A1324&lt;&gt;"",C1324&lt;&gt;"",D1324&lt;&gt;"",C1324&gt;='Read Me'!$B$5)</f>
        <v>0</v>
      </c>
      <c r="F1324" s="23" t="str">
        <f aca="false">IF(E1324,D1324,"")</f>
        <v/>
      </c>
      <c r="G1324" s="21" t="n">
        <f aca="false">IF(E1324,D1324^2,0)</f>
        <v>0</v>
      </c>
      <c r="H1324" s="3"/>
    </row>
    <row r="1325" customFormat="false" ht="15" hidden="false" customHeight="true" outlineLevel="0" collapsed="false">
      <c r="A1325" s="16"/>
      <c r="B1325" s="16"/>
      <c r="C1325" s="15"/>
      <c r="D1325" s="19"/>
      <c r="E1325" s="20" t="b">
        <f aca="false">AND(A1325&lt;&gt;"",C1325&lt;&gt;"",D1325&lt;&gt;"",C1325&gt;='Read Me'!$B$5)</f>
        <v>0</v>
      </c>
      <c r="F1325" s="23" t="str">
        <f aca="false">IF(E1325,D1325,"")</f>
        <v/>
      </c>
      <c r="G1325" s="21" t="n">
        <f aca="false">IF(E1325,D1325^2,0)</f>
        <v>0</v>
      </c>
      <c r="H1325" s="3"/>
    </row>
    <row r="1326" customFormat="false" ht="15" hidden="false" customHeight="true" outlineLevel="0" collapsed="false">
      <c r="A1326" s="16"/>
      <c r="B1326" s="16"/>
      <c r="C1326" s="15"/>
      <c r="D1326" s="19"/>
      <c r="E1326" s="20" t="b">
        <f aca="false">AND(A1326&lt;&gt;"",C1326&lt;&gt;"",D1326&lt;&gt;"",C1326&gt;='Read Me'!$B$5)</f>
        <v>0</v>
      </c>
      <c r="F1326" s="23" t="str">
        <f aca="false">IF(E1326,D1326,"")</f>
        <v/>
      </c>
      <c r="G1326" s="21" t="n">
        <f aca="false">IF(E1326,D1326^2,0)</f>
        <v>0</v>
      </c>
      <c r="H1326" s="3"/>
    </row>
    <row r="1327" customFormat="false" ht="15" hidden="false" customHeight="true" outlineLevel="0" collapsed="false">
      <c r="A1327" s="16"/>
      <c r="B1327" s="16"/>
      <c r="C1327" s="15"/>
      <c r="D1327" s="19"/>
      <c r="E1327" s="20" t="b">
        <f aca="false">AND(A1327&lt;&gt;"",C1327&lt;&gt;"",D1327&lt;&gt;"",C1327&gt;='Read Me'!$B$5)</f>
        <v>0</v>
      </c>
      <c r="F1327" s="23" t="str">
        <f aca="false">IF(E1327,D1327,"")</f>
        <v/>
      </c>
      <c r="G1327" s="21" t="n">
        <f aca="false">IF(E1327,D1327^2,0)</f>
        <v>0</v>
      </c>
      <c r="H1327" s="3"/>
    </row>
    <row r="1328" customFormat="false" ht="15" hidden="false" customHeight="true" outlineLevel="0" collapsed="false">
      <c r="A1328" s="16"/>
      <c r="B1328" s="16"/>
      <c r="C1328" s="15"/>
      <c r="D1328" s="19"/>
      <c r="E1328" s="20" t="b">
        <f aca="false">AND(A1328&lt;&gt;"",C1328&lt;&gt;"",D1328&lt;&gt;"",C1328&gt;='Read Me'!$B$5)</f>
        <v>0</v>
      </c>
      <c r="F1328" s="23" t="str">
        <f aca="false">IF(E1328,D1328,"")</f>
        <v/>
      </c>
      <c r="G1328" s="21" t="n">
        <f aca="false">IF(E1328,D1328^2,0)</f>
        <v>0</v>
      </c>
      <c r="H1328" s="3"/>
    </row>
    <row r="1329" customFormat="false" ht="15" hidden="false" customHeight="true" outlineLevel="0" collapsed="false">
      <c r="A1329" s="16"/>
      <c r="B1329" s="16"/>
      <c r="C1329" s="15"/>
      <c r="D1329" s="19"/>
      <c r="E1329" s="20" t="b">
        <f aca="false">AND(A1329&lt;&gt;"",C1329&lt;&gt;"",D1329&lt;&gt;"",C1329&gt;='Read Me'!$B$5)</f>
        <v>0</v>
      </c>
      <c r="F1329" s="23" t="str">
        <f aca="false">IF(E1329,D1329,"")</f>
        <v/>
      </c>
      <c r="G1329" s="21" t="n">
        <f aca="false">IF(E1329,D1329^2,0)</f>
        <v>0</v>
      </c>
      <c r="H1329" s="3"/>
    </row>
    <row r="1330" customFormat="false" ht="15" hidden="false" customHeight="true" outlineLevel="0" collapsed="false">
      <c r="A1330" s="16"/>
      <c r="B1330" s="16"/>
      <c r="C1330" s="15"/>
      <c r="D1330" s="19"/>
      <c r="E1330" s="20" t="b">
        <f aca="false">AND(A1330&lt;&gt;"",C1330&lt;&gt;"",D1330&lt;&gt;"",C1330&gt;='Read Me'!$B$5)</f>
        <v>0</v>
      </c>
      <c r="F1330" s="23" t="str">
        <f aca="false">IF(E1330,D1330,"")</f>
        <v/>
      </c>
      <c r="G1330" s="21" t="n">
        <f aca="false">IF(E1330,D1330^2,0)</f>
        <v>0</v>
      </c>
      <c r="H1330" s="3"/>
    </row>
    <row r="1331" customFormat="false" ht="15" hidden="false" customHeight="true" outlineLevel="0" collapsed="false">
      <c r="A1331" s="16"/>
      <c r="B1331" s="16"/>
      <c r="C1331" s="15"/>
      <c r="D1331" s="19"/>
      <c r="E1331" s="20" t="b">
        <f aca="false">AND(A1331&lt;&gt;"",C1331&lt;&gt;"",D1331&lt;&gt;"",C1331&gt;='Read Me'!$B$5)</f>
        <v>0</v>
      </c>
      <c r="F1331" s="23" t="str">
        <f aca="false">IF(E1331,D1331,"")</f>
        <v/>
      </c>
      <c r="G1331" s="21" t="n">
        <f aca="false">IF(E1331,D1331^2,0)</f>
        <v>0</v>
      </c>
      <c r="H1331" s="3"/>
    </row>
    <row r="1332" customFormat="false" ht="15" hidden="false" customHeight="true" outlineLevel="0" collapsed="false">
      <c r="A1332" s="16"/>
      <c r="B1332" s="16"/>
      <c r="C1332" s="15"/>
      <c r="D1332" s="19"/>
      <c r="E1332" s="20" t="b">
        <f aca="false">AND(A1332&lt;&gt;"",C1332&lt;&gt;"",D1332&lt;&gt;"",C1332&gt;='Read Me'!$B$5)</f>
        <v>0</v>
      </c>
      <c r="F1332" s="23" t="str">
        <f aca="false">IF(E1332,D1332,"")</f>
        <v/>
      </c>
      <c r="G1332" s="21" t="n">
        <f aca="false">IF(E1332,D1332^2,0)</f>
        <v>0</v>
      </c>
      <c r="H1332" s="3"/>
    </row>
    <row r="1333" customFormat="false" ht="15" hidden="false" customHeight="true" outlineLevel="0" collapsed="false">
      <c r="A1333" s="16"/>
      <c r="B1333" s="16"/>
      <c r="C1333" s="15"/>
      <c r="D1333" s="19"/>
      <c r="E1333" s="20" t="b">
        <f aca="false">AND(A1333&lt;&gt;"",C1333&lt;&gt;"",D1333&lt;&gt;"",C1333&gt;='Read Me'!$B$5)</f>
        <v>0</v>
      </c>
      <c r="F1333" s="23" t="str">
        <f aca="false">IF(E1333,D1333,"")</f>
        <v/>
      </c>
      <c r="G1333" s="21" t="n">
        <f aca="false">IF(E1333,D1333^2,0)</f>
        <v>0</v>
      </c>
      <c r="H1333" s="3"/>
    </row>
    <row r="1334" customFormat="false" ht="15" hidden="false" customHeight="true" outlineLevel="0" collapsed="false">
      <c r="A1334" s="16"/>
      <c r="B1334" s="16"/>
      <c r="C1334" s="15"/>
      <c r="D1334" s="19"/>
      <c r="E1334" s="20" t="b">
        <f aca="false">AND(A1334&lt;&gt;"",C1334&lt;&gt;"",D1334&lt;&gt;"",C1334&gt;='Read Me'!$B$5)</f>
        <v>0</v>
      </c>
      <c r="F1334" s="23" t="str">
        <f aca="false">IF(E1334,D1334,"")</f>
        <v/>
      </c>
      <c r="G1334" s="21" t="n">
        <f aca="false">IF(E1334,D1334^2,0)</f>
        <v>0</v>
      </c>
      <c r="H1334" s="3"/>
    </row>
    <row r="1335" customFormat="false" ht="15" hidden="false" customHeight="true" outlineLevel="0" collapsed="false">
      <c r="A1335" s="16"/>
      <c r="B1335" s="16"/>
      <c r="C1335" s="15"/>
      <c r="D1335" s="19"/>
      <c r="E1335" s="20" t="b">
        <f aca="false">AND(A1335&lt;&gt;"",C1335&lt;&gt;"",D1335&lt;&gt;"",C1335&gt;='Read Me'!$B$5)</f>
        <v>0</v>
      </c>
      <c r="F1335" s="23" t="str">
        <f aca="false">IF(E1335,D1335,"")</f>
        <v/>
      </c>
      <c r="G1335" s="21" t="n">
        <f aca="false">IF(E1335,D1335^2,0)</f>
        <v>0</v>
      </c>
      <c r="H1335" s="3"/>
    </row>
    <row r="1336" customFormat="false" ht="15" hidden="false" customHeight="true" outlineLevel="0" collapsed="false">
      <c r="A1336" s="16"/>
      <c r="B1336" s="16"/>
      <c r="C1336" s="15"/>
      <c r="D1336" s="19"/>
      <c r="E1336" s="20" t="b">
        <f aca="false">AND(A1336&lt;&gt;"",C1336&lt;&gt;"",D1336&lt;&gt;"",C1336&gt;='Read Me'!$B$5)</f>
        <v>0</v>
      </c>
      <c r="F1336" s="23" t="str">
        <f aca="false">IF(E1336,D1336,"")</f>
        <v/>
      </c>
      <c r="G1336" s="21" t="n">
        <f aca="false">IF(E1336,D1336^2,0)</f>
        <v>0</v>
      </c>
      <c r="H1336" s="3"/>
    </row>
    <row r="1337" customFormat="false" ht="15" hidden="false" customHeight="true" outlineLevel="0" collapsed="false">
      <c r="A1337" s="16"/>
      <c r="B1337" s="16"/>
      <c r="C1337" s="15"/>
      <c r="D1337" s="19"/>
      <c r="E1337" s="20" t="b">
        <f aca="false">AND(A1337&lt;&gt;"",C1337&lt;&gt;"",D1337&lt;&gt;"",C1337&gt;='Read Me'!$B$5)</f>
        <v>0</v>
      </c>
      <c r="F1337" s="23" t="str">
        <f aca="false">IF(E1337,D1337,"")</f>
        <v/>
      </c>
      <c r="G1337" s="21" t="n">
        <f aca="false">IF(E1337,D1337^2,0)</f>
        <v>0</v>
      </c>
      <c r="H1337" s="3"/>
    </row>
    <row r="1338" customFormat="false" ht="15" hidden="false" customHeight="true" outlineLevel="0" collapsed="false">
      <c r="A1338" s="16"/>
      <c r="B1338" s="16"/>
      <c r="C1338" s="15"/>
      <c r="D1338" s="19"/>
      <c r="E1338" s="20" t="b">
        <f aca="false">AND(A1338&lt;&gt;"",C1338&lt;&gt;"",D1338&lt;&gt;"",C1338&gt;='Read Me'!$B$5)</f>
        <v>0</v>
      </c>
      <c r="F1338" s="23" t="str">
        <f aca="false">IF(E1338,D1338,"")</f>
        <v/>
      </c>
      <c r="G1338" s="21" t="n">
        <f aca="false">IF(E1338,D1338^2,0)</f>
        <v>0</v>
      </c>
      <c r="H1338" s="3"/>
    </row>
    <row r="1339" customFormat="false" ht="15" hidden="false" customHeight="true" outlineLevel="0" collapsed="false">
      <c r="A1339" s="16"/>
      <c r="B1339" s="16"/>
      <c r="C1339" s="15"/>
      <c r="D1339" s="19"/>
      <c r="E1339" s="20" t="b">
        <f aca="false">AND(A1339&lt;&gt;"",C1339&lt;&gt;"",D1339&lt;&gt;"",C1339&gt;='Read Me'!$B$5)</f>
        <v>0</v>
      </c>
      <c r="F1339" s="23" t="str">
        <f aca="false">IF(E1339,D1339,"")</f>
        <v/>
      </c>
      <c r="G1339" s="21" t="n">
        <f aca="false">IF(E1339,D1339^2,0)</f>
        <v>0</v>
      </c>
      <c r="H1339" s="3"/>
    </row>
    <row r="1340" customFormat="false" ht="15" hidden="false" customHeight="true" outlineLevel="0" collapsed="false">
      <c r="A1340" s="16"/>
      <c r="B1340" s="16"/>
      <c r="C1340" s="15"/>
      <c r="D1340" s="19"/>
      <c r="E1340" s="20" t="b">
        <f aca="false">AND(A1340&lt;&gt;"",C1340&lt;&gt;"",D1340&lt;&gt;"",C1340&gt;='Read Me'!$B$5)</f>
        <v>0</v>
      </c>
      <c r="F1340" s="23" t="str">
        <f aca="false">IF(E1340,D1340,"")</f>
        <v/>
      </c>
      <c r="G1340" s="21" t="n">
        <f aca="false">IF(E1340,D1340^2,0)</f>
        <v>0</v>
      </c>
      <c r="H1340" s="3"/>
    </row>
    <row r="1341" customFormat="false" ht="15" hidden="false" customHeight="true" outlineLevel="0" collapsed="false">
      <c r="A1341" s="16"/>
      <c r="B1341" s="16"/>
      <c r="C1341" s="15"/>
      <c r="D1341" s="19"/>
      <c r="E1341" s="20" t="b">
        <f aca="false">AND(A1341&lt;&gt;"",C1341&lt;&gt;"",D1341&lt;&gt;"",C1341&gt;='Read Me'!$B$5)</f>
        <v>0</v>
      </c>
      <c r="F1341" s="23" t="str">
        <f aca="false">IF(E1341,D1341,"")</f>
        <v/>
      </c>
      <c r="G1341" s="21" t="n">
        <f aca="false">IF(E1341,D1341^2,0)</f>
        <v>0</v>
      </c>
      <c r="H1341" s="3"/>
    </row>
    <row r="1342" customFormat="false" ht="15" hidden="false" customHeight="true" outlineLevel="0" collapsed="false">
      <c r="A1342" s="16"/>
      <c r="B1342" s="16"/>
      <c r="C1342" s="15"/>
      <c r="D1342" s="19"/>
      <c r="E1342" s="20" t="b">
        <f aca="false">AND(A1342&lt;&gt;"",C1342&lt;&gt;"",D1342&lt;&gt;"",C1342&gt;='Read Me'!$B$5)</f>
        <v>0</v>
      </c>
      <c r="F1342" s="23" t="str">
        <f aca="false">IF(E1342,D1342,"")</f>
        <v/>
      </c>
      <c r="G1342" s="21" t="n">
        <f aca="false">IF(E1342,D1342^2,0)</f>
        <v>0</v>
      </c>
      <c r="H1342" s="3"/>
    </row>
    <row r="1343" customFormat="false" ht="15" hidden="false" customHeight="true" outlineLevel="0" collapsed="false">
      <c r="A1343" s="16"/>
      <c r="B1343" s="16"/>
      <c r="C1343" s="15"/>
      <c r="D1343" s="19"/>
      <c r="E1343" s="20" t="b">
        <f aca="false">AND(A1343&lt;&gt;"",C1343&lt;&gt;"",D1343&lt;&gt;"",C1343&gt;='Read Me'!$B$5)</f>
        <v>0</v>
      </c>
      <c r="F1343" s="23" t="str">
        <f aca="false">IF(E1343,D1343,"")</f>
        <v/>
      </c>
      <c r="G1343" s="21" t="n">
        <f aca="false">IF(E1343,D1343^2,0)</f>
        <v>0</v>
      </c>
      <c r="H1343" s="3"/>
    </row>
    <row r="1344" customFormat="false" ht="15" hidden="false" customHeight="true" outlineLevel="0" collapsed="false">
      <c r="A1344" s="16"/>
      <c r="B1344" s="16"/>
      <c r="C1344" s="15"/>
      <c r="D1344" s="19"/>
      <c r="E1344" s="20" t="b">
        <f aca="false">AND(A1344&lt;&gt;"",C1344&lt;&gt;"",D1344&lt;&gt;"",C1344&gt;='Read Me'!$B$5)</f>
        <v>0</v>
      </c>
      <c r="F1344" s="23" t="str">
        <f aca="false">IF(E1344,D1344,"")</f>
        <v/>
      </c>
      <c r="G1344" s="21" t="n">
        <f aca="false">IF(E1344,D1344^2,0)</f>
        <v>0</v>
      </c>
      <c r="H1344" s="3"/>
    </row>
    <row r="1345" customFormat="false" ht="15" hidden="false" customHeight="true" outlineLevel="0" collapsed="false">
      <c r="A1345" s="16"/>
      <c r="B1345" s="16"/>
      <c r="C1345" s="15"/>
      <c r="D1345" s="19"/>
      <c r="E1345" s="20" t="b">
        <f aca="false">AND(A1345&lt;&gt;"",C1345&lt;&gt;"",D1345&lt;&gt;"",C1345&gt;='Read Me'!$B$5)</f>
        <v>0</v>
      </c>
      <c r="F1345" s="23" t="str">
        <f aca="false">IF(E1345,D1345,"")</f>
        <v/>
      </c>
      <c r="G1345" s="21" t="n">
        <f aca="false">IF(E1345,D1345^2,0)</f>
        <v>0</v>
      </c>
      <c r="H1345" s="3"/>
    </row>
    <row r="1346" customFormat="false" ht="15" hidden="false" customHeight="true" outlineLevel="0" collapsed="false">
      <c r="A1346" s="16"/>
      <c r="B1346" s="16"/>
      <c r="C1346" s="15"/>
      <c r="D1346" s="19"/>
      <c r="E1346" s="20" t="b">
        <f aca="false">AND(A1346&lt;&gt;"",C1346&lt;&gt;"",D1346&lt;&gt;"",C1346&gt;='Read Me'!$B$5)</f>
        <v>0</v>
      </c>
      <c r="F1346" s="23" t="str">
        <f aca="false">IF(E1346,D1346,"")</f>
        <v/>
      </c>
      <c r="G1346" s="21" t="n">
        <f aca="false">IF(E1346,D1346^2,0)</f>
        <v>0</v>
      </c>
      <c r="H1346" s="3"/>
    </row>
    <row r="1347" customFormat="false" ht="15" hidden="false" customHeight="true" outlineLevel="0" collapsed="false">
      <c r="A1347" s="16"/>
      <c r="B1347" s="16"/>
      <c r="C1347" s="15"/>
      <c r="D1347" s="19"/>
      <c r="E1347" s="20" t="b">
        <f aca="false">AND(A1347&lt;&gt;"",C1347&lt;&gt;"",D1347&lt;&gt;"",C1347&gt;='Read Me'!$B$5)</f>
        <v>0</v>
      </c>
      <c r="F1347" s="23" t="str">
        <f aca="false">IF(E1347,D1347,"")</f>
        <v/>
      </c>
      <c r="G1347" s="21" t="n">
        <f aca="false">IF(E1347,D1347^2,0)</f>
        <v>0</v>
      </c>
      <c r="H1347" s="3"/>
    </row>
    <row r="1348" customFormat="false" ht="15" hidden="false" customHeight="true" outlineLevel="0" collapsed="false">
      <c r="A1348" s="16"/>
      <c r="B1348" s="16"/>
      <c r="C1348" s="15"/>
      <c r="D1348" s="19"/>
      <c r="E1348" s="20" t="b">
        <f aca="false">AND(A1348&lt;&gt;"",C1348&lt;&gt;"",D1348&lt;&gt;"",C1348&gt;='Read Me'!$B$5)</f>
        <v>0</v>
      </c>
      <c r="F1348" s="23" t="str">
        <f aca="false">IF(E1348,D1348,"")</f>
        <v/>
      </c>
      <c r="G1348" s="21" t="n">
        <f aca="false">IF(E1348,D1348^2,0)</f>
        <v>0</v>
      </c>
      <c r="H1348" s="3"/>
    </row>
    <row r="1349" customFormat="false" ht="15" hidden="false" customHeight="true" outlineLevel="0" collapsed="false">
      <c r="A1349" s="16"/>
      <c r="B1349" s="16"/>
      <c r="C1349" s="15"/>
      <c r="D1349" s="19"/>
      <c r="E1349" s="20" t="b">
        <f aca="false">AND(A1349&lt;&gt;"",C1349&lt;&gt;"",D1349&lt;&gt;"",C1349&gt;='Read Me'!$B$5)</f>
        <v>0</v>
      </c>
      <c r="F1349" s="23" t="str">
        <f aca="false">IF(E1349,D1349,"")</f>
        <v/>
      </c>
      <c r="G1349" s="21" t="n">
        <f aca="false">IF(E1349,D1349^2,0)</f>
        <v>0</v>
      </c>
      <c r="H1349" s="3"/>
    </row>
    <row r="1350" customFormat="false" ht="15" hidden="false" customHeight="true" outlineLevel="0" collapsed="false">
      <c r="A1350" s="16"/>
      <c r="B1350" s="16"/>
      <c r="C1350" s="15"/>
      <c r="D1350" s="19"/>
      <c r="E1350" s="20" t="b">
        <f aca="false">AND(A1350&lt;&gt;"",C1350&lt;&gt;"",D1350&lt;&gt;"",C1350&gt;='Read Me'!$B$5)</f>
        <v>0</v>
      </c>
      <c r="F1350" s="23" t="str">
        <f aca="false">IF(E1350,D1350,"")</f>
        <v/>
      </c>
      <c r="G1350" s="21" t="n">
        <f aca="false">IF(E1350,D1350^2,0)</f>
        <v>0</v>
      </c>
      <c r="H1350" s="3"/>
    </row>
    <row r="1351" customFormat="false" ht="15" hidden="false" customHeight="true" outlineLevel="0" collapsed="false">
      <c r="A1351" s="16"/>
      <c r="B1351" s="16"/>
      <c r="C1351" s="15"/>
      <c r="D1351" s="19"/>
      <c r="E1351" s="20" t="b">
        <f aca="false">AND(A1351&lt;&gt;"",C1351&lt;&gt;"",D1351&lt;&gt;"",C1351&gt;='Read Me'!$B$5)</f>
        <v>0</v>
      </c>
      <c r="F1351" s="23" t="str">
        <f aca="false">IF(E1351,D1351,"")</f>
        <v/>
      </c>
      <c r="G1351" s="21" t="n">
        <f aca="false">IF(E1351,D1351^2,0)</f>
        <v>0</v>
      </c>
      <c r="H1351" s="3"/>
    </row>
    <row r="1352" customFormat="false" ht="15" hidden="false" customHeight="true" outlineLevel="0" collapsed="false">
      <c r="A1352" s="16"/>
      <c r="B1352" s="16"/>
      <c r="C1352" s="15"/>
      <c r="D1352" s="19"/>
      <c r="E1352" s="20" t="b">
        <f aca="false">AND(A1352&lt;&gt;"",C1352&lt;&gt;"",D1352&lt;&gt;"",C1352&gt;='Read Me'!$B$5)</f>
        <v>0</v>
      </c>
      <c r="F1352" s="23" t="str">
        <f aca="false">IF(E1352,D1352,"")</f>
        <v/>
      </c>
      <c r="G1352" s="21" t="n">
        <f aca="false">IF(E1352,D1352^2,0)</f>
        <v>0</v>
      </c>
      <c r="H1352" s="3"/>
    </row>
    <row r="1353" customFormat="false" ht="15" hidden="false" customHeight="true" outlineLevel="0" collapsed="false">
      <c r="A1353" s="16"/>
      <c r="B1353" s="16"/>
      <c r="C1353" s="15"/>
      <c r="D1353" s="19"/>
      <c r="E1353" s="20" t="b">
        <f aca="false">AND(A1353&lt;&gt;"",C1353&lt;&gt;"",D1353&lt;&gt;"",C1353&gt;='Read Me'!$B$5)</f>
        <v>0</v>
      </c>
      <c r="F1353" s="23" t="str">
        <f aca="false">IF(E1353,D1353,"")</f>
        <v/>
      </c>
      <c r="G1353" s="21" t="n">
        <f aca="false">IF(E1353,D1353^2,0)</f>
        <v>0</v>
      </c>
      <c r="H1353" s="3"/>
    </row>
    <row r="1354" customFormat="false" ht="15" hidden="false" customHeight="true" outlineLevel="0" collapsed="false">
      <c r="A1354" s="16"/>
      <c r="B1354" s="16"/>
      <c r="C1354" s="15"/>
      <c r="D1354" s="19"/>
      <c r="E1354" s="20" t="b">
        <f aca="false">AND(A1354&lt;&gt;"",C1354&lt;&gt;"",D1354&lt;&gt;"",C1354&gt;='Read Me'!$B$5)</f>
        <v>0</v>
      </c>
      <c r="F1354" s="23" t="str">
        <f aca="false">IF(E1354,D1354,"")</f>
        <v/>
      </c>
      <c r="G1354" s="21" t="n">
        <f aca="false">IF(E1354,D1354^2,0)</f>
        <v>0</v>
      </c>
      <c r="H1354" s="3"/>
    </row>
    <row r="1355" customFormat="false" ht="15" hidden="false" customHeight="true" outlineLevel="0" collapsed="false">
      <c r="A1355" s="16"/>
      <c r="B1355" s="16"/>
      <c r="C1355" s="15"/>
      <c r="D1355" s="19"/>
      <c r="E1355" s="20" t="b">
        <f aca="false">AND(A1355&lt;&gt;"",C1355&lt;&gt;"",D1355&lt;&gt;"",C1355&gt;='Read Me'!$B$5)</f>
        <v>0</v>
      </c>
      <c r="F1355" s="23" t="str">
        <f aca="false">IF(E1355,D1355,"")</f>
        <v/>
      </c>
      <c r="G1355" s="21" t="n">
        <f aca="false">IF(E1355,D1355^2,0)</f>
        <v>0</v>
      </c>
      <c r="H1355" s="3"/>
    </row>
    <row r="1356" customFormat="false" ht="15" hidden="false" customHeight="true" outlineLevel="0" collapsed="false">
      <c r="A1356" s="16"/>
      <c r="B1356" s="16"/>
      <c r="C1356" s="15"/>
      <c r="D1356" s="19"/>
      <c r="E1356" s="20" t="b">
        <f aca="false">AND(A1356&lt;&gt;"",C1356&lt;&gt;"",D1356&lt;&gt;"",C1356&gt;='Read Me'!$B$5)</f>
        <v>0</v>
      </c>
      <c r="F1356" s="23" t="str">
        <f aca="false">IF(E1356,D1356,"")</f>
        <v/>
      </c>
      <c r="G1356" s="21" t="n">
        <f aca="false">IF(E1356,D1356^2,0)</f>
        <v>0</v>
      </c>
      <c r="H1356" s="3"/>
    </row>
    <row r="1357" customFormat="false" ht="15" hidden="false" customHeight="true" outlineLevel="0" collapsed="false">
      <c r="A1357" s="16"/>
      <c r="B1357" s="16"/>
      <c r="C1357" s="15"/>
      <c r="D1357" s="19"/>
      <c r="E1357" s="20" t="b">
        <f aca="false">AND(A1357&lt;&gt;"",C1357&lt;&gt;"",D1357&lt;&gt;"",C1357&gt;='Read Me'!$B$5)</f>
        <v>0</v>
      </c>
      <c r="F1357" s="23" t="str">
        <f aca="false">IF(E1357,D1357,"")</f>
        <v/>
      </c>
      <c r="G1357" s="21" t="n">
        <f aca="false">IF(E1357,D1357^2,0)</f>
        <v>0</v>
      </c>
      <c r="H1357" s="3"/>
    </row>
    <row r="1358" customFormat="false" ht="15" hidden="false" customHeight="true" outlineLevel="0" collapsed="false">
      <c r="A1358" s="16"/>
      <c r="B1358" s="16"/>
      <c r="C1358" s="15"/>
      <c r="D1358" s="19"/>
      <c r="E1358" s="20" t="b">
        <f aca="false">AND(A1358&lt;&gt;"",C1358&lt;&gt;"",D1358&lt;&gt;"",C1358&gt;='Read Me'!$B$5)</f>
        <v>0</v>
      </c>
      <c r="F1358" s="23" t="str">
        <f aca="false">IF(E1358,D1358,"")</f>
        <v/>
      </c>
      <c r="G1358" s="21" t="n">
        <f aca="false">IF(E1358,D1358^2,0)</f>
        <v>0</v>
      </c>
      <c r="H1358" s="3"/>
    </row>
    <row r="1359" customFormat="false" ht="15" hidden="false" customHeight="true" outlineLevel="0" collapsed="false">
      <c r="A1359" s="16"/>
      <c r="B1359" s="16"/>
      <c r="C1359" s="15"/>
      <c r="D1359" s="19"/>
      <c r="E1359" s="20" t="b">
        <f aca="false">AND(A1359&lt;&gt;"",C1359&lt;&gt;"",D1359&lt;&gt;"",C1359&gt;='Read Me'!$B$5)</f>
        <v>0</v>
      </c>
      <c r="F1359" s="23" t="str">
        <f aca="false">IF(E1359,D1359,"")</f>
        <v/>
      </c>
      <c r="G1359" s="21" t="n">
        <f aca="false">IF(E1359,D1359^2,0)</f>
        <v>0</v>
      </c>
      <c r="H1359" s="3"/>
    </row>
    <row r="1360" customFormat="false" ht="15" hidden="false" customHeight="true" outlineLevel="0" collapsed="false">
      <c r="A1360" s="16"/>
      <c r="B1360" s="16"/>
      <c r="C1360" s="15"/>
      <c r="D1360" s="19"/>
      <c r="E1360" s="20" t="b">
        <f aca="false">AND(A1360&lt;&gt;"",C1360&lt;&gt;"",D1360&lt;&gt;"",C1360&gt;='Read Me'!$B$5)</f>
        <v>0</v>
      </c>
      <c r="F1360" s="23" t="str">
        <f aca="false">IF(E1360,D1360,"")</f>
        <v/>
      </c>
      <c r="G1360" s="21" t="n">
        <f aca="false">IF(E1360,D1360^2,0)</f>
        <v>0</v>
      </c>
      <c r="H1360" s="3"/>
    </row>
    <row r="1361" customFormat="false" ht="15" hidden="false" customHeight="true" outlineLevel="0" collapsed="false">
      <c r="A1361" s="16"/>
      <c r="B1361" s="16"/>
      <c r="C1361" s="15"/>
      <c r="D1361" s="19"/>
      <c r="E1361" s="20" t="b">
        <f aca="false">AND(A1361&lt;&gt;"",C1361&lt;&gt;"",D1361&lt;&gt;"",C1361&gt;='Read Me'!$B$5)</f>
        <v>0</v>
      </c>
      <c r="F1361" s="23" t="str">
        <f aca="false">IF(E1361,D1361,"")</f>
        <v/>
      </c>
      <c r="G1361" s="21" t="n">
        <f aca="false">IF(E1361,D1361^2,0)</f>
        <v>0</v>
      </c>
      <c r="H1361" s="3"/>
    </row>
    <row r="1362" customFormat="false" ht="15" hidden="false" customHeight="true" outlineLevel="0" collapsed="false">
      <c r="A1362" s="16"/>
      <c r="B1362" s="16"/>
      <c r="C1362" s="15"/>
      <c r="D1362" s="19"/>
      <c r="E1362" s="20" t="b">
        <f aca="false">AND(A1362&lt;&gt;"",C1362&lt;&gt;"",D1362&lt;&gt;"",C1362&gt;='Read Me'!$B$5)</f>
        <v>0</v>
      </c>
      <c r="F1362" s="23" t="str">
        <f aca="false">IF(E1362,D1362,"")</f>
        <v/>
      </c>
      <c r="G1362" s="21" t="n">
        <f aca="false">IF(E1362,D1362^2,0)</f>
        <v>0</v>
      </c>
      <c r="H1362" s="3"/>
    </row>
    <row r="1363" customFormat="false" ht="15" hidden="false" customHeight="true" outlineLevel="0" collapsed="false">
      <c r="A1363" s="16"/>
      <c r="B1363" s="16"/>
      <c r="C1363" s="15"/>
      <c r="D1363" s="19"/>
      <c r="E1363" s="20" t="b">
        <f aca="false">AND(A1363&lt;&gt;"",C1363&lt;&gt;"",D1363&lt;&gt;"",C1363&gt;='Read Me'!$B$5)</f>
        <v>0</v>
      </c>
      <c r="F1363" s="23" t="str">
        <f aca="false">IF(E1363,D1363,"")</f>
        <v/>
      </c>
      <c r="G1363" s="21" t="n">
        <f aca="false">IF(E1363,D1363^2,0)</f>
        <v>0</v>
      </c>
      <c r="H1363" s="3"/>
    </row>
    <row r="1364" customFormat="false" ht="15" hidden="false" customHeight="true" outlineLevel="0" collapsed="false">
      <c r="A1364" s="16"/>
      <c r="B1364" s="16"/>
      <c r="C1364" s="15"/>
      <c r="D1364" s="19"/>
      <c r="E1364" s="20" t="b">
        <f aca="false">AND(A1364&lt;&gt;"",C1364&lt;&gt;"",D1364&lt;&gt;"",C1364&gt;='Read Me'!$B$5)</f>
        <v>0</v>
      </c>
      <c r="F1364" s="23" t="str">
        <f aca="false">IF(E1364,D1364,"")</f>
        <v/>
      </c>
      <c r="G1364" s="21" t="n">
        <f aca="false">IF(E1364,D1364^2,0)</f>
        <v>0</v>
      </c>
      <c r="H1364" s="3"/>
    </row>
    <row r="1365" customFormat="false" ht="15" hidden="false" customHeight="true" outlineLevel="0" collapsed="false">
      <c r="A1365" s="16"/>
      <c r="B1365" s="16"/>
      <c r="C1365" s="15"/>
      <c r="D1365" s="19"/>
      <c r="E1365" s="20" t="b">
        <f aca="false">AND(A1365&lt;&gt;"",C1365&lt;&gt;"",D1365&lt;&gt;"",C1365&gt;='Read Me'!$B$5)</f>
        <v>0</v>
      </c>
      <c r="F1365" s="23" t="str">
        <f aca="false">IF(E1365,D1365,"")</f>
        <v/>
      </c>
      <c r="G1365" s="21" t="n">
        <f aca="false">IF(E1365,D1365^2,0)</f>
        <v>0</v>
      </c>
      <c r="H1365" s="3"/>
    </row>
    <row r="1366" customFormat="false" ht="15" hidden="false" customHeight="true" outlineLevel="0" collapsed="false">
      <c r="A1366" s="16"/>
      <c r="B1366" s="16"/>
      <c r="C1366" s="15"/>
      <c r="D1366" s="19"/>
      <c r="E1366" s="20" t="b">
        <f aca="false">AND(A1366&lt;&gt;"",C1366&lt;&gt;"",D1366&lt;&gt;"",C1366&gt;='Read Me'!$B$5)</f>
        <v>0</v>
      </c>
      <c r="F1366" s="23" t="str">
        <f aca="false">IF(E1366,D1366,"")</f>
        <v/>
      </c>
      <c r="G1366" s="21" t="n">
        <f aca="false">IF(E1366,D1366^2,0)</f>
        <v>0</v>
      </c>
      <c r="H1366" s="3"/>
    </row>
    <row r="1367" customFormat="false" ht="15" hidden="false" customHeight="true" outlineLevel="0" collapsed="false">
      <c r="A1367" s="16"/>
      <c r="B1367" s="16"/>
      <c r="C1367" s="15"/>
      <c r="D1367" s="19"/>
      <c r="E1367" s="20" t="b">
        <f aca="false">AND(A1367&lt;&gt;"",C1367&lt;&gt;"",D1367&lt;&gt;"",C1367&gt;='Read Me'!$B$5)</f>
        <v>0</v>
      </c>
      <c r="F1367" s="23" t="str">
        <f aca="false">IF(E1367,D1367,"")</f>
        <v/>
      </c>
      <c r="G1367" s="21" t="n">
        <f aca="false">IF(E1367,D1367^2,0)</f>
        <v>0</v>
      </c>
      <c r="H1367" s="3"/>
    </row>
    <row r="1368" customFormat="false" ht="15" hidden="false" customHeight="true" outlineLevel="0" collapsed="false">
      <c r="A1368" s="16"/>
      <c r="B1368" s="16"/>
      <c r="C1368" s="15"/>
      <c r="D1368" s="19"/>
      <c r="E1368" s="20" t="b">
        <f aca="false">AND(A1368&lt;&gt;"",C1368&lt;&gt;"",D1368&lt;&gt;"",C1368&gt;='Read Me'!$B$5)</f>
        <v>0</v>
      </c>
      <c r="F1368" s="23" t="str">
        <f aca="false">IF(E1368,D1368,"")</f>
        <v/>
      </c>
      <c r="G1368" s="21" t="n">
        <f aca="false">IF(E1368,D1368^2,0)</f>
        <v>0</v>
      </c>
      <c r="H1368" s="3"/>
    </row>
    <row r="1369" customFormat="false" ht="15" hidden="false" customHeight="true" outlineLevel="0" collapsed="false">
      <c r="A1369" s="16"/>
      <c r="B1369" s="16"/>
      <c r="C1369" s="15"/>
      <c r="D1369" s="19"/>
      <c r="E1369" s="20" t="b">
        <f aca="false">AND(A1369&lt;&gt;"",C1369&lt;&gt;"",D1369&lt;&gt;"",C1369&gt;='Read Me'!$B$5)</f>
        <v>0</v>
      </c>
      <c r="F1369" s="23" t="str">
        <f aca="false">IF(E1369,D1369,"")</f>
        <v/>
      </c>
      <c r="G1369" s="21" t="n">
        <f aca="false">IF(E1369,D1369^2,0)</f>
        <v>0</v>
      </c>
      <c r="H1369" s="3"/>
    </row>
    <row r="1370" customFormat="false" ht="15" hidden="false" customHeight="true" outlineLevel="0" collapsed="false">
      <c r="A1370" s="16"/>
      <c r="B1370" s="16"/>
      <c r="C1370" s="15"/>
      <c r="D1370" s="19"/>
      <c r="E1370" s="20" t="b">
        <f aca="false">AND(A1370&lt;&gt;"",C1370&lt;&gt;"",D1370&lt;&gt;"",C1370&gt;='Read Me'!$B$5)</f>
        <v>0</v>
      </c>
      <c r="F1370" s="23" t="str">
        <f aca="false">IF(E1370,D1370,"")</f>
        <v/>
      </c>
      <c r="G1370" s="21" t="n">
        <f aca="false">IF(E1370,D1370^2,0)</f>
        <v>0</v>
      </c>
      <c r="H1370" s="3"/>
    </row>
    <row r="1371" customFormat="false" ht="15" hidden="false" customHeight="true" outlineLevel="0" collapsed="false">
      <c r="A1371" s="16"/>
      <c r="B1371" s="16"/>
      <c r="C1371" s="15"/>
      <c r="D1371" s="19"/>
      <c r="E1371" s="20" t="b">
        <f aca="false">AND(A1371&lt;&gt;"",C1371&lt;&gt;"",D1371&lt;&gt;"",C1371&gt;='Read Me'!$B$5)</f>
        <v>0</v>
      </c>
      <c r="F1371" s="23" t="str">
        <f aca="false">IF(E1371,D1371,"")</f>
        <v/>
      </c>
      <c r="G1371" s="21" t="n">
        <f aca="false">IF(E1371,D1371^2,0)</f>
        <v>0</v>
      </c>
      <c r="H1371" s="3"/>
    </row>
    <row r="1372" customFormat="false" ht="15" hidden="false" customHeight="true" outlineLevel="0" collapsed="false">
      <c r="A1372" s="16"/>
      <c r="B1372" s="16"/>
      <c r="C1372" s="15"/>
      <c r="D1372" s="19"/>
      <c r="E1372" s="20" t="b">
        <f aca="false">AND(A1372&lt;&gt;"",C1372&lt;&gt;"",D1372&lt;&gt;"",C1372&gt;='Read Me'!$B$5)</f>
        <v>0</v>
      </c>
      <c r="F1372" s="23" t="str">
        <f aca="false">IF(E1372,D1372,"")</f>
        <v/>
      </c>
      <c r="G1372" s="21" t="n">
        <f aca="false">IF(E1372,D1372^2,0)</f>
        <v>0</v>
      </c>
      <c r="H1372" s="3"/>
    </row>
    <row r="1373" customFormat="false" ht="15" hidden="false" customHeight="true" outlineLevel="0" collapsed="false">
      <c r="A1373" s="16"/>
      <c r="B1373" s="16"/>
      <c r="C1373" s="15"/>
      <c r="D1373" s="19"/>
      <c r="E1373" s="20" t="b">
        <f aca="false">AND(A1373&lt;&gt;"",C1373&lt;&gt;"",D1373&lt;&gt;"",C1373&gt;='Read Me'!$B$5)</f>
        <v>0</v>
      </c>
      <c r="F1373" s="23" t="str">
        <f aca="false">IF(E1373,D1373,"")</f>
        <v/>
      </c>
      <c r="G1373" s="21" t="n">
        <f aca="false">IF(E1373,D1373^2,0)</f>
        <v>0</v>
      </c>
      <c r="H1373" s="3"/>
    </row>
    <row r="1374" customFormat="false" ht="15" hidden="false" customHeight="true" outlineLevel="0" collapsed="false">
      <c r="A1374" s="16"/>
      <c r="B1374" s="16"/>
      <c r="C1374" s="15"/>
      <c r="D1374" s="19"/>
      <c r="E1374" s="20" t="b">
        <f aca="false">AND(A1374&lt;&gt;"",C1374&lt;&gt;"",D1374&lt;&gt;"",C1374&gt;='Read Me'!$B$5)</f>
        <v>0</v>
      </c>
      <c r="F1374" s="23" t="str">
        <f aca="false">IF(E1374,D1374,"")</f>
        <v/>
      </c>
      <c r="G1374" s="21" t="n">
        <f aca="false">IF(E1374,D1374^2,0)</f>
        <v>0</v>
      </c>
      <c r="H1374" s="3"/>
    </row>
    <row r="1375" customFormat="false" ht="15" hidden="false" customHeight="true" outlineLevel="0" collapsed="false">
      <c r="A1375" s="16"/>
      <c r="B1375" s="16"/>
      <c r="C1375" s="15"/>
      <c r="D1375" s="19"/>
      <c r="E1375" s="20" t="b">
        <f aca="false">AND(A1375&lt;&gt;"",C1375&lt;&gt;"",D1375&lt;&gt;"",C1375&gt;='Read Me'!$B$5)</f>
        <v>0</v>
      </c>
      <c r="F1375" s="23" t="str">
        <f aca="false">IF(E1375,D1375,"")</f>
        <v/>
      </c>
      <c r="G1375" s="21" t="n">
        <f aca="false">IF(E1375,D1375^2,0)</f>
        <v>0</v>
      </c>
      <c r="H1375" s="3"/>
    </row>
    <row r="1376" customFormat="false" ht="15" hidden="false" customHeight="true" outlineLevel="0" collapsed="false">
      <c r="A1376" s="16"/>
      <c r="B1376" s="16"/>
      <c r="C1376" s="15"/>
      <c r="D1376" s="19"/>
      <c r="E1376" s="20" t="b">
        <f aca="false">AND(A1376&lt;&gt;"",C1376&lt;&gt;"",D1376&lt;&gt;"",C1376&gt;='Read Me'!$B$5)</f>
        <v>0</v>
      </c>
      <c r="F1376" s="23" t="str">
        <f aca="false">IF(E1376,D1376,"")</f>
        <v/>
      </c>
      <c r="G1376" s="21" t="n">
        <f aca="false">IF(E1376,D1376^2,0)</f>
        <v>0</v>
      </c>
      <c r="H1376" s="3"/>
    </row>
    <row r="1377" customFormat="false" ht="15" hidden="false" customHeight="true" outlineLevel="0" collapsed="false">
      <c r="A1377" s="16"/>
      <c r="B1377" s="16"/>
      <c r="C1377" s="15"/>
      <c r="D1377" s="19"/>
      <c r="E1377" s="20" t="b">
        <f aca="false">AND(A1377&lt;&gt;"",C1377&lt;&gt;"",D1377&lt;&gt;"",C1377&gt;='Read Me'!$B$5)</f>
        <v>0</v>
      </c>
      <c r="F1377" s="23" t="str">
        <f aca="false">IF(E1377,D1377,"")</f>
        <v/>
      </c>
      <c r="G1377" s="21" t="n">
        <f aca="false">IF(E1377,D1377^2,0)</f>
        <v>0</v>
      </c>
      <c r="H1377" s="3"/>
    </row>
    <row r="1378" customFormat="false" ht="15" hidden="false" customHeight="true" outlineLevel="0" collapsed="false">
      <c r="A1378" s="16"/>
      <c r="B1378" s="16"/>
      <c r="C1378" s="15"/>
      <c r="D1378" s="19"/>
      <c r="E1378" s="20" t="b">
        <f aca="false">AND(A1378&lt;&gt;"",C1378&lt;&gt;"",D1378&lt;&gt;"",C1378&gt;='Read Me'!$B$5)</f>
        <v>0</v>
      </c>
      <c r="F1378" s="23" t="str">
        <f aca="false">IF(E1378,D1378,"")</f>
        <v/>
      </c>
      <c r="G1378" s="21" t="n">
        <f aca="false">IF(E1378,D1378^2,0)</f>
        <v>0</v>
      </c>
      <c r="H1378" s="3"/>
    </row>
    <row r="1379" customFormat="false" ht="15" hidden="false" customHeight="true" outlineLevel="0" collapsed="false">
      <c r="A1379" s="16"/>
      <c r="B1379" s="16"/>
      <c r="C1379" s="15"/>
      <c r="D1379" s="19"/>
      <c r="E1379" s="20" t="b">
        <f aca="false">AND(A1379&lt;&gt;"",C1379&lt;&gt;"",D1379&lt;&gt;"",C1379&gt;='Read Me'!$B$5)</f>
        <v>0</v>
      </c>
      <c r="F1379" s="23" t="str">
        <f aca="false">IF(E1379,D1379,"")</f>
        <v/>
      </c>
      <c r="G1379" s="21" t="n">
        <f aca="false">IF(E1379,D1379^2,0)</f>
        <v>0</v>
      </c>
      <c r="H1379" s="3"/>
    </row>
    <row r="1380" customFormat="false" ht="15" hidden="false" customHeight="true" outlineLevel="0" collapsed="false">
      <c r="A1380" s="16"/>
      <c r="B1380" s="16"/>
      <c r="C1380" s="15"/>
      <c r="D1380" s="19"/>
      <c r="E1380" s="20" t="b">
        <f aca="false">AND(A1380&lt;&gt;"",C1380&lt;&gt;"",D1380&lt;&gt;"",C1380&gt;='Read Me'!$B$5)</f>
        <v>0</v>
      </c>
      <c r="F1380" s="23" t="str">
        <f aca="false">IF(E1380,D1380,"")</f>
        <v/>
      </c>
      <c r="G1380" s="21" t="n">
        <f aca="false">IF(E1380,D1380^2,0)</f>
        <v>0</v>
      </c>
      <c r="H1380" s="3"/>
    </row>
    <row r="1381" customFormat="false" ht="15" hidden="false" customHeight="true" outlineLevel="0" collapsed="false">
      <c r="A1381" s="16"/>
      <c r="B1381" s="16"/>
      <c r="C1381" s="15"/>
      <c r="D1381" s="19"/>
      <c r="E1381" s="20" t="b">
        <f aca="false">AND(A1381&lt;&gt;"",C1381&lt;&gt;"",D1381&lt;&gt;"",C1381&gt;='Read Me'!$B$5)</f>
        <v>0</v>
      </c>
      <c r="F1381" s="23" t="str">
        <f aca="false">IF(E1381,D1381,"")</f>
        <v/>
      </c>
      <c r="G1381" s="21" t="n">
        <f aca="false">IF(E1381,D1381^2,0)</f>
        <v>0</v>
      </c>
      <c r="H1381" s="3"/>
    </row>
    <row r="1382" customFormat="false" ht="15" hidden="false" customHeight="true" outlineLevel="0" collapsed="false">
      <c r="A1382" s="16"/>
      <c r="B1382" s="16"/>
      <c r="C1382" s="15"/>
      <c r="D1382" s="19"/>
      <c r="E1382" s="20" t="b">
        <f aca="false">AND(A1382&lt;&gt;"",C1382&lt;&gt;"",D1382&lt;&gt;"",C1382&gt;='Read Me'!$B$5)</f>
        <v>0</v>
      </c>
      <c r="F1382" s="23" t="str">
        <f aca="false">IF(E1382,D1382,"")</f>
        <v/>
      </c>
      <c r="G1382" s="21" t="n">
        <f aca="false">IF(E1382,D1382^2,0)</f>
        <v>0</v>
      </c>
      <c r="H1382" s="3"/>
    </row>
    <row r="1383" customFormat="false" ht="15" hidden="false" customHeight="true" outlineLevel="0" collapsed="false">
      <c r="A1383" s="16"/>
      <c r="B1383" s="16"/>
      <c r="C1383" s="15"/>
      <c r="D1383" s="19"/>
      <c r="E1383" s="20" t="b">
        <f aca="false">AND(A1383&lt;&gt;"",C1383&lt;&gt;"",D1383&lt;&gt;"",C1383&gt;='Read Me'!$B$5)</f>
        <v>0</v>
      </c>
      <c r="F1383" s="23" t="str">
        <f aca="false">IF(E1383,D1383,"")</f>
        <v/>
      </c>
      <c r="G1383" s="21" t="n">
        <f aca="false">IF(E1383,D1383^2,0)</f>
        <v>0</v>
      </c>
      <c r="H1383" s="3"/>
    </row>
    <row r="1384" customFormat="false" ht="15" hidden="false" customHeight="true" outlineLevel="0" collapsed="false">
      <c r="A1384" s="16"/>
      <c r="B1384" s="16"/>
      <c r="C1384" s="15"/>
      <c r="D1384" s="19"/>
      <c r="E1384" s="20" t="b">
        <f aca="false">AND(A1384&lt;&gt;"",C1384&lt;&gt;"",D1384&lt;&gt;"",C1384&gt;='Read Me'!$B$5)</f>
        <v>0</v>
      </c>
      <c r="F1384" s="23" t="str">
        <f aca="false">IF(E1384,D1384,"")</f>
        <v/>
      </c>
      <c r="G1384" s="21" t="n">
        <f aca="false">IF(E1384,D1384^2,0)</f>
        <v>0</v>
      </c>
      <c r="H1384" s="3"/>
    </row>
    <row r="1385" customFormat="false" ht="15" hidden="false" customHeight="true" outlineLevel="0" collapsed="false">
      <c r="A1385" s="16"/>
      <c r="B1385" s="16"/>
      <c r="C1385" s="15"/>
      <c r="D1385" s="19"/>
      <c r="E1385" s="20" t="b">
        <f aca="false">AND(A1385&lt;&gt;"",C1385&lt;&gt;"",D1385&lt;&gt;"",C1385&gt;='Read Me'!$B$5)</f>
        <v>0</v>
      </c>
      <c r="F1385" s="23" t="str">
        <f aca="false">IF(E1385,D1385,"")</f>
        <v/>
      </c>
      <c r="G1385" s="21" t="n">
        <f aca="false">IF(E1385,D1385^2,0)</f>
        <v>0</v>
      </c>
      <c r="H1385" s="3"/>
    </row>
    <row r="1386" customFormat="false" ht="15" hidden="false" customHeight="true" outlineLevel="0" collapsed="false">
      <c r="A1386" s="16"/>
      <c r="B1386" s="16"/>
      <c r="C1386" s="15"/>
      <c r="D1386" s="19"/>
      <c r="E1386" s="20" t="b">
        <f aca="false">AND(A1386&lt;&gt;"",C1386&lt;&gt;"",D1386&lt;&gt;"",C1386&gt;='Read Me'!$B$5)</f>
        <v>0</v>
      </c>
      <c r="F1386" s="23" t="str">
        <f aca="false">IF(E1386,D1386,"")</f>
        <v/>
      </c>
      <c r="G1386" s="21" t="n">
        <f aca="false">IF(E1386,D1386^2,0)</f>
        <v>0</v>
      </c>
      <c r="H1386" s="3"/>
    </row>
    <row r="1387" customFormat="false" ht="15" hidden="false" customHeight="true" outlineLevel="0" collapsed="false">
      <c r="A1387" s="16"/>
      <c r="B1387" s="16"/>
      <c r="C1387" s="15"/>
      <c r="D1387" s="19"/>
      <c r="E1387" s="20" t="b">
        <f aca="false">AND(A1387&lt;&gt;"",C1387&lt;&gt;"",D1387&lt;&gt;"",C1387&gt;='Read Me'!$B$5)</f>
        <v>0</v>
      </c>
      <c r="F1387" s="23" t="str">
        <f aca="false">IF(E1387,D1387,"")</f>
        <v/>
      </c>
      <c r="G1387" s="21" t="n">
        <f aca="false">IF(E1387,D1387^2,0)</f>
        <v>0</v>
      </c>
      <c r="H1387" s="3"/>
    </row>
    <row r="1388" customFormat="false" ht="15" hidden="false" customHeight="true" outlineLevel="0" collapsed="false">
      <c r="A1388" s="16"/>
      <c r="B1388" s="16"/>
      <c r="C1388" s="15"/>
      <c r="D1388" s="19"/>
      <c r="E1388" s="20" t="b">
        <f aca="false">AND(A1388&lt;&gt;"",C1388&lt;&gt;"",D1388&lt;&gt;"",C1388&gt;='Read Me'!$B$5)</f>
        <v>0</v>
      </c>
      <c r="F1388" s="23" t="str">
        <f aca="false">IF(E1388,D1388,"")</f>
        <v/>
      </c>
      <c r="G1388" s="21" t="n">
        <f aca="false">IF(E1388,D1388^2,0)</f>
        <v>0</v>
      </c>
      <c r="H1388" s="3"/>
    </row>
    <row r="1389" customFormat="false" ht="15" hidden="false" customHeight="true" outlineLevel="0" collapsed="false">
      <c r="A1389" s="16"/>
      <c r="B1389" s="16"/>
      <c r="C1389" s="15"/>
      <c r="D1389" s="19"/>
      <c r="E1389" s="20" t="b">
        <f aca="false">AND(A1389&lt;&gt;"",C1389&lt;&gt;"",D1389&lt;&gt;"",C1389&gt;='Read Me'!$B$5)</f>
        <v>0</v>
      </c>
      <c r="F1389" s="23" t="str">
        <f aca="false">IF(E1389,D1389,"")</f>
        <v/>
      </c>
      <c r="G1389" s="21" t="n">
        <f aca="false">IF(E1389,D1389^2,0)</f>
        <v>0</v>
      </c>
      <c r="H1389" s="3"/>
    </row>
    <row r="1390" customFormat="false" ht="15" hidden="false" customHeight="true" outlineLevel="0" collapsed="false">
      <c r="A1390" s="16"/>
      <c r="B1390" s="16"/>
      <c r="C1390" s="15"/>
      <c r="D1390" s="19"/>
      <c r="E1390" s="20" t="b">
        <f aca="false">AND(A1390&lt;&gt;"",C1390&lt;&gt;"",D1390&lt;&gt;"",C1390&gt;='Read Me'!$B$5)</f>
        <v>0</v>
      </c>
      <c r="F1390" s="23" t="str">
        <f aca="false">IF(E1390,D1390,"")</f>
        <v/>
      </c>
      <c r="G1390" s="21" t="n">
        <f aca="false">IF(E1390,D1390^2,0)</f>
        <v>0</v>
      </c>
      <c r="H1390" s="3"/>
    </row>
    <row r="1391" customFormat="false" ht="15" hidden="false" customHeight="true" outlineLevel="0" collapsed="false">
      <c r="A1391" s="16"/>
      <c r="B1391" s="16"/>
      <c r="C1391" s="15"/>
      <c r="D1391" s="19"/>
      <c r="E1391" s="20" t="b">
        <f aca="false">AND(A1391&lt;&gt;"",C1391&lt;&gt;"",D1391&lt;&gt;"",C1391&gt;='Read Me'!$B$5)</f>
        <v>0</v>
      </c>
      <c r="F1391" s="23" t="str">
        <f aca="false">IF(E1391,D1391,"")</f>
        <v/>
      </c>
      <c r="G1391" s="21" t="n">
        <f aca="false">IF(E1391,D1391^2,0)</f>
        <v>0</v>
      </c>
      <c r="H1391" s="3"/>
    </row>
    <row r="1392" customFormat="false" ht="15" hidden="false" customHeight="true" outlineLevel="0" collapsed="false">
      <c r="A1392" s="16"/>
      <c r="B1392" s="16"/>
      <c r="C1392" s="15"/>
      <c r="D1392" s="19"/>
      <c r="E1392" s="20" t="b">
        <f aca="false">AND(A1392&lt;&gt;"",C1392&lt;&gt;"",D1392&lt;&gt;"",C1392&gt;='Read Me'!$B$5)</f>
        <v>0</v>
      </c>
      <c r="F1392" s="23" t="str">
        <f aca="false">IF(E1392,D1392,"")</f>
        <v/>
      </c>
      <c r="G1392" s="21" t="n">
        <f aca="false">IF(E1392,D1392^2,0)</f>
        <v>0</v>
      </c>
      <c r="H1392" s="3"/>
    </row>
    <row r="1393" customFormat="false" ht="15" hidden="false" customHeight="true" outlineLevel="0" collapsed="false">
      <c r="A1393" s="16"/>
      <c r="B1393" s="16"/>
      <c r="C1393" s="15"/>
      <c r="D1393" s="19"/>
      <c r="E1393" s="20" t="b">
        <f aca="false">AND(A1393&lt;&gt;"",C1393&lt;&gt;"",D1393&lt;&gt;"",C1393&gt;='Read Me'!$B$5)</f>
        <v>0</v>
      </c>
      <c r="F1393" s="23" t="str">
        <f aca="false">IF(E1393,D1393,"")</f>
        <v/>
      </c>
      <c r="G1393" s="21" t="n">
        <f aca="false">IF(E1393,D1393^2,0)</f>
        <v>0</v>
      </c>
      <c r="H1393" s="3"/>
    </row>
    <row r="1394" customFormat="false" ht="15" hidden="false" customHeight="true" outlineLevel="0" collapsed="false">
      <c r="A1394" s="16"/>
      <c r="B1394" s="16"/>
      <c r="C1394" s="15"/>
      <c r="D1394" s="19"/>
      <c r="E1394" s="20" t="b">
        <f aca="false">AND(A1394&lt;&gt;"",C1394&lt;&gt;"",D1394&lt;&gt;"",C1394&gt;='Read Me'!$B$5)</f>
        <v>0</v>
      </c>
      <c r="F1394" s="23" t="str">
        <f aca="false">IF(E1394,D1394,"")</f>
        <v/>
      </c>
      <c r="G1394" s="21" t="n">
        <f aca="false">IF(E1394,D1394^2,0)</f>
        <v>0</v>
      </c>
      <c r="H1394" s="3"/>
    </row>
    <row r="1395" customFormat="false" ht="15" hidden="false" customHeight="true" outlineLevel="0" collapsed="false">
      <c r="A1395" s="16"/>
      <c r="B1395" s="16"/>
      <c r="C1395" s="15"/>
      <c r="D1395" s="19"/>
      <c r="E1395" s="20" t="b">
        <f aca="false">AND(A1395&lt;&gt;"",C1395&lt;&gt;"",D1395&lt;&gt;"",C1395&gt;='Read Me'!$B$5)</f>
        <v>0</v>
      </c>
      <c r="F1395" s="23" t="str">
        <f aca="false">IF(E1395,D1395,"")</f>
        <v/>
      </c>
      <c r="G1395" s="21" t="n">
        <f aca="false">IF(E1395,D1395^2,0)</f>
        <v>0</v>
      </c>
      <c r="H1395" s="3"/>
    </row>
    <row r="1396" customFormat="false" ht="15" hidden="false" customHeight="true" outlineLevel="0" collapsed="false">
      <c r="A1396" s="16"/>
      <c r="B1396" s="16"/>
      <c r="C1396" s="15"/>
      <c r="D1396" s="19"/>
      <c r="E1396" s="20" t="b">
        <f aca="false">AND(A1396&lt;&gt;"",C1396&lt;&gt;"",D1396&lt;&gt;"",C1396&gt;='Read Me'!$B$5)</f>
        <v>0</v>
      </c>
      <c r="F1396" s="23" t="str">
        <f aca="false">IF(E1396,D1396,"")</f>
        <v/>
      </c>
      <c r="G1396" s="21" t="n">
        <f aca="false">IF(E1396,D1396^2,0)</f>
        <v>0</v>
      </c>
      <c r="H1396" s="3"/>
    </row>
    <row r="1397" customFormat="false" ht="15" hidden="false" customHeight="true" outlineLevel="0" collapsed="false">
      <c r="A1397" s="16"/>
      <c r="B1397" s="16"/>
      <c r="C1397" s="15"/>
      <c r="D1397" s="19"/>
      <c r="E1397" s="20" t="b">
        <f aca="false">AND(A1397&lt;&gt;"",C1397&lt;&gt;"",D1397&lt;&gt;"",C1397&gt;='Read Me'!$B$5)</f>
        <v>0</v>
      </c>
      <c r="F1397" s="23" t="str">
        <f aca="false">IF(E1397,D1397,"")</f>
        <v/>
      </c>
      <c r="G1397" s="21" t="n">
        <f aca="false">IF(E1397,D1397^2,0)</f>
        <v>0</v>
      </c>
      <c r="H1397" s="3"/>
    </row>
    <row r="1398" customFormat="false" ht="15" hidden="false" customHeight="true" outlineLevel="0" collapsed="false">
      <c r="A1398" s="16"/>
      <c r="B1398" s="16"/>
      <c r="C1398" s="15"/>
      <c r="D1398" s="19"/>
      <c r="E1398" s="20" t="b">
        <f aca="false">AND(A1398&lt;&gt;"",C1398&lt;&gt;"",D1398&lt;&gt;"",C1398&gt;='Read Me'!$B$5)</f>
        <v>0</v>
      </c>
      <c r="F1398" s="23" t="str">
        <f aca="false">IF(E1398,D1398,"")</f>
        <v/>
      </c>
      <c r="G1398" s="21" t="n">
        <f aca="false">IF(E1398,D1398^2,0)</f>
        <v>0</v>
      </c>
      <c r="H1398" s="3"/>
    </row>
    <row r="1399" customFormat="false" ht="15" hidden="false" customHeight="true" outlineLevel="0" collapsed="false">
      <c r="A1399" s="16"/>
      <c r="B1399" s="16"/>
      <c r="C1399" s="15"/>
      <c r="D1399" s="19"/>
      <c r="E1399" s="20" t="b">
        <f aca="false">AND(A1399&lt;&gt;"",C1399&lt;&gt;"",D1399&lt;&gt;"",C1399&gt;='Read Me'!$B$5)</f>
        <v>0</v>
      </c>
      <c r="F1399" s="23" t="str">
        <f aca="false">IF(E1399,D1399,"")</f>
        <v/>
      </c>
      <c r="G1399" s="21" t="n">
        <f aca="false">IF(E1399,D1399^2,0)</f>
        <v>0</v>
      </c>
      <c r="H1399" s="3"/>
    </row>
    <row r="1400" customFormat="false" ht="15" hidden="false" customHeight="true" outlineLevel="0" collapsed="false">
      <c r="A1400" s="16"/>
      <c r="B1400" s="16"/>
      <c r="C1400" s="15"/>
      <c r="D1400" s="19"/>
      <c r="E1400" s="20" t="b">
        <f aca="false">AND(A1400&lt;&gt;"",C1400&lt;&gt;"",D1400&lt;&gt;"",C1400&gt;='Read Me'!$B$5)</f>
        <v>0</v>
      </c>
      <c r="F1400" s="23" t="str">
        <f aca="false">IF(E1400,D1400,"")</f>
        <v/>
      </c>
      <c r="G1400" s="21" t="n">
        <f aca="false">IF(E1400,D1400^2,0)</f>
        <v>0</v>
      </c>
      <c r="H1400" s="3"/>
    </row>
    <row r="1401" customFormat="false" ht="15" hidden="false" customHeight="true" outlineLevel="0" collapsed="false">
      <c r="A1401" s="16"/>
      <c r="B1401" s="16"/>
      <c r="C1401" s="15"/>
      <c r="D1401" s="19"/>
      <c r="E1401" s="20" t="b">
        <f aca="false">AND(A1401&lt;&gt;"",C1401&lt;&gt;"",D1401&lt;&gt;"",C1401&gt;='Read Me'!$B$5)</f>
        <v>0</v>
      </c>
      <c r="F1401" s="23" t="str">
        <f aca="false">IF(E1401,D1401,"")</f>
        <v/>
      </c>
      <c r="G1401" s="21" t="n">
        <f aca="false">IF(E1401,D1401^2,0)</f>
        <v>0</v>
      </c>
      <c r="H1401" s="3"/>
    </row>
    <row r="1402" customFormat="false" ht="15" hidden="false" customHeight="true" outlineLevel="0" collapsed="false">
      <c r="A1402" s="16"/>
      <c r="B1402" s="16"/>
      <c r="C1402" s="15"/>
      <c r="D1402" s="19"/>
      <c r="E1402" s="20" t="b">
        <f aca="false">AND(A1402&lt;&gt;"",C1402&lt;&gt;"",D1402&lt;&gt;"",C1402&gt;='Read Me'!$B$5)</f>
        <v>0</v>
      </c>
      <c r="F1402" s="23" t="str">
        <f aca="false">IF(E1402,D1402,"")</f>
        <v/>
      </c>
      <c r="G1402" s="21" t="n">
        <f aca="false">IF(E1402,D1402^2,0)</f>
        <v>0</v>
      </c>
      <c r="H1402" s="3"/>
    </row>
    <row r="1403" customFormat="false" ht="15" hidden="false" customHeight="true" outlineLevel="0" collapsed="false">
      <c r="A1403" s="16"/>
      <c r="B1403" s="16"/>
      <c r="C1403" s="15"/>
      <c r="D1403" s="19"/>
      <c r="E1403" s="20" t="b">
        <f aca="false">AND(A1403&lt;&gt;"",C1403&lt;&gt;"",D1403&lt;&gt;"",C1403&gt;='Read Me'!$B$5)</f>
        <v>0</v>
      </c>
      <c r="F1403" s="23" t="str">
        <f aca="false">IF(E1403,D1403,"")</f>
        <v/>
      </c>
      <c r="G1403" s="21" t="n">
        <f aca="false">IF(E1403,D1403^2,0)</f>
        <v>0</v>
      </c>
      <c r="H1403" s="3"/>
    </row>
    <row r="1404" customFormat="false" ht="15" hidden="false" customHeight="true" outlineLevel="0" collapsed="false">
      <c r="A1404" s="16"/>
      <c r="B1404" s="16"/>
      <c r="C1404" s="15"/>
      <c r="D1404" s="19"/>
      <c r="E1404" s="20" t="b">
        <f aca="false">AND(A1404&lt;&gt;"",C1404&lt;&gt;"",D1404&lt;&gt;"",C1404&gt;='Read Me'!$B$5)</f>
        <v>0</v>
      </c>
      <c r="F1404" s="23" t="str">
        <f aca="false">IF(E1404,D1404,"")</f>
        <v/>
      </c>
      <c r="G1404" s="21" t="n">
        <f aca="false">IF(E1404,D1404^2,0)</f>
        <v>0</v>
      </c>
      <c r="H1404" s="3"/>
    </row>
    <row r="1405" customFormat="false" ht="15" hidden="false" customHeight="true" outlineLevel="0" collapsed="false">
      <c r="A1405" s="16"/>
      <c r="B1405" s="16"/>
      <c r="C1405" s="15"/>
      <c r="D1405" s="19"/>
      <c r="E1405" s="20" t="b">
        <f aca="false">AND(A1405&lt;&gt;"",C1405&lt;&gt;"",D1405&lt;&gt;"",C1405&gt;='Read Me'!$B$5)</f>
        <v>0</v>
      </c>
      <c r="F1405" s="23" t="str">
        <f aca="false">IF(E1405,D1405,"")</f>
        <v/>
      </c>
      <c r="G1405" s="21" t="n">
        <f aca="false">IF(E1405,D1405^2,0)</f>
        <v>0</v>
      </c>
      <c r="H1405" s="3"/>
    </row>
    <row r="1406" customFormat="false" ht="15" hidden="false" customHeight="true" outlineLevel="0" collapsed="false">
      <c r="A1406" s="16"/>
      <c r="B1406" s="16"/>
      <c r="C1406" s="15"/>
      <c r="D1406" s="19"/>
      <c r="E1406" s="20" t="b">
        <f aca="false">AND(A1406&lt;&gt;"",C1406&lt;&gt;"",D1406&lt;&gt;"",C1406&gt;='Read Me'!$B$5)</f>
        <v>0</v>
      </c>
      <c r="F1406" s="23" t="str">
        <f aca="false">IF(E1406,D1406,"")</f>
        <v/>
      </c>
      <c r="G1406" s="21" t="n">
        <f aca="false">IF(E1406,D1406^2,0)</f>
        <v>0</v>
      </c>
      <c r="H1406" s="3"/>
    </row>
    <row r="1407" customFormat="false" ht="15" hidden="false" customHeight="true" outlineLevel="0" collapsed="false">
      <c r="A1407" s="16"/>
      <c r="B1407" s="16"/>
      <c r="C1407" s="15"/>
      <c r="D1407" s="19"/>
      <c r="E1407" s="20" t="b">
        <f aca="false">AND(A1407&lt;&gt;"",C1407&lt;&gt;"",D1407&lt;&gt;"",C1407&gt;='Read Me'!$B$5)</f>
        <v>0</v>
      </c>
      <c r="F1407" s="23" t="str">
        <f aca="false">IF(E1407,D1407,"")</f>
        <v/>
      </c>
      <c r="G1407" s="21" t="n">
        <f aca="false">IF(E1407,D1407^2,0)</f>
        <v>0</v>
      </c>
      <c r="H1407" s="3"/>
    </row>
    <row r="1408" customFormat="false" ht="15" hidden="false" customHeight="true" outlineLevel="0" collapsed="false">
      <c r="A1408" s="16"/>
      <c r="B1408" s="16"/>
      <c r="C1408" s="15"/>
      <c r="D1408" s="19"/>
      <c r="E1408" s="20" t="b">
        <f aca="false">AND(A1408&lt;&gt;"",C1408&lt;&gt;"",D1408&lt;&gt;"",C1408&gt;='Read Me'!$B$5)</f>
        <v>0</v>
      </c>
      <c r="F1408" s="23" t="str">
        <f aca="false">IF(E1408,D1408,"")</f>
        <v/>
      </c>
      <c r="G1408" s="21" t="n">
        <f aca="false">IF(E1408,D1408^2,0)</f>
        <v>0</v>
      </c>
      <c r="H1408" s="3"/>
    </row>
    <row r="1409" customFormat="false" ht="15" hidden="false" customHeight="true" outlineLevel="0" collapsed="false">
      <c r="A1409" s="16"/>
      <c r="B1409" s="16"/>
      <c r="C1409" s="15"/>
      <c r="D1409" s="19"/>
      <c r="E1409" s="20" t="b">
        <f aca="false">AND(A1409&lt;&gt;"",C1409&lt;&gt;"",D1409&lt;&gt;"",C1409&gt;='Read Me'!$B$5)</f>
        <v>0</v>
      </c>
      <c r="F1409" s="23" t="str">
        <f aca="false">IF(E1409,D1409,"")</f>
        <v/>
      </c>
      <c r="G1409" s="21" t="n">
        <f aca="false">IF(E1409,D1409^2,0)</f>
        <v>0</v>
      </c>
      <c r="H1409" s="3"/>
    </row>
    <row r="1410" customFormat="false" ht="15" hidden="false" customHeight="true" outlineLevel="0" collapsed="false">
      <c r="A1410" s="16"/>
      <c r="B1410" s="16"/>
      <c r="C1410" s="15"/>
      <c r="D1410" s="19"/>
      <c r="E1410" s="20" t="b">
        <f aca="false">AND(A1410&lt;&gt;"",C1410&lt;&gt;"",D1410&lt;&gt;"",C1410&gt;='Read Me'!$B$5)</f>
        <v>0</v>
      </c>
      <c r="F1410" s="23" t="str">
        <f aca="false">IF(E1410,D1410,"")</f>
        <v/>
      </c>
      <c r="G1410" s="21" t="n">
        <f aca="false">IF(E1410,D1410^2,0)</f>
        <v>0</v>
      </c>
      <c r="H1410" s="3"/>
    </row>
    <row r="1411" customFormat="false" ht="15" hidden="false" customHeight="true" outlineLevel="0" collapsed="false">
      <c r="A1411" s="16"/>
      <c r="B1411" s="16"/>
      <c r="C1411" s="15"/>
      <c r="D1411" s="19"/>
      <c r="E1411" s="20" t="b">
        <f aca="false">AND(A1411&lt;&gt;"",C1411&lt;&gt;"",D1411&lt;&gt;"",C1411&gt;='Read Me'!$B$5)</f>
        <v>0</v>
      </c>
      <c r="F1411" s="23" t="str">
        <f aca="false">IF(E1411,D1411,"")</f>
        <v/>
      </c>
      <c r="G1411" s="21" t="n">
        <f aca="false">IF(E1411,D1411^2,0)</f>
        <v>0</v>
      </c>
      <c r="H1411" s="3"/>
    </row>
    <row r="1412" customFormat="false" ht="15" hidden="false" customHeight="true" outlineLevel="0" collapsed="false">
      <c r="A1412" s="16"/>
      <c r="B1412" s="16"/>
      <c r="C1412" s="15"/>
      <c r="D1412" s="19"/>
      <c r="E1412" s="20" t="b">
        <f aca="false">AND(A1412&lt;&gt;"",C1412&lt;&gt;"",D1412&lt;&gt;"",C1412&gt;='Read Me'!$B$5)</f>
        <v>0</v>
      </c>
      <c r="F1412" s="23" t="str">
        <f aca="false">IF(E1412,D1412,"")</f>
        <v/>
      </c>
      <c r="G1412" s="21" t="n">
        <f aca="false">IF(E1412,D1412^2,0)</f>
        <v>0</v>
      </c>
      <c r="H1412" s="3"/>
    </row>
    <row r="1413" customFormat="false" ht="15" hidden="false" customHeight="true" outlineLevel="0" collapsed="false">
      <c r="A1413" s="16"/>
      <c r="B1413" s="16"/>
      <c r="C1413" s="15"/>
      <c r="D1413" s="19"/>
      <c r="E1413" s="20" t="b">
        <f aca="false">AND(A1413&lt;&gt;"",C1413&lt;&gt;"",D1413&lt;&gt;"",C1413&gt;='Read Me'!$B$5)</f>
        <v>0</v>
      </c>
      <c r="F1413" s="23" t="str">
        <f aca="false">IF(E1413,D1413,"")</f>
        <v/>
      </c>
      <c r="G1413" s="21" t="n">
        <f aca="false">IF(E1413,D1413^2,0)</f>
        <v>0</v>
      </c>
      <c r="H1413" s="3"/>
    </row>
    <row r="1414" customFormat="false" ht="15" hidden="false" customHeight="true" outlineLevel="0" collapsed="false">
      <c r="A1414" s="16"/>
      <c r="B1414" s="16"/>
      <c r="C1414" s="15"/>
      <c r="D1414" s="19"/>
      <c r="E1414" s="20" t="b">
        <f aca="false">AND(A1414&lt;&gt;"",C1414&lt;&gt;"",D1414&lt;&gt;"",C1414&gt;='Read Me'!$B$5)</f>
        <v>0</v>
      </c>
      <c r="F1414" s="23" t="str">
        <f aca="false">IF(E1414,D1414,"")</f>
        <v/>
      </c>
      <c r="G1414" s="21" t="n">
        <f aca="false">IF(E1414,D1414^2,0)</f>
        <v>0</v>
      </c>
      <c r="H1414" s="3"/>
    </row>
    <row r="1415" customFormat="false" ht="15" hidden="false" customHeight="true" outlineLevel="0" collapsed="false">
      <c r="A1415" s="16"/>
      <c r="B1415" s="16"/>
      <c r="C1415" s="15"/>
      <c r="D1415" s="19"/>
      <c r="E1415" s="20" t="b">
        <f aca="false">AND(A1415&lt;&gt;"",C1415&lt;&gt;"",D1415&lt;&gt;"",C1415&gt;='Read Me'!$B$5)</f>
        <v>0</v>
      </c>
      <c r="F1415" s="23" t="str">
        <f aca="false">IF(E1415,D1415,"")</f>
        <v/>
      </c>
      <c r="G1415" s="21" t="n">
        <f aca="false">IF(E1415,D1415^2,0)</f>
        <v>0</v>
      </c>
      <c r="H1415" s="3"/>
    </row>
    <row r="1416" customFormat="false" ht="15" hidden="false" customHeight="true" outlineLevel="0" collapsed="false">
      <c r="A1416" s="16"/>
      <c r="B1416" s="16"/>
      <c r="C1416" s="15"/>
      <c r="D1416" s="19"/>
      <c r="E1416" s="20" t="b">
        <f aca="false">AND(A1416&lt;&gt;"",C1416&lt;&gt;"",D1416&lt;&gt;"",C1416&gt;='Read Me'!$B$5)</f>
        <v>0</v>
      </c>
      <c r="F1416" s="23" t="str">
        <f aca="false">IF(E1416,D1416,"")</f>
        <v/>
      </c>
      <c r="G1416" s="21" t="n">
        <f aca="false">IF(E1416,D1416^2,0)</f>
        <v>0</v>
      </c>
      <c r="H1416" s="3"/>
    </row>
    <row r="1417" customFormat="false" ht="15" hidden="false" customHeight="true" outlineLevel="0" collapsed="false">
      <c r="A1417" s="16"/>
      <c r="B1417" s="16"/>
      <c r="C1417" s="15"/>
      <c r="D1417" s="19"/>
      <c r="E1417" s="20" t="b">
        <f aca="false">AND(A1417&lt;&gt;"",C1417&lt;&gt;"",D1417&lt;&gt;"",C1417&gt;='Read Me'!$B$5)</f>
        <v>0</v>
      </c>
      <c r="F1417" s="23" t="str">
        <f aca="false">IF(E1417,D1417,"")</f>
        <v/>
      </c>
      <c r="G1417" s="21" t="n">
        <f aca="false">IF(E1417,D1417^2,0)</f>
        <v>0</v>
      </c>
      <c r="H1417" s="3"/>
    </row>
    <row r="1418" customFormat="false" ht="15" hidden="false" customHeight="true" outlineLevel="0" collapsed="false">
      <c r="A1418" s="16"/>
      <c r="B1418" s="16"/>
      <c r="C1418" s="15"/>
      <c r="D1418" s="19"/>
      <c r="E1418" s="20" t="b">
        <f aca="false">AND(A1418&lt;&gt;"",C1418&lt;&gt;"",D1418&lt;&gt;"",C1418&gt;='Read Me'!$B$5)</f>
        <v>0</v>
      </c>
      <c r="F1418" s="23" t="str">
        <f aca="false">IF(E1418,D1418,"")</f>
        <v/>
      </c>
      <c r="G1418" s="21" t="n">
        <f aca="false">IF(E1418,D1418^2,0)</f>
        <v>0</v>
      </c>
      <c r="H1418" s="3"/>
    </row>
    <row r="1419" customFormat="false" ht="15" hidden="false" customHeight="true" outlineLevel="0" collapsed="false">
      <c r="A1419" s="16"/>
      <c r="B1419" s="16"/>
      <c r="C1419" s="15"/>
      <c r="D1419" s="19"/>
      <c r="E1419" s="20" t="b">
        <f aca="false">AND(A1419&lt;&gt;"",C1419&lt;&gt;"",D1419&lt;&gt;"",C1419&gt;='Read Me'!$B$5)</f>
        <v>0</v>
      </c>
      <c r="F1419" s="23" t="str">
        <f aca="false">IF(E1419,D1419,"")</f>
        <v/>
      </c>
      <c r="G1419" s="21" t="n">
        <f aca="false">IF(E1419,D1419^2,0)</f>
        <v>0</v>
      </c>
      <c r="H1419" s="3"/>
    </row>
    <row r="1420" customFormat="false" ht="15" hidden="false" customHeight="true" outlineLevel="0" collapsed="false">
      <c r="A1420" s="16"/>
      <c r="B1420" s="16"/>
      <c r="C1420" s="15"/>
      <c r="D1420" s="19"/>
      <c r="E1420" s="20" t="b">
        <f aca="false">AND(A1420&lt;&gt;"",C1420&lt;&gt;"",D1420&lt;&gt;"",C1420&gt;='Read Me'!$B$5)</f>
        <v>0</v>
      </c>
      <c r="F1420" s="23" t="str">
        <f aca="false">IF(E1420,D1420,"")</f>
        <v/>
      </c>
      <c r="G1420" s="21" t="n">
        <f aca="false">IF(E1420,D1420^2,0)</f>
        <v>0</v>
      </c>
      <c r="H1420" s="3"/>
    </row>
    <row r="1421" customFormat="false" ht="15" hidden="false" customHeight="true" outlineLevel="0" collapsed="false">
      <c r="A1421" s="16"/>
      <c r="B1421" s="16"/>
      <c r="C1421" s="15"/>
      <c r="D1421" s="19"/>
      <c r="E1421" s="20" t="b">
        <f aca="false">AND(A1421&lt;&gt;"",C1421&lt;&gt;"",D1421&lt;&gt;"",C1421&gt;='Read Me'!$B$5)</f>
        <v>0</v>
      </c>
      <c r="F1421" s="23" t="str">
        <f aca="false">IF(E1421,D1421,"")</f>
        <v/>
      </c>
      <c r="G1421" s="21" t="n">
        <f aca="false">IF(E1421,D1421^2,0)</f>
        <v>0</v>
      </c>
      <c r="H1421" s="3"/>
    </row>
    <row r="1422" customFormat="false" ht="15" hidden="false" customHeight="true" outlineLevel="0" collapsed="false">
      <c r="A1422" s="16"/>
      <c r="B1422" s="16"/>
      <c r="C1422" s="15"/>
      <c r="D1422" s="19"/>
      <c r="E1422" s="20" t="b">
        <f aca="false">AND(A1422&lt;&gt;"",C1422&lt;&gt;"",D1422&lt;&gt;"",C1422&gt;='Read Me'!$B$5)</f>
        <v>0</v>
      </c>
      <c r="F1422" s="23" t="str">
        <f aca="false">IF(E1422,D1422,"")</f>
        <v/>
      </c>
      <c r="G1422" s="21" t="n">
        <f aca="false">IF(E1422,D1422^2,0)</f>
        <v>0</v>
      </c>
      <c r="H1422" s="3"/>
    </row>
    <row r="1423" customFormat="false" ht="15" hidden="false" customHeight="true" outlineLevel="0" collapsed="false">
      <c r="A1423" s="16"/>
      <c r="B1423" s="16"/>
      <c r="C1423" s="15"/>
      <c r="D1423" s="19"/>
      <c r="E1423" s="20" t="b">
        <f aca="false">AND(A1423&lt;&gt;"",C1423&lt;&gt;"",D1423&lt;&gt;"",C1423&gt;='Read Me'!$B$5)</f>
        <v>0</v>
      </c>
      <c r="F1423" s="23" t="str">
        <f aca="false">IF(E1423,D1423,"")</f>
        <v/>
      </c>
      <c r="G1423" s="21" t="n">
        <f aca="false">IF(E1423,D1423^2,0)</f>
        <v>0</v>
      </c>
      <c r="H1423" s="3"/>
    </row>
    <row r="1424" customFormat="false" ht="15" hidden="false" customHeight="true" outlineLevel="0" collapsed="false">
      <c r="A1424" s="16"/>
      <c r="B1424" s="16"/>
      <c r="C1424" s="15"/>
      <c r="D1424" s="19"/>
      <c r="E1424" s="20" t="b">
        <f aca="false">AND(A1424&lt;&gt;"",C1424&lt;&gt;"",D1424&lt;&gt;"",C1424&gt;='Read Me'!$B$5)</f>
        <v>0</v>
      </c>
      <c r="F1424" s="23" t="str">
        <f aca="false">IF(E1424,D1424,"")</f>
        <v/>
      </c>
      <c r="G1424" s="21" t="n">
        <f aca="false">IF(E1424,D1424^2,0)</f>
        <v>0</v>
      </c>
      <c r="H1424" s="3"/>
    </row>
    <row r="1425" customFormat="false" ht="15" hidden="false" customHeight="true" outlineLevel="0" collapsed="false">
      <c r="A1425" s="16"/>
      <c r="B1425" s="16"/>
      <c r="C1425" s="15"/>
      <c r="D1425" s="19"/>
      <c r="E1425" s="20" t="b">
        <f aca="false">AND(A1425&lt;&gt;"",C1425&lt;&gt;"",D1425&lt;&gt;"",C1425&gt;='Read Me'!$B$5)</f>
        <v>0</v>
      </c>
      <c r="F1425" s="23" t="str">
        <f aca="false">IF(E1425,D1425,"")</f>
        <v/>
      </c>
      <c r="G1425" s="21" t="n">
        <f aca="false">IF(E1425,D1425^2,0)</f>
        <v>0</v>
      </c>
      <c r="H1425" s="3"/>
    </row>
    <row r="1426" customFormat="false" ht="15" hidden="false" customHeight="true" outlineLevel="0" collapsed="false">
      <c r="A1426" s="16"/>
      <c r="B1426" s="16"/>
      <c r="C1426" s="15"/>
      <c r="D1426" s="19"/>
      <c r="E1426" s="20" t="b">
        <f aca="false">AND(A1426&lt;&gt;"",C1426&lt;&gt;"",D1426&lt;&gt;"",C1426&gt;='Read Me'!$B$5)</f>
        <v>0</v>
      </c>
      <c r="F1426" s="23" t="str">
        <f aca="false">IF(E1426,D1426,"")</f>
        <v/>
      </c>
      <c r="G1426" s="21" t="n">
        <f aca="false">IF(E1426,D1426^2,0)</f>
        <v>0</v>
      </c>
      <c r="H1426" s="3"/>
    </row>
    <row r="1427" customFormat="false" ht="15" hidden="false" customHeight="true" outlineLevel="0" collapsed="false">
      <c r="A1427" s="16"/>
      <c r="B1427" s="16"/>
      <c r="C1427" s="15"/>
      <c r="D1427" s="19"/>
      <c r="E1427" s="20" t="b">
        <f aca="false">AND(A1427&lt;&gt;"",C1427&lt;&gt;"",D1427&lt;&gt;"",C1427&gt;='Read Me'!$B$5)</f>
        <v>0</v>
      </c>
      <c r="F1427" s="23" t="str">
        <f aca="false">IF(E1427,D1427,"")</f>
        <v/>
      </c>
      <c r="G1427" s="21" t="n">
        <f aca="false">IF(E1427,D1427^2,0)</f>
        <v>0</v>
      </c>
      <c r="H1427" s="3"/>
    </row>
    <row r="1428" customFormat="false" ht="15" hidden="false" customHeight="true" outlineLevel="0" collapsed="false">
      <c r="A1428" s="16"/>
      <c r="B1428" s="16"/>
      <c r="C1428" s="15"/>
      <c r="D1428" s="19"/>
      <c r="E1428" s="20" t="b">
        <f aca="false">AND(A1428&lt;&gt;"",C1428&lt;&gt;"",D1428&lt;&gt;"",C1428&gt;='Read Me'!$B$5)</f>
        <v>0</v>
      </c>
      <c r="F1428" s="23" t="str">
        <f aca="false">IF(E1428,D1428,"")</f>
        <v/>
      </c>
      <c r="G1428" s="21" t="n">
        <f aca="false">IF(E1428,D1428^2,0)</f>
        <v>0</v>
      </c>
      <c r="H1428" s="3"/>
    </row>
    <row r="1429" customFormat="false" ht="15" hidden="false" customHeight="true" outlineLevel="0" collapsed="false">
      <c r="A1429" s="16"/>
      <c r="B1429" s="16"/>
      <c r="C1429" s="15"/>
      <c r="D1429" s="19"/>
      <c r="E1429" s="20" t="b">
        <f aca="false">AND(A1429&lt;&gt;"",C1429&lt;&gt;"",D1429&lt;&gt;"",C1429&gt;='Read Me'!$B$5)</f>
        <v>0</v>
      </c>
      <c r="F1429" s="23" t="str">
        <f aca="false">IF(E1429,D1429,"")</f>
        <v/>
      </c>
      <c r="G1429" s="21" t="n">
        <f aca="false">IF(E1429,D1429^2,0)</f>
        <v>0</v>
      </c>
      <c r="H1429" s="3"/>
    </row>
    <row r="1430" customFormat="false" ht="15" hidden="false" customHeight="true" outlineLevel="0" collapsed="false">
      <c r="A1430" s="16"/>
      <c r="B1430" s="16"/>
      <c r="C1430" s="15"/>
      <c r="D1430" s="19"/>
      <c r="E1430" s="20" t="b">
        <f aca="false">AND(A1430&lt;&gt;"",C1430&lt;&gt;"",D1430&lt;&gt;"",C1430&gt;='Read Me'!$B$5)</f>
        <v>0</v>
      </c>
      <c r="F1430" s="23" t="str">
        <f aca="false">IF(E1430,D1430,"")</f>
        <v/>
      </c>
      <c r="G1430" s="21" t="n">
        <f aca="false">IF(E1430,D1430^2,0)</f>
        <v>0</v>
      </c>
      <c r="H1430" s="3"/>
    </row>
    <row r="1431" customFormat="false" ht="15" hidden="false" customHeight="true" outlineLevel="0" collapsed="false">
      <c r="A1431" s="16"/>
      <c r="B1431" s="16"/>
      <c r="C1431" s="15"/>
      <c r="D1431" s="19"/>
      <c r="E1431" s="20" t="b">
        <f aca="false">AND(A1431&lt;&gt;"",C1431&lt;&gt;"",D1431&lt;&gt;"",C1431&gt;='Read Me'!$B$5)</f>
        <v>0</v>
      </c>
      <c r="F1431" s="23" t="str">
        <f aca="false">IF(E1431,D1431,"")</f>
        <v/>
      </c>
      <c r="G1431" s="21" t="n">
        <f aca="false">IF(E1431,D1431^2,0)</f>
        <v>0</v>
      </c>
      <c r="H1431" s="3"/>
    </row>
    <row r="1432" customFormat="false" ht="15" hidden="false" customHeight="true" outlineLevel="0" collapsed="false">
      <c r="A1432" s="16"/>
      <c r="B1432" s="16"/>
      <c r="C1432" s="15"/>
      <c r="D1432" s="19"/>
      <c r="E1432" s="20" t="b">
        <f aca="false">AND(A1432&lt;&gt;"",C1432&lt;&gt;"",D1432&lt;&gt;"",C1432&gt;='Read Me'!$B$5)</f>
        <v>0</v>
      </c>
      <c r="F1432" s="23" t="str">
        <f aca="false">IF(E1432,D1432,"")</f>
        <v/>
      </c>
      <c r="G1432" s="21" t="n">
        <f aca="false">IF(E1432,D1432^2,0)</f>
        <v>0</v>
      </c>
      <c r="H1432" s="3"/>
    </row>
    <row r="1433" customFormat="false" ht="15" hidden="false" customHeight="true" outlineLevel="0" collapsed="false">
      <c r="A1433" s="16"/>
      <c r="B1433" s="16"/>
      <c r="C1433" s="15"/>
      <c r="D1433" s="19"/>
      <c r="E1433" s="20" t="b">
        <f aca="false">AND(A1433&lt;&gt;"",C1433&lt;&gt;"",D1433&lt;&gt;"",C1433&gt;='Read Me'!$B$5)</f>
        <v>0</v>
      </c>
      <c r="F1433" s="23" t="str">
        <f aca="false">IF(E1433,D1433,"")</f>
        <v/>
      </c>
      <c r="G1433" s="21" t="n">
        <f aca="false">IF(E1433,D1433^2,0)</f>
        <v>0</v>
      </c>
      <c r="H1433" s="3"/>
    </row>
    <row r="1434" customFormat="false" ht="15" hidden="false" customHeight="true" outlineLevel="0" collapsed="false">
      <c r="A1434" s="16"/>
      <c r="B1434" s="16"/>
      <c r="C1434" s="15"/>
      <c r="D1434" s="19"/>
      <c r="E1434" s="20" t="b">
        <f aca="false">AND(A1434&lt;&gt;"",C1434&lt;&gt;"",D1434&lt;&gt;"",C1434&gt;='Read Me'!$B$5)</f>
        <v>0</v>
      </c>
      <c r="F1434" s="23" t="str">
        <f aca="false">IF(E1434,D1434,"")</f>
        <v/>
      </c>
      <c r="G1434" s="21" t="n">
        <f aca="false">IF(E1434,D1434^2,0)</f>
        <v>0</v>
      </c>
      <c r="H1434" s="3"/>
    </row>
    <row r="1435" customFormat="false" ht="15" hidden="false" customHeight="true" outlineLevel="0" collapsed="false">
      <c r="A1435" s="16"/>
      <c r="B1435" s="16"/>
      <c r="C1435" s="15"/>
      <c r="D1435" s="19"/>
      <c r="E1435" s="20" t="b">
        <f aca="false">AND(A1435&lt;&gt;"",C1435&lt;&gt;"",D1435&lt;&gt;"",C1435&gt;='Read Me'!$B$5)</f>
        <v>0</v>
      </c>
      <c r="F1435" s="23" t="str">
        <f aca="false">IF(E1435,D1435,"")</f>
        <v/>
      </c>
      <c r="G1435" s="21" t="n">
        <f aca="false">IF(E1435,D1435^2,0)</f>
        <v>0</v>
      </c>
      <c r="H1435" s="3"/>
    </row>
    <row r="1436" customFormat="false" ht="15" hidden="false" customHeight="true" outlineLevel="0" collapsed="false">
      <c r="A1436" s="16"/>
      <c r="B1436" s="16"/>
      <c r="C1436" s="15"/>
      <c r="D1436" s="19"/>
      <c r="E1436" s="20" t="b">
        <f aca="false">AND(A1436&lt;&gt;"",C1436&lt;&gt;"",D1436&lt;&gt;"",C1436&gt;='Read Me'!$B$5)</f>
        <v>0</v>
      </c>
      <c r="F1436" s="23" t="str">
        <f aca="false">IF(E1436,D1436,"")</f>
        <v/>
      </c>
      <c r="G1436" s="21" t="n">
        <f aca="false">IF(E1436,D1436^2,0)</f>
        <v>0</v>
      </c>
      <c r="H1436" s="3"/>
    </row>
    <row r="1437" customFormat="false" ht="15" hidden="false" customHeight="true" outlineLevel="0" collapsed="false">
      <c r="A1437" s="16"/>
      <c r="B1437" s="16"/>
      <c r="C1437" s="15"/>
      <c r="D1437" s="19"/>
      <c r="E1437" s="20" t="b">
        <f aca="false">AND(A1437&lt;&gt;"",C1437&lt;&gt;"",D1437&lt;&gt;"",C1437&gt;='Read Me'!$B$5)</f>
        <v>0</v>
      </c>
      <c r="F1437" s="23" t="str">
        <f aca="false">IF(E1437,D1437,"")</f>
        <v/>
      </c>
      <c r="G1437" s="21" t="n">
        <f aca="false">IF(E1437,D1437^2,0)</f>
        <v>0</v>
      </c>
      <c r="H1437" s="3"/>
    </row>
    <row r="1438" customFormat="false" ht="15" hidden="false" customHeight="true" outlineLevel="0" collapsed="false">
      <c r="A1438" s="16"/>
      <c r="B1438" s="16"/>
      <c r="C1438" s="15"/>
      <c r="D1438" s="19"/>
      <c r="E1438" s="20" t="b">
        <f aca="false">AND(A1438&lt;&gt;"",C1438&lt;&gt;"",D1438&lt;&gt;"",C1438&gt;='Read Me'!$B$5)</f>
        <v>0</v>
      </c>
      <c r="F1438" s="23" t="str">
        <f aca="false">IF(E1438,D1438,"")</f>
        <v/>
      </c>
      <c r="G1438" s="21" t="n">
        <f aca="false">IF(E1438,D1438^2,0)</f>
        <v>0</v>
      </c>
      <c r="H1438" s="3"/>
    </row>
    <row r="1439" customFormat="false" ht="15" hidden="false" customHeight="true" outlineLevel="0" collapsed="false">
      <c r="A1439" s="16"/>
      <c r="B1439" s="16"/>
      <c r="C1439" s="15"/>
      <c r="D1439" s="19"/>
      <c r="E1439" s="20" t="b">
        <f aca="false">AND(A1439&lt;&gt;"",C1439&lt;&gt;"",D1439&lt;&gt;"",C1439&gt;='Read Me'!$B$5)</f>
        <v>0</v>
      </c>
      <c r="F1439" s="23" t="str">
        <f aca="false">IF(E1439,D1439,"")</f>
        <v/>
      </c>
      <c r="G1439" s="21" t="n">
        <f aca="false">IF(E1439,D1439^2,0)</f>
        <v>0</v>
      </c>
      <c r="H1439" s="3"/>
    </row>
    <row r="1440" customFormat="false" ht="15" hidden="false" customHeight="true" outlineLevel="0" collapsed="false">
      <c r="A1440" s="16"/>
      <c r="B1440" s="16"/>
      <c r="C1440" s="15"/>
      <c r="D1440" s="19"/>
      <c r="E1440" s="20" t="b">
        <f aca="false">AND(A1440&lt;&gt;"",C1440&lt;&gt;"",D1440&lt;&gt;"",C1440&gt;='Read Me'!$B$5)</f>
        <v>0</v>
      </c>
      <c r="F1440" s="23" t="str">
        <f aca="false">IF(E1440,D1440,"")</f>
        <v/>
      </c>
      <c r="G1440" s="21" t="n">
        <f aca="false">IF(E1440,D1440^2,0)</f>
        <v>0</v>
      </c>
      <c r="H1440" s="3"/>
    </row>
    <row r="1441" customFormat="false" ht="15" hidden="false" customHeight="true" outlineLevel="0" collapsed="false">
      <c r="A1441" s="16"/>
      <c r="B1441" s="16"/>
      <c r="C1441" s="15"/>
      <c r="D1441" s="19"/>
      <c r="E1441" s="20" t="b">
        <f aca="false">AND(A1441&lt;&gt;"",C1441&lt;&gt;"",D1441&lt;&gt;"",C1441&gt;='Read Me'!$B$5)</f>
        <v>0</v>
      </c>
      <c r="F1441" s="23" t="str">
        <f aca="false">IF(E1441,D1441,"")</f>
        <v/>
      </c>
      <c r="G1441" s="21" t="n">
        <f aca="false">IF(E1441,D1441^2,0)</f>
        <v>0</v>
      </c>
      <c r="H1441" s="3"/>
    </row>
    <row r="1442" customFormat="false" ht="15" hidden="false" customHeight="true" outlineLevel="0" collapsed="false">
      <c r="A1442" s="16"/>
      <c r="B1442" s="16"/>
      <c r="C1442" s="15"/>
      <c r="D1442" s="19"/>
      <c r="E1442" s="20" t="b">
        <f aca="false">AND(A1442&lt;&gt;"",C1442&lt;&gt;"",D1442&lt;&gt;"",C1442&gt;='Read Me'!$B$5)</f>
        <v>0</v>
      </c>
      <c r="F1442" s="23" t="str">
        <f aca="false">IF(E1442,D1442,"")</f>
        <v/>
      </c>
      <c r="G1442" s="21" t="n">
        <f aca="false">IF(E1442,D1442^2,0)</f>
        <v>0</v>
      </c>
      <c r="H1442" s="3"/>
    </row>
    <row r="1443" customFormat="false" ht="15" hidden="false" customHeight="true" outlineLevel="0" collapsed="false">
      <c r="A1443" s="16"/>
      <c r="B1443" s="16"/>
      <c r="C1443" s="15"/>
      <c r="D1443" s="19"/>
      <c r="E1443" s="20" t="b">
        <f aca="false">AND(A1443&lt;&gt;"",C1443&lt;&gt;"",D1443&lt;&gt;"",C1443&gt;='Read Me'!$B$5)</f>
        <v>0</v>
      </c>
      <c r="F1443" s="23" t="str">
        <f aca="false">IF(E1443,D1443,"")</f>
        <v/>
      </c>
      <c r="G1443" s="21" t="n">
        <f aca="false">IF(E1443,D1443^2,0)</f>
        <v>0</v>
      </c>
      <c r="H1443" s="3"/>
    </row>
    <row r="1444" customFormat="false" ht="15" hidden="false" customHeight="true" outlineLevel="0" collapsed="false">
      <c r="A1444" s="16"/>
      <c r="B1444" s="16"/>
      <c r="C1444" s="15"/>
      <c r="D1444" s="19"/>
      <c r="E1444" s="20" t="b">
        <f aca="false">AND(A1444&lt;&gt;"",C1444&lt;&gt;"",D1444&lt;&gt;"",C1444&gt;='Read Me'!$B$5)</f>
        <v>0</v>
      </c>
      <c r="F1444" s="23" t="str">
        <f aca="false">IF(E1444,D1444,"")</f>
        <v/>
      </c>
      <c r="G1444" s="21" t="n">
        <f aca="false">IF(E1444,D1444^2,0)</f>
        <v>0</v>
      </c>
      <c r="H1444" s="3"/>
    </row>
    <row r="1445" customFormat="false" ht="15" hidden="false" customHeight="true" outlineLevel="0" collapsed="false">
      <c r="A1445" s="16"/>
      <c r="B1445" s="16"/>
      <c r="C1445" s="15"/>
      <c r="D1445" s="19"/>
      <c r="E1445" s="20" t="b">
        <f aca="false">AND(A1445&lt;&gt;"",C1445&lt;&gt;"",D1445&lt;&gt;"",C1445&gt;='Read Me'!$B$5)</f>
        <v>0</v>
      </c>
      <c r="F1445" s="23" t="str">
        <f aca="false">IF(E1445,D1445,"")</f>
        <v/>
      </c>
      <c r="G1445" s="21" t="n">
        <f aca="false">IF(E1445,D1445^2,0)</f>
        <v>0</v>
      </c>
      <c r="H1445" s="3"/>
    </row>
    <row r="1446" customFormat="false" ht="15" hidden="false" customHeight="true" outlineLevel="0" collapsed="false">
      <c r="A1446" s="16"/>
      <c r="B1446" s="16"/>
      <c r="C1446" s="15"/>
      <c r="D1446" s="19"/>
      <c r="E1446" s="20" t="b">
        <f aca="false">AND(A1446&lt;&gt;"",C1446&lt;&gt;"",D1446&lt;&gt;"",C1446&gt;='Read Me'!$B$5)</f>
        <v>0</v>
      </c>
      <c r="F1446" s="23" t="str">
        <f aca="false">IF(E1446,D1446,"")</f>
        <v/>
      </c>
      <c r="G1446" s="21" t="n">
        <f aca="false">IF(E1446,D1446^2,0)</f>
        <v>0</v>
      </c>
      <c r="H1446" s="3"/>
    </row>
    <row r="1447" customFormat="false" ht="15" hidden="false" customHeight="true" outlineLevel="0" collapsed="false">
      <c r="A1447" s="16"/>
      <c r="B1447" s="16"/>
      <c r="C1447" s="15"/>
      <c r="D1447" s="19"/>
      <c r="E1447" s="20" t="b">
        <f aca="false">AND(A1447&lt;&gt;"",C1447&lt;&gt;"",D1447&lt;&gt;"",C1447&gt;='Read Me'!$B$5)</f>
        <v>0</v>
      </c>
      <c r="F1447" s="23" t="str">
        <f aca="false">IF(E1447,D1447,"")</f>
        <v/>
      </c>
      <c r="G1447" s="21" t="n">
        <f aca="false">IF(E1447,D1447^2,0)</f>
        <v>0</v>
      </c>
      <c r="H1447" s="3"/>
    </row>
    <row r="1448" customFormat="false" ht="15" hidden="false" customHeight="true" outlineLevel="0" collapsed="false">
      <c r="A1448" s="16"/>
      <c r="B1448" s="16"/>
      <c r="C1448" s="15"/>
      <c r="D1448" s="19"/>
      <c r="E1448" s="20" t="b">
        <f aca="false">AND(A1448&lt;&gt;"",C1448&lt;&gt;"",D1448&lt;&gt;"",C1448&gt;='Read Me'!$B$5)</f>
        <v>0</v>
      </c>
      <c r="F1448" s="23" t="str">
        <f aca="false">IF(E1448,D1448,"")</f>
        <v/>
      </c>
      <c r="G1448" s="21" t="n">
        <f aca="false">IF(E1448,D1448^2,0)</f>
        <v>0</v>
      </c>
      <c r="H1448" s="3"/>
    </row>
    <row r="1449" customFormat="false" ht="15" hidden="false" customHeight="true" outlineLevel="0" collapsed="false">
      <c r="A1449" s="16"/>
      <c r="B1449" s="16"/>
      <c r="C1449" s="15"/>
      <c r="D1449" s="19"/>
      <c r="E1449" s="20" t="b">
        <f aca="false">AND(A1449&lt;&gt;"",C1449&lt;&gt;"",D1449&lt;&gt;"",C1449&gt;='Read Me'!$B$5)</f>
        <v>0</v>
      </c>
      <c r="F1449" s="23" t="str">
        <f aca="false">IF(E1449,D1449,"")</f>
        <v/>
      </c>
      <c r="G1449" s="21" t="n">
        <f aca="false">IF(E1449,D1449^2,0)</f>
        <v>0</v>
      </c>
      <c r="H1449" s="3"/>
    </row>
    <row r="1450" customFormat="false" ht="15" hidden="false" customHeight="true" outlineLevel="0" collapsed="false">
      <c r="A1450" s="16"/>
      <c r="B1450" s="16"/>
      <c r="C1450" s="15"/>
      <c r="D1450" s="19"/>
      <c r="E1450" s="20" t="b">
        <f aca="false">AND(A1450&lt;&gt;"",C1450&lt;&gt;"",D1450&lt;&gt;"",C1450&gt;='Read Me'!$B$5)</f>
        <v>0</v>
      </c>
      <c r="F1450" s="23" t="str">
        <f aca="false">IF(E1450,D1450,"")</f>
        <v/>
      </c>
      <c r="G1450" s="21" t="n">
        <f aca="false">IF(E1450,D1450^2,0)</f>
        <v>0</v>
      </c>
      <c r="H1450" s="3"/>
    </row>
    <row r="1451" customFormat="false" ht="15" hidden="false" customHeight="true" outlineLevel="0" collapsed="false">
      <c r="A1451" s="16"/>
      <c r="B1451" s="16"/>
      <c r="C1451" s="15"/>
      <c r="D1451" s="19"/>
      <c r="E1451" s="20" t="b">
        <f aca="false">AND(A1451&lt;&gt;"",C1451&lt;&gt;"",D1451&lt;&gt;"",C1451&gt;='Read Me'!$B$5)</f>
        <v>0</v>
      </c>
      <c r="F1451" s="23" t="str">
        <f aca="false">IF(E1451,D1451,"")</f>
        <v/>
      </c>
      <c r="G1451" s="21" t="n">
        <f aca="false">IF(E1451,D1451^2,0)</f>
        <v>0</v>
      </c>
      <c r="H1451" s="3"/>
    </row>
    <row r="1452" customFormat="false" ht="15" hidden="false" customHeight="true" outlineLevel="0" collapsed="false">
      <c r="A1452" s="16"/>
      <c r="B1452" s="16"/>
      <c r="C1452" s="15"/>
      <c r="D1452" s="19"/>
      <c r="E1452" s="20" t="b">
        <f aca="false">AND(A1452&lt;&gt;"",C1452&lt;&gt;"",D1452&lt;&gt;"",C1452&gt;='Read Me'!$B$5)</f>
        <v>0</v>
      </c>
      <c r="F1452" s="23" t="str">
        <f aca="false">IF(E1452,D1452,"")</f>
        <v/>
      </c>
      <c r="G1452" s="21" t="n">
        <f aca="false">IF(E1452,D1452^2,0)</f>
        <v>0</v>
      </c>
      <c r="H1452" s="3"/>
    </row>
    <row r="1453" customFormat="false" ht="15" hidden="false" customHeight="true" outlineLevel="0" collapsed="false">
      <c r="A1453" s="16"/>
      <c r="B1453" s="16"/>
      <c r="C1453" s="15"/>
      <c r="D1453" s="19"/>
      <c r="E1453" s="20" t="b">
        <f aca="false">AND(A1453&lt;&gt;"",C1453&lt;&gt;"",D1453&lt;&gt;"",C1453&gt;='Read Me'!$B$5)</f>
        <v>0</v>
      </c>
      <c r="F1453" s="23" t="str">
        <f aca="false">IF(E1453,D1453,"")</f>
        <v/>
      </c>
      <c r="G1453" s="21" t="n">
        <f aca="false">IF(E1453,D1453^2,0)</f>
        <v>0</v>
      </c>
      <c r="H1453" s="3"/>
    </row>
    <row r="1454" customFormat="false" ht="15" hidden="false" customHeight="true" outlineLevel="0" collapsed="false">
      <c r="A1454" s="16"/>
      <c r="B1454" s="16"/>
      <c r="C1454" s="15"/>
      <c r="D1454" s="19"/>
      <c r="E1454" s="20" t="b">
        <f aca="false">AND(A1454&lt;&gt;"",C1454&lt;&gt;"",D1454&lt;&gt;"",C1454&gt;='Read Me'!$B$5)</f>
        <v>0</v>
      </c>
      <c r="F1454" s="23" t="str">
        <f aca="false">IF(E1454,D1454,"")</f>
        <v/>
      </c>
      <c r="G1454" s="21" t="n">
        <f aca="false">IF(E1454,D1454^2,0)</f>
        <v>0</v>
      </c>
      <c r="H1454" s="3"/>
    </row>
    <row r="1455" customFormat="false" ht="15" hidden="false" customHeight="true" outlineLevel="0" collapsed="false">
      <c r="A1455" s="16"/>
      <c r="B1455" s="16"/>
      <c r="C1455" s="15"/>
      <c r="D1455" s="19"/>
      <c r="E1455" s="20" t="b">
        <f aca="false">AND(A1455&lt;&gt;"",C1455&lt;&gt;"",D1455&lt;&gt;"",C1455&gt;='Read Me'!$B$5)</f>
        <v>0</v>
      </c>
      <c r="F1455" s="23" t="str">
        <f aca="false">IF(E1455,D1455,"")</f>
        <v/>
      </c>
      <c r="G1455" s="21" t="n">
        <f aca="false">IF(E1455,D1455^2,0)</f>
        <v>0</v>
      </c>
      <c r="H1455" s="3"/>
    </row>
    <row r="1456" customFormat="false" ht="15" hidden="false" customHeight="true" outlineLevel="0" collapsed="false">
      <c r="A1456" s="16"/>
      <c r="B1456" s="16"/>
      <c r="C1456" s="15"/>
      <c r="D1456" s="19"/>
      <c r="E1456" s="20" t="b">
        <f aca="false">AND(A1456&lt;&gt;"",C1456&lt;&gt;"",D1456&lt;&gt;"",C1456&gt;='Read Me'!$B$5)</f>
        <v>0</v>
      </c>
      <c r="F1456" s="23" t="str">
        <f aca="false">IF(E1456,D1456,"")</f>
        <v/>
      </c>
      <c r="G1456" s="21" t="n">
        <f aca="false">IF(E1456,D1456^2,0)</f>
        <v>0</v>
      </c>
      <c r="H1456" s="3"/>
    </row>
    <row r="1457" customFormat="false" ht="15" hidden="false" customHeight="true" outlineLevel="0" collapsed="false">
      <c r="A1457" s="16"/>
      <c r="B1457" s="16"/>
      <c r="C1457" s="15"/>
      <c r="D1457" s="19"/>
      <c r="E1457" s="20" t="b">
        <f aca="false">AND(A1457&lt;&gt;"",C1457&lt;&gt;"",D1457&lt;&gt;"",C1457&gt;='Read Me'!$B$5)</f>
        <v>0</v>
      </c>
      <c r="F1457" s="23" t="str">
        <f aca="false">IF(E1457,D1457,"")</f>
        <v/>
      </c>
      <c r="G1457" s="21" t="n">
        <f aca="false">IF(E1457,D1457^2,0)</f>
        <v>0</v>
      </c>
      <c r="H1457" s="3"/>
    </row>
    <row r="1458" customFormat="false" ht="15" hidden="false" customHeight="true" outlineLevel="0" collapsed="false">
      <c r="A1458" s="16"/>
      <c r="B1458" s="16"/>
      <c r="C1458" s="15"/>
      <c r="D1458" s="19"/>
      <c r="E1458" s="20" t="b">
        <f aca="false">AND(A1458&lt;&gt;"",C1458&lt;&gt;"",D1458&lt;&gt;"",C1458&gt;='Read Me'!$B$5)</f>
        <v>0</v>
      </c>
      <c r="F1458" s="23" t="str">
        <f aca="false">IF(E1458,D1458,"")</f>
        <v/>
      </c>
      <c r="G1458" s="21" t="n">
        <f aca="false">IF(E1458,D1458^2,0)</f>
        <v>0</v>
      </c>
      <c r="H1458" s="3"/>
    </row>
    <row r="1459" customFormat="false" ht="15" hidden="false" customHeight="true" outlineLevel="0" collapsed="false">
      <c r="A1459" s="16"/>
      <c r="B1459" s="16"/>
      <c r="C1459" s="15"/>
      <c r="D1459" s="19"/>
      <c r="E1459" s="20" t="b">
        <f aca="false">AND(A1459&lt;&gt;"",C1459&lt;&gt;"",D1459&lt;&gt;"",C1459&gt;='Read Me'!$B$5)</f>
        <v>0</v>
      </c>
      <c r="F1459" s="23" t="str">
        <f aca="false">IF(E1459,D1459,"")</f>
        <v/>
      </c>
      <c r="G1459" s="21" t="n">
        <f aca="false">IF(E1459,D1459^2,0)</f>
        <v>0</v>
      </c>
      <c r="H1459" s="3"/>
    </row>
    <row r="1460" customFormat="false" ht="15" hidden="false" customHeight="true" outlineLevel="0" collapsed="false">
      <c r="A1460" s="16"/>
      <c r="B1460" s="16"/>
      <c r="C1460" s="15"/>
      <c r="D1460" s="19"/>
      <c r="E1460" s="20" t="b">
        <f aca="false">AND(A1460&lt;&gt;"",C1460&lt;&gt;"",D1460&lt;&gt;"",C1460&gt;='Read Me'!$B$5)</f>
        <v>0</v>
      </c>
      <c r="F1460" s="23" t="str">
        <f aca="false">IF(E1460,D1460,"")</f>
        <v/>
      </c>
      <c r="G1460" s="21" t="n">
        <f aca="false">IF(E1460,D1460^2,0)</f>
        <v>0</v>
      </c>
      <c r="H1460" s="3"/>
    </row>
    <row r="1461" customFormat="false" ht="15" hidden="false" customHeight="true" outlineLevel="0" collapsed="false">
      <c r="A1461" s="16"/>
      <c r="B1461" s="16"/>
      <c r="C1461" s="15"/>
      <c r="D1461" s="19"/>
      <c r="E1461" s="20" t="b">
        <f aca="false">AND(A1461&lt;&gt;"",C1461&lt;&gt;"",D1461&lt;&gt;"",C1461&gt;='Read Me'!$B$5)</f>
        <v>0</v>
      </c>
      <c r="F1461" s="23" t="str">
        <f aca="false">IF(E1461,D1461,"")</f>
        <v/>
      </c>
      <c r="G1461" s="21" t="n">
        <f aca="false">IF(E1461,D1461^2,0)</f>
        <v>0</v>
      </c>
      <c r="H1461" s="3"/>
    </row>
    <row r="1462" customFormat="false" ht="15" hidden="false" customHeight="true" outlineLevel="0" collapsed="false">
      <c r="A1462" s="16"/>
      <c r="B1462" s="16"/>
      <c r="C1462" s="15"/>
      <c r="D1462" s="19"/>
      <c r="E1462" s="20" t="b">
        <f aca="false">AND(A1462&lt;&gt;"",C1462&lt;&gt;"",D1462&lt;&gt;"",C1462&gt;='Read Me'!$B$5)</f>
        <v>0</v>
      </c>
      <c r="F1462" s="23" t="str">
        <f aca="false">IF(E1462,D1462,"")</f>
        <v/>
      </c>
      <c r="G1462" s="21" t="n">
        <f aca="false">IF(E1462,D1462^2,0)</f>
        <v>0</v>
      </c>
      <c r="H1462" s="3"/>
    </row>
    <row r="1463" customFormat="false" ht="15" hidden="false" customHeight="true" outlineLevel="0" collapsed="false">
      <c r="A1463" s="16"/>
      <c r="B1463" s="16"/>
      <c r="C1463" s="15"/>
      <c r="D1463" s="19"/>
      <c r="E1463" s="20" t="b">
        <f aca="false">AND(A1463&lt;&gt;"",C1463&lt;&gt;"",D1463&lt;&gt;"",C1463&gt;='Read Me'!$B$5)</f>
        <v>0</v>
      </c>
      <c r="F1463" s="23" t="str">
        <f aca="false">IF(E1463,D1463,"")</f>
        <v/>
      </c>
      <c r="G1463" s="21" t="n">
        <f aca="false">IF(E1463,D1463^2,0)</f>
        <v>0</v>
      </c>
      <c r="H1463" s="3"/>
    </row>
    <row r="1464" customFormat="false" ht="15" hidden="false" customHeight="true" outlineLevel="0" collapsed="false">
      <c r="A1464" s="16"/>
      <c r="B1464" s="16"/>
      <c r="C1464" s="15"/>
      <c r="D1464" s="19"/>
      <c r="E1464" s="20" t="b">
        <f aca="false">AND(A1464&lt;&gt;"",C1464&lt;&gt;"",D1464&lt;&gt;"",C1464&gt;='Read Me'!$B$5)</f>
        <v>0</v>
      </c>
      <c r="F1464" s="23" t="str">
        <f aca="false">IF(E1464,D1464,"")</f>
        <v/>
      </c>
      <c r="G1464" s="21" t="n">
        <f aca="false">IF(E1464,D1464^2,0)</f>
        <v>0</v>
      </c>
      <c r="H1464" s="3"/>
    </row>
    <row r="1465" customFormat="false" ht="15" hidden="false" customHeight="true" outlineLevel="0" collapsed="false">
      <c r="A1465" s="16"/>
      <c r="B1465" s="16"/>
      <c r="C1465" s="15"/>
      <c r="D1465" s="19"/>
      <c r="E1465" s="20" t="b">
        <f aca="false">AND(A1465&lt;&gt;"",C1465&lt;&gt;"",D1465&lt;&gt;"",C1465&gt;='Read Me'!$B$5)</f>
        <v>0</v>
      </c>
      <c r="F1465" s="23" t="str">
        <f aca="false">IF(E1465,D1465,"")</f>
        <v/>
      </c>
      <c r="G1465" s="21" t="n">
        <f aca="false">IF(E1465,D1465^2,0)</f>
        <v>0</v>
      </c>
      <c r="H1465" s="3"/>
    </row>
    <row r="1466" customFormat="false" ht="15" hidden="false" customHeight="true" outlineLevel="0" collapsed="false">
      <c r="A1466" s="16"/>
      <c r="B1466" s="16"/>
      <c r="C1466" s="15"/>
      <c r="D1466" s="19"/>
      <c r="E1466" s="20" t="b">
        <f aca="false">AND(A1466&lt;&gt;"",C1466&lt;&gt;"",D1466&lt;&gt;"",C1466&gt;='Read Me'!$B$5)</f>
        <v>0</v>
      </c>
      <c r="F1466" s="23" t="str">
        <f aca="false">IF(E1466,D1466,"")</f>
        <v/>
      </c>
      <c r="G1466" s="21" t="n">
        <f aca="false">IF(E1466,D1466^2,0)</f>
        <v>0</v>
      </c>
      <c r="H1466" s="3"/>
    </row>
    <row r="1467" customFormat="false" ht="15" hidden="false" customHeight="true" outlineLevel="0" collapsed="false">
      <c r="A1467" s="16"/>
      <c r="B1467" s="16"/>
      <c r="C1467" s="15"/>
      <c r="D1467" s="19"/>
      <c r="E1467" s="20" t="b">
        <f aca="false">AND(A1467&lt;&gt;"",C1467&lt;&gt;"",D1467&lt;&gt;"",C1467&gt;='Read Me'!$B$5)</f>
        <v>0</v>
      </c>
      <c r="F1467" s="23" t="str">
        <f aca="false">IF(E1467,D1467,"")</f>
        <v/>
      </c>
      <c r="G1467" s="21" t="n">
        <f aca="false">IF(E1467,D1467^2,0)</f>
        <v>0</v>
      </c>
      <c r="H1467" s="3"/>
    </row>
    <row r="1468" customFormat="false" ht="15" hidden="false" customHeight="true" outlineLevel="0" collapsed="false">
      <c r="A1468" s="16"/>
      <c r="B1468" s="16"/>
      <c r="C1468" s="15"/>
      <c r="D1468" s="19"/>
      <c r="E1468" s="20" t="b">
        <f aca="false">AND(A1468&lt;&gt;"",C1468&lt;&gt;"",D1468&lt;&gt;"",C1468&gt;='Read Me'!$B$5)</f>
        <v>0</v>
      </c>
      <c r="F1468" s="23" t="str">
        <f aca="false">IF(E1468,D1468,"")</f>
        <v/>
      </c>
      <c r="G1468" s="21" t="n">
        <f aca="false">IF(E1468,D1468^2,0)</f>
        <v>0</v>
      </c>
      <c r="H1468" s="3"/>
    </row>
    <row r="1469" customFormat="false" ht="15" hidden="false" customHeight="true" outlineLevel="0" collapsed="false">
      <c r="A1469" s="16"/>
      <c r="B1469" s="16"/>
      <c r="C1469" s="15"/>
      <c r="D1469" s="19"/>
      <c r="E1469" s="20" t="b">
        <f aca="false">AND(A1469&lt;&gt;"",C1469&lt;&gt;"",D1469&lt;&gt;"",C1469&gt;='Read Me'!$B$5)</f>
        <v>0</v>
      </c>
      <c r="F1469" s="23" t="str">
        <f aca="false">IF(E1469,D1469,"")</f>
        <v/>
      </c>
      <c r="G1469" s="21" t="n">
        <f aca="false">IF(E1469,D1469^2,0)</f>
        <v>0</v>
      </c>
      <c r="H1469" s="3"/>
    </row>
    <row r="1470" customFormat="false" ht="15" hidden="false" customHeight="true" outlineLevel="0" collapsed="false">
      <c r="A1470" s="16"/>
      <c r="B1470" s="16"/>
      <c r="C1470" s="15"/>
      <c r="D1470" s="19"/>
      <c r="E1470" s="20" t="b">
        <f aca="false">AND(A1470&lt;&gt;"",C1470&lt;&gt;"",D1470&lt;&gt;"",C1470&gt;='Read Me'!$B$5)</f>
        <v>0</v>
      </c>
      <c r="F1470" s="23" t="str">
        <f aca="false">IF(E1470,D1470,"")</f>
        <v/>
      </c>
      <c r="G1470" s="21" t="n">
        <f aca="false">IF(E1470,D1470^2,0)</f>
        <v>0</v>
      </c>
      <c r="H1470" s="3"/>
    </row>
    <row r="1471" customFormat="false" ht="15" hidden="false" customHeight="true" outlineLevel="0" collapsed="false">
      <c r="A1471" s="16"/>
      <c r="B1471" s="16"/>
      <c r="C1471" s="15"/>
      <c r="D1471" s="19"/>
      <c r="E1471" s="20" t="b">
        <f aca="false">AND(A1471&lt;&gt;"",C1471&lt;&gt;"",D1471&lt;&gt;"",C1471&gt;='Read Me'!$B$5)</f>
        <v>0</v>
      </c>
      <c r="F1471" s="23" t="str">
        <f aca="false">IF(E1471,D1471,"")</f>
        <v/>
      </c>
      <c r="G1471" s="21" t="n">
        <f aca="false">IF(E1471,D1471^2,0)</f>
        <v>0</v>
      </c>
      <c r="H1471" s="3"/>
    </row>
    <row r="1472" customFormat="false" ht="15" hidden="false" customHeight="true" outlineLevel="0" collapsed="false">
      <c r="A1472" s="16"/>
      <c r="B1472" s="16"/>
      <c r="C1472" s="15"/>
      <c r="D1472" s="19"/>
      <c r="E1472" s="20" t="b">
        <f aca="false">AND(A1472&lt;&gt;"",C1472&lt;&gt;"",D1472&lt;&gt;"",C1472&gt;='Read Me'!$B$5)</f>
        <v>0</v>
      </c>
      <c r="F1472" s="23" t="str">
        <f aca="false">IF(E1472,D1472,"")</f>
        <v/>
      </c>
      <c r="G1472" s="21" t="n">
        <f aca="false">IF(E1472,D1472^2,0)</f>
        <v>0</v>
      </c>
      <c r="H1472" s="3"/>
    </row>
    <row r="1473" customFormat="false" ht="15" hidden="false" customHeight="true" outlineLevel="0" collapsed="false">
      <c r="A1473" s="16"/>
      <c r="B1473" s="16"/>
      <c r="C1473" s="15"/>
      <c r="D1473" s="19"/>
      <c r="E1473" s="20" t="b">
        <f aca="false">AND(A1473&lt;&gt;"",C1473&lt;&gt;"",D1473&lt;&gt;"",C1473&gt;='Read Me'!$B$5)</f>
        <v>0</v>
      </c>
      <c r="F1473" s="23" t="str">
        <f aca="false">IF(E1473,D1473,"")</f>
        <v/>
      </c>
      <c r="G1473" s="21" t="n">
        <f aca="false">IF(E1473,D1473^2,0)</f>
        <v>0</v>
      </c>
      <c r="H1473" s="3"/>
    </row>
    <row r="1474" customFormat="false" ht="15" hidden="false" customHeight="true" outlineLevel="0" collapsed="false">
      <c r="A1474" s="16"/>
      <c r="B1474" s="16"/>
      <c r="C1474" s="15"/>
      <c r="D1474" s="19"/>
      <c r="E1474" s="20" t="b">
        <f aca="false">AND(A1474&lt;&gt;"",C1474&lt;&gt;"",D1474&lt;&gt;"",C1474&gt;='Read Me'!$B$5)</f>
        <v>0</v>
      </c>
      <c r="F1474" s="23" t="str">
        <f aca="false">IF(E1474,D1474,"")</f>
        <v/>
      </c>
      <c r="G1474" s="21" t="n">
        <f aca="false">IF(E1474,D1474^2,0)</f>
        <v>0</v>
      </c>
      <c r="H1474" s="3"/>
    </row>
    <row r="1475" customFormat="false" ht="15" hidden="false" customHeight="true" outlineLevel="0" collapsed="false">
      <c r="A1475" s="16"/>
      <c r="B1475" s="16"/>
      <c r="C1475" s="15"/>
      <c r="D1475" s="19"/>
      <c r="E1475" s="20" t="b">
        <f aca="false">AND(A1475&lt;&gt;"",C1475&lt;&gt;"",D1475&lt;&gt;"",C1475&gt;='Read Me'!$B$5)</f>
        <v>0</v>
      </c>
      <c r="F1475" s="23" t="str">
        <f aca="false">IF(E1475,D1475,"")</f>
        <v/>
      </c>
      <c r="G1475" s="21" t="n">
        <f aca="false">IF(E1475,D1475^2,0)</f>
        <v>0</v>
      </c>
      <c r="H1475" s="3"/>
    </row>
    <row r="1476" customFormat="false" ht="15" hidden="false" customHeight="true" outlineLevel="0" collapsed="false">
      <c r="A1476" s="16"/>
      <c r="B1476" s="16"/>
      <c r="C1476" s="15"/>
      <c r="D1476" s="19"/>
      <c r="E1476" s="20" t="b">
        <f aca="false">AND(A1476&lt;&gt;"",C1476&lt;&gt;"",D1476&lt;&gt;"",C1476&gt;='Read Me'!$B$5)</f>
        <v>0</v>
      </c>
      <c r="F1476" s="23" t="str">
        <f aca="false">IF(E1476,D1476,"")</f>
        <v/>
      </c>
      <c r="G1476" s="21" t="n">
        <f aca="false">IF(E1476,D1476^2,0)</f>
        <v>0</v>
      </c>
      <c r="H1476" s="3"/>
    </row>
    <row r="1477" customFormat="false" ht="15" hidden="false" customHeight="true" outlineLevel="0" collapsed="false">
      <c r="A1477" s="16"/>
      <c r="B1477" s="16"/>
      <c r="C1477" s="15"/>
      <c r="D1477" s="19"/>
      <c r="E1477" s="20" t="b">
        <f aca="false">AND(A1477&lt;&gt;"",C1477&lt;&gt;"",D1477&lt;&gt;"",C1477&gt;='Read Me'!$B$5)</f>
        <v>0</v>
      </c>
      <c r="F1477" s="23" t="str">
        <f aca="false">IF(E1477,D1477,"")</f>
        <v/>
      </c>
      <c r="G1477" s="21" t="n">
        <f aca="false">IF(E1477,D1477^2,0)</f>
        <v>0</v>
      </c>
      <c r="H1477" s="3"/>
    </row>
    <row r="1478" customFormat="false" ht="15" hidden="false" customHeight="true" outlineLevel="0" collapsed="false">
      <c r="A1478" s="16"/>
      <c r="B1478" s="16"/>
      <c r="C1478" s="15"/>
      <c r="D1478" s="19"/>
      <c r="E1478" s="20" t="b">
        <f aca="false">AND(A1478&lt;&gt;"",C1478&lt;&gt;"",D1478&lt;&gt;"",C1478&gt;='Read Me'!$B$5)</f>
        <v>0</v>
      </c>
      <c r="F1478" s="23" t="str">
        <f aca="false">IF(E1478,D1478,"")</f>
        <v/>
      </c>
      <c r="G1478" s="21" t="n">
        <f aca="false">IF(E1478,D1478^2,0)</f>
        <v>0</v>
      </c>
      <c r="H1478" s="3"/>
    </row>
    <row r="1479" customFormat="false" ht="15" hidden="false" customHeight="true" outlineLevel="0" collapsed="false">
      <c r="A1479" s="16"/>
      <c r="B1479" s="16"/>
      <c r="C1479" s="15"/>
      <c r="D1479" s="19"/>
      <c r="E1479" s="20" t="b">
        <f aca="false">AND(A1479&lt;&gt;"",C1479&lt;&gt;"",D1479&lt;&gt;"",C1479&gt;='Read Me'!$B$5)</f>
        <v>0</v>
      </c>
      <c r="F1479" s="23" t="str">
        <f aca="false">IF(E1479,D1479,"")</f>
        <v/>
      </c>
      <c r="G1479" s="21" t="n">
        <f aca="false">IF(E1479,D1479^2,0)</f>
        <v>0</v>
      </c>
      <c r="H1479" s="3"/>
    </row>
    <row r="1480" customFormat="false" ht="15" hidden="false" customHeight="true" outlineLevel="0" collapsed="false">
      <c r="A1480" s="16"/>
      <c r="B1480" s="16"/>
      <c r="C1480" s="15"/>
      <c r="D1480" s="19"/>
      <c r="E1480" s="20" t="b">
        <f aca="false">AND(A1480&lt;&gt;"",C1480&lt;&gt;"",D1480&lt;&gt;"",C1480&gt;='Read Me'!$B$5)</f>
        <v>0</v>
      </c>
      <c r="F1480" s="23" t="str">
        <f aca="false">IF(E1480,D1480,"")</f>
        <v/>
      </c>
      <c r="G1480" s="21" t="n">
        <f aca="false">IF(E1480,D1480^2,0)</f>
        <v>0</v>
      </c>
      <c r="H1480" s="3"/>
    </row>
    <row r="1481" customFormat="false" ht="15" hidden="false" customHeight="true" outlineLevel="0" collapsed="false">
      <c r="A1481" s="16"/>
      <c r="B1481" s="16"/>
      <c r="C1481" s="15"/>
      <c r="D1481" s="19"/>
      <c r="E1481" s="20" t="b">
        <f aca="false">AND(A1481&lt;&gt;"",C1481&lt;&gt;"",D1481&lt;&gt;"",C1481&gt;='Read Me'!$B$5)</f>
        <v>0</v>
      </c>
      <c r="F1481" s="23" t="str">
        <f aca="false">IF(E1481,D1481,"")</f>
        <v/>
      </c>
      <c r="G1481" s="21" t="n">
        <f aca="false">IF(E1481,D1481^2,0)</f>
        <v>0</v>
      </c>
      <c r="H1481" s="3"/>
    </row>
    <row r="1482" customFormat="false" ht="15" hidden="false" customHeight="true" outlineLevel="0" collapsed="false">
      <c r="A1482" s="16"/>
      <c r="B1482" s="16"/>
      <c r="C1482" s="15"/>
      <c r="D1482" s="19"/>
      <c r="E1482" s="20" t="b">
        <f aca="false">AND(A1482&lt;&gt;"",C1482&lt;&gt;"",D1482&lt;&gt;"",C1482&gt;='Read Me'!$B$5)</f>
        <v>0</v>
      </c>
      <c r="F1482" s="23" t="str">
        <f aca="false">IF(E1482,D1482,"")</f>
        <v/>
      </c>
      <c r="G1482" s="21" t="n">
        <f aca="false">IF(E1482,D1482^2,0)</f>
        <v>0</v>
      </c>
      <c r="H1482" s="3"/>
    </row>
    <row r="1483" customFormat="false" ht="15" hidden="false" customHeight="true" outlineLevel="0" collapsed="false">
      <c r="A1483" s="16"/>
      <c r="B1483" s="16"/>
      <c r="C1483" s="15"/>
      <c r="D1483" s="19"/>
      <c r="E1483" s="20" t="b">
        <f aca="false">AND(A1483&lt;&gt;"",C1483&lt;&gt;"",D1483&lt;&gt;"",C1483&gt;='Read Me'!$B$5)</f>
        <v>0</v>
      </c>
      <c r="F1483" s="23" t="str">
        <f aca="false">IF(E1483,D1483,"")</f>
        <v/>
      </c>
      <c r="G1483" s="21" t="n">
        <f aca="false">IF(E1483,D1483^2,0)</f>
        <v>0</v>
      </c>
      <c r="H1483" s="3"/>
    </row>
    <row r="1484" customFormat="false" ht="15" hidden="false" customHeight="true" outlineLevel="0" collapsed="false">
      <c r="A1484" s="16"/>
      <c r="B1484" s="16"/>
      <c r="C1484" s="15"/>
      <c r="D1484" s="19"/>
      <c r="E1484" s="20" t="b">
        <f aca="false">AND(A1484&lt;&gt;"",C1484&lt;&gt;"",D1484&lt;&gt;"",C1484&gt;='Read Me'!$B$5)</f>
        <v>0</v>
      </c>
      <c r="F1484" s="23" t="str">
        <f aca="false">IF(E1484,D1484,"")</f>
        <v/>
      </c>
      <c r="G1484" s="21" t="n">
        <f aca="false">IF(E1484,D1484^2,0)</f>
        <v>0</v>
      </c>
      <c r="H1484" s="3"/>
    </row>
    <row r="1485" customFormat="false" ht="15" hidden="false" customHeight="true" outlineLevel="0" collapsed="false">
      <c r="A1485" s="16"/>
      <c r="B1485" s="16"/>
      <c r="C1485" s="15"/>
      <c r="D1485" s="19"/>
      <c r="E1485" s="20" t="b">
        <f aca="false">AND(A1485&lt;&gt;"",C1485&lt;&gt;"",D1485&lt;&gt;"",C1485&gt;='Read Me'!$B$5)</f>
        <v>0</v>
      </c>
      <c r="F1485" s="23" t="str">
        <f aca="false">IF(E1485,D1485,"")</f>
        <v/>
      </c>
      <c r="G1485" s="21" t="n">
        <f aca="false">IF(E1485,D1485^2,0)</f>
        <v>0</v>
      </c>
      <c r="H1485" s="3"/>
    </row>
    <row r="1486" customFormat="false" ht="15" hidden="false" customHeight="true" outlineLevel="0" collapsed="false">
      <c r="A1486" s="16"/>
      <c r="B1486" s="16"/>
      <c r="C1486" s="15"/>
      <c r="D1486" s="19"/>
      <c r="E1486" s="20" t="b">
        <f aca="false">AND(A1486&lt;&gt;"",C1486&lt;&gt;"",D1486&lt;&gt;"",C1486&gt;='Read Me'!$B$5)</f>
        <v>0</v>
      </c>
      <c r="F1486" s="23" t="str">
        <f aca="false">IF(E1486,D1486,"")</f>
        <v/>
      </c>
      <c r="G1486" s="21" t="n">
        <f aca="false">IF(E1486,D1486^2,0)</f>
        <v>0</v>
      </c>
      <c r="H1486" s="3"/>
    </row>
    <row r="1487" customFormat="false" ht="15" hidden="false" customHeight="true" outlineLevel="0" collapsed="false">
      <c r="A1487" s="16"/>
      <c r="B1487" s="16"/>
      <c r="C1487" s="15"/>
      <c r="D1487" s="19"/>
      <c r="E1487" s="20" t="b">
        <f aca="false">AND(A1487&lt;&gt;"",C1487&lt;&gt;"",D1487&lt;&gt;"",C1487&gt;='Read Me'!$B$5)</f>
        <v>0</v>
      </c>
      <c r="F1487" s="23" t="str">
        <f aca="false">IF(E1487,D1487,"")</f>
        <v/>
      </c>
      <c r="G1487" s="21" t="n">
        <f aca="false">IF(E1487,D1487^2,0)</f>
        <v>0</v>
      </c>
      <c r="H1487" s="3"/>
    </row>
    <row r="1488" customFormat="false" ht="15" hidden="false" customHeight="true" outlineLevel="0" collapsed="false">
      <c r="A1488" s="16"/>
      <c r="B1488" s="16"/>
      <c r="C1488" s="15"/>
      <c r="D1488" s="19"/>
      <c r="E1488" s="20" t="b">
        <f aca="false">AND(A1488&lt;&gt;"",C1488&lt;&gt;"",D1488&lt;&gt;"",C1488&gt;='Read Me'!$B$5)</f>
        <v>0</v>
      </c>
      <c r="F1488" s="23" t="str">
        <f aca="false">IF(E1488,D1488,"")</f>
        <v/>
      </c>
      <c r="G1488" s="21" t="n">
        <f aca="false">IF(E1488,D1488^2,0)</f>
        <v>0</v>
      </c>
      <c r="H1488" s="3"/>
    </row>
    <row r="1489" customFormat="false" ht="15" hidden="false" customHeight="true" outlineLevel="0" collapsed="false">
      <c r="A1489" s="16"/>
      <c r="B1489" s="16"/>
      <c r="C1489" s="15"/>
      <c r="D1489" s="19"/>
      <c r="E1489" s="20" t="b">
        <f aca="false">AND(A1489&lt;&gt;"",C1489&lt;&gt;"",D1489&lt;&gt;"",C1489&gt;='Read Me'!$B$5)</f>
        <v>0</v>
      </c>
      <c r="F1489" s="23" t="str">
        <f aca="false">IF(E1489,D1489,"")</f>
        <v/>
      </c>
      <c r="G1489" s="21" t="n">
        <f aca="false">IF(E1489,D1489^2,0)</f>
        <v>0</v>
      </c>
      <c r="H1489" s="3"/>
    </row>
    <row r="1490" customFormat="false" ht="15" hidden="false" customHeight="true" outlineLevel="0" collapsed="false">
      <c r="A1490" s="16"/>
      <c r="B1490" s="16"/>
      <c r="C1490" s="15"/>
      <c r="D1490" s="19"/>
      <c r="E1490" s="20" t="b">
        <f aca="false">AND(A1490&lt;&gt;"",C1490&lt;&gt;"",D1490&lt;&gt;"",C1490&gt;='Read Me'!$B$5)</f>
        <v>0</v>
      </c>
      <c r="F1490" s="23" t="str">
        <f aca="false">IF(E1490,D1490,"")</f>
        <v/>
      </c>
      <c r="G1490" s="21" t="n">
        <f aca="false">IF(E1490,D1490^2,0)</f>
        <v>0</v>
      </c>
      <c r="H1490" s="3"/>
    </row>
    <row r="1491" customFormat="false" ht="15" hidden="false" customHeight="true" outlineLevel="0" collapsed="false">
      <c r="A1491" s="16"/>
      <c r="B1491" s="16"/>
      <c r="C1491" s="15"/>
      <c r="D1491" s="19"/>
      <c r="E1491" s="20" t="b">
        <f aca="false">AND(A1491&lt;&gt;"",C1491&lt;&gt;"",D1491&lt;&gt;"",C1491&gt;='Read Me'!$B$5)</f>
        <v>0</v>
      </c>
      <c r="F1491" s="23" t="str">
        <f aca="false">IF(E1491,D1491,"")</f>
        <v/>
      </c>
      <c r="G1491" s="21" t="n">
        <f aca="false">IF(E1491,D1491^2,0)</f>
        <v>0</v>
      </c>
      <c r="H1491" s="3"/>
    </row>
    <row r="1492" customFormat="false" ht="15" hidden="false" customHeight="true" outlineLevel="0" collapsed="false">
      <c r="A1492" s="16"/>
      <c r="B1492" s="16"/>
      <c r="C1492" s="15"/>
      <c r="D1492" s="19"/>
      <c r="E1492" s="20" t="b">
        <f aca="false">AND(A1492&lt;&gt;"",C1492&lt;&gt;"",D1492&lt;&gt;"",C1492&gt;='Read Me'!$B$5)</f>
        <v>0</v>
      </c>
      <c r="F1492" s="23" t="str">
        <f aca="false">IF(E1492,D1492,"")</f>
        <v/>
      </c>
      <c r="G1492" s="21" t="n">
        <f aca="false">IF(E1492,D1492^2,0)</f>
        <v>0</v>
      </c>
      <c r="H1492" s="3"/>
    </row>
    <row r="1493" customFormat="false" ht="15" hidden="false" customHeight="true" outlineLevel="0" collapsed="false">
      <c r="A1493" s="16"/>
      <c r="B1493" s="16"/>
      <c r="C1493" s="15"/>
      <c r="D1493" s="19"/>
      <c r="E1493" s="20" t="b">
        <f aca="false">AND(A1493&lt;&gt;"",C1493&lt;&gt;"",D1493&lt;&gt;"",C1493&gt;='Read Me'!$B$5)</f>
        <v>0</v>
      </c>
      <c r="F1493" s="23" t="str">
        <f aca="false">IF(E1493,D1493,"")</f>
        <v/>
      </c>
      <c r="G1493" s="21" t="n">
        <f aca="false">IF(E1493,D1493^2,0)</f>
        <v>0</v>
      </c>
      <c r="H1493" s="3"/>
    </row>
    <row r="1494" customFormat="false" ht="15" hidden="false" customHeight="true" outlineLevel="0" collapsed="false">
      <c r="A1494" s="16"/>
      <c r="B1494" s="16"/>
      <c r="C1494" s="15"/>
      <c r="D1494" s="19"/>
      <c r="E1494" s="20" t="b">
        <f aca="false">AND(A1494&lt;&gt;"",C1494&lt;&gt;"",D1494&lt;&gt;"",C1494&gt;='Read Me'!$B$5)</f>
        <v>0</v>
      </c>
      <c r="F1494" s="23" t="str">
        <f aca="false">IF(E1494,D1494,"")</f>
        <v/>
      </c>
      <c r="G1494" s="21" t="n">
        <f aca="false">IF(E1494,D1494^2,0)</f>
        <v>0</v>
      </c>
      <c r="H1494" s="3"/>
    </row>
    <row r="1495" customFormat="false" ht="15" hidden="false" customHeight="true" outlineLevel="0" collapsed="false">
      <c r="A1495" s="16"/>
      <c r="B1495" s="16"/>
      <c r="C1495" s="15"/>
      <c r="D1495" s="19"/>
      <c r="E1495" s="20" t="b">
        <f aca="false">AND(A1495&lt;&gt;"",C1495&lt;&gt;"",D1495&lt;&gt;"",C1495&gt;='Read Me'!$B$5)</f>
        <v>0</v>
      </c>
      <c r="F1495" s="23" t="str">
        <f aca="false">IF(E1495,D1495,"")</f>
        <v/>
      </c>
      <c r="G1495" s="21" t="n">
        <f aca="false">IF(E1495,D1495^2,0)</f>
        <v>0</v>
      </c>
      <c r="H1495" s="3"/>
    </row>
    <row r="1496" customFormat="false" ht="15" hidden="false" customHeight="true" outlineLevel="0" collapsed="false">
      <c r="A1496" s="16"/>
      <c r="B1496" s="16"/>
      <c r="C1496" s="15"/>
      <c r="D1496" s="19"/>
      <c r="E1496" s="20" t="b">
        <f aca="false">AND(A1496&lt;&gt;"",C1496&lt;&gt;"",D1496&lt;&gt;"",C1496&gt;='Read Me'!$B$5)</f>
        <v>0</v>
      </c>
      <c r="F1496" s="23" t="str">
        <f aca="false">IF(E1496,D1496,"")</f>
        <v/>
      </c>
      <c r="G1496" s="21" t="n">
        <f aca="false">IF(E1496,D1496^2,0)</f>
        <v>0</v>
      </c>
      <c r="H1496" s="3"/>
    </row>
    <row r="1497" customFormat="false" ht="15" hidden="false" customHeight="true" outlineLevel="0" collapsed="false">
      <c r="A1497" s="16"/>
      <c r="B1497" s="16"/>
      <c r="C1497" s="15"/>
      <c r="D1497" s="19"/>
      <c r="E1497" s="20" t="b">
        <f aca="false">AND(A1497&lt;&gt;"",C1497&lt;&gt;"",D1497&lt;&gt;"",C1497&gt;='Read Me'!$B$5)</f>
        <v>0</v>
      </c>
      <c r="F1497" s="23" t="str">
        <f aca="false">IF(E1497,D1497,"")</f>
        <v/>
      </c>
      <c r="G1497" s="21" t="n">
        <f aca="false">IF(E1497,D1497^2,0)</f>
        <v>0</v>
      </c>
      <c r="H1497" s="3"/>
    </row>
    <row r="1498" customFormat="false" ht="15" hidden="false" customHeight="true" outlineLevel="0" collapsed="false">
      <c r="A1498" s="16"/>
      <c r="B1498" s="16"/>
      <c r="C1498" s="15"/>
      <c r="D1498" s="19"/>
      <c r="E1498" s="20" t="b">
        <f aca="false">AND(A1498&lt;&gt;"",C1498&lt;&gt;"",D1498&lt;&gt;"",C1498&gt;='Read Me'!$B$5)</f>
        <v>0</v>
      </c>
      <c r="F1498" s="23" t="str">
        <f aca="false">IF(E1498,D1498,"")</f>
        <v/>
      </c>
      <c r="G1498" s="21" t="n">
        <f aca="false">IF(E1498,D1498^2,0)</f>
        <v>0</v>
      </c>
      <c r="H1498" s="3"/>
    </row>
    <row r="1499" customFormat="false" ht="15" hidden="false" customHeight="true" outlineLevel="0" collapsed="false">
      <c r="A1499" s="16"/>
      <c r="B1499" s="16"/>
      <c r="C1499" s="15"/>
      <c r="D1499" s="19"/>
      <c r="E1499" s="20" t="b">
        <f aca="false">AND(A1499&lt;&gt;"",C1499&lt;&gt;"",D1499&lt;&gt;"",C1499&gt;='Read Me'!$B$5)</f>
        <v>0</v>
      </c>
      <c r="F1499" s="23" t="str">
        <f aca="false">IF(E1499,D1499,"")</f>
        <v/>
      </c>
      <c r="G1499" s="21" t="n">
        <f aca="false">IF(E1499,D1499^2,0)</f>
        <v>0</v>
      </c>
      <c r="H1499" s="3"/>
    </row>
    <row r="1500" customFormat="false" ht="15" hidden="false" customHeight="true" outlineLevel="0" collapsed="false">
      <c r="A1500" s="16"/>
      <c r="B1500" s="16"/>
      <c r="C1500" s="15"/>
      <c r="D1500" s="19"/>
      <c r="E1500" s="20" t="b">
        <f aca="false">AND(A1500&lt;&gt;"",C1500&lt;&gt;"",D1500&lt;&gt;"",C1500&gt;='Read Me'!$B$5)</f>
        <v>0</v>
      </c>
      <c r="F1500" s="23" t="str">
        <f aca="false">IF(E1500,D1500,"")</f>
        <v/>
      </c>
      <c r="G1500" s="21" t="n">
        <f aca="false">IF(E1500,D1500^2,0)</f>
        <v>0</v>
      </c>
      <c r="H1500" s="3"/>
    </row>
    <row r="1501" customFormat="false" ht="15" hidden="false" customHeight="true" outlineLevel="0" collapsed="false">
      <c r="A1501" s="16"/>
      <c r="B1501" s="16"/>
      <c r="C1501" s="15"/>
      <c r="D1501" s="19"/>
      <c r="E1501" s="20" t="b">
        <f aca="false">AND(A1501&lt;&gt;"",C1501&lt;&gt;"",D1501&lt;&gt;"",C1501&gt;='Read Me'!$B$5)</f>
        <v>0</v>
      </c>
      <c r="F1501" s="23" t="str">
        <f aca="false">IF(E1501,D1501,"")</f>
        <v/>
      </c>
      <c r="G1501" s="21" t="n">
        <f aca="false">IF(E1501,D1501^2,0)</f>
        <v>0</v>
      </c>
      <c r="H1501" s="3"/>
    </row>
    <row r="1502" customFormat="false" ht="15" hidden="false" customHeight="true" outlineLevel="0" collapsed="false">
      <c r="A1502" s="16"/>
      <c r="B1502" s="16"/>
      <c r="C1502" s="15"/>
      <c r="D1502" s="19"/>
      <c r="E1502" s="20" t="b">
        <f aca="false">AND(A1502&lt;&gt;"",C1502&lt;&gt;"",D1502&lt;&gt;"",C1502&gt;='Read Me'!$B$5)</f>
        <v>0</v>
      </c>
      <c r="F1502" s="23" t="str">
        <f aca="false">IF(E1502,D1502,"")</f>
        <v/>
      </c>
      <c r="G1502" s="21" t="n">
        <f aca="false">IF(E1502,D1502^2,0)</f>
        <v>0</v>
      </c>
      <c r="H1502" s="3"/>
    </row>
    <row r="1503" customFormat="false" ht="15" hidden="false" customHeight="true" outlineLevel="0" collapsed="false">
      <c r="A1503" s="16"/>
      <c r="B1503" s="16"/>
      <c r="C1503" s="15"/>
      <c r="D1503" s="19"/>
      <c r="E1503" s="20" t="b">
        <f aca="false">AND(A1503&lt;&gt;"",C1503&lt;&gt;"",D1503&lt;&gt;"",C1503&gt;='Read Me'!$B$5)</f>
        <v>0</v>
      </c>
      <c r="F1503" s="23" t="str">
        <f aca="false">IF(E1503,D1503,"")</f>
        <v/>
      </c>
      <c r="G1503" s="21" t="n">
        <f aca="false">IF(E1503,D1503^2,0)</f>
        <v>0</v>
      </c>
      <c r="H1503" s="3"/>
    </row>
    <row r="1504" customFormat="false" ht="15" hidden="false" customHeight="true" outlineLevel="0" collapsed="false">
      <c r="A1504" s="16"/>
      <c r="B1504" s="16"/>
      <c r="C1504" s="15"/>
      <c r="D1504" s="19"/>
      <c r="E1504" s="20" t="b">
        <f aca="false">AND(A1504&lt;&gt;"",C1504&lt;&gt;"",D1504&lt;&gt;"",C1504&gt;='Read Me'!$B$5)</f>
        <v>0</v>
      </c>
      <c r="F1504" s="23" t="str">
        <f aca="false">IF(E1504,D1504,"")</f>
        <v/>
      </c>
      <c r="G1504" s="21" t="n">
        <f aca="false">IF(E1504,D1504^2,0)</f>
        <v>0</v>
      </c>
      <c r="H1504" s="3"/>
    </row>
    <row r="1505" customFormat="false" ht="15" hidden="false" customHeight="true" outlineLevel="0" collapsed="false">
      <c r="A1505" s="16"/>
      <c r="B1505" s="16"/>
      <c r="C1505" s="15"/>
      <c r="D1505" s="19"/>
      <c r="E1505" s="20" t="b">
        <f aca="false">AND(A1505&lt;&gt;"",C1505&lt;&gt;"",D1505&lt;&gt;"",C1505&gt;='Read Me'!$B$5)</f>
        <v>0</v>
      </c>
      <c r="F1505" s="23" t="str">
        <f aca="false">IF(E1505,D1505,"")</f>
        <v/>
      </c>
      <c r="G1505" s="21" t="n">
        <f aca="false">IF(E1505,D1505^2,0)</f>
        <v>0</v>
      </c>
      <c r="H1505" s="3"/>
    </row>
    <row r="1506" customFormat="false" ht="15" hidden="false" customHeight="true" outlineLevel="0" collapsed="false">
      <c r="A1506" s="16"/>
      <c r="B1506" s="16"/>
      <c r="C1506" s="15"/>
      <c r="D1506" s="19"/>
      <c r="E1506" s="20" t="b">
        <f aca="false">AND(A1506&lt;&gt;"",C1506&lt;&gt;"",D1506&lt;&gt;"",C1506&gt;='Read Me'!$B$5)</f>
        <v>0</v>
      </c>
      <c r="F1506" s="23" t="str">
        <f aca="false">IF(E1506,D1506,"")</f>
        <v/>
      </c>
      <c r="G1506" s="21" t="n">
        <f aca="false">IF(E1506,D1506^2,0)</f>
        <v>0</v>
      </c>
      <c r="H1506" s="3"/>
    </row>
    <row r="1507" customFormat="false" ht="15" hidden="false" customHeight="true" outlineLevel="0" collapsed="false">
      <c r="A1507" s="16"/>
      <c r="B1507" s="16"/>
      <c r="C1507" s="15"/>
      <c r="D1507" s="19"/>
      <c r="E1507" s="20" t="b">
        <f aca="false">AND(A1507&lt;&gt;"",C1507&lt;&gt;"",D1507&lt;&gt;"",C1507&gt;='Read Me'!$B$5)</f>
        <v>0</v>
      </c>
      <c r="F1507" s="23" t="str">
        <f aca="false">IF(E1507,D1507,"")</f>
        <v/>
      </c>
      <c r="G1507" s="21" t="n">
        <f aca="false">IF(E1507,D1507^2,0)</f>
        <v>0</v>
      </c>
      <c r="H1507" s="3"/>
    </row>
    <row r="1508" customFormat="false" ht="15" hidden="false" customHeight="true" outlineLevel="0" collapsed="false">
      <c r="A1508" s="16"/>
      <c r="B1508" s="16"/>
      <c r="C1508" s="15"/>
      <c r="D1508" s="19"/>
      <c r="E1508" s="20" t="b">
        <f aca="false">AND(A1508&lt;&gt;"",C1508&lt;&gt;"",D1508&lt;&gt;"",C1508&gt;='Read Me'!$B$5)</f>
        <v>0</v>
      </c>
      <c r="F1508" s="23" t="str">
        <f aca="false">IF(E1508,D1508,"")</f>
        <v/>
      </c>
      <c r="G1508" s="21" t="n">
        <f aca="false">IF(E1508,D1508^2,0)</f>
        <v>0</v>
      </c>
      <c r="H1508" s="3"/>
    </row>
    <row r="1509" customFormat="false" ht="15" hidden="false" customHeight="true" outlineLevel="0" collapsed="false">
      <c r="A1509" s="16"/>
      <c r="B1509" s="16"/>
      <c r="C1509" s="15"/>
      <c r="D1509" s="19"/>
      <c r="E1509" s="20" t="b">
        <f aca="false">AND(A1509&lt;&gt;"",C1509&lt;&gt;"",D1509&lt;&gt;"",C1509&gt;='Read Me'!$B$5)</f>
        <v>0</v>
      </c>
      <c r="F1509" s="23" t="str">
        <f aca="false">IF(E1509,D1509,"")</f>
        <v/>
      </c>
      <c r="G1509" s="21" t="n">
        <f aca="false">IF(E1509,D1509^2,0)</f>
        <v>0</v>
      </c>
      <c r="H1509" s="3"/>
    </row>
    <row r="1510" customFormat="false" ht="15" hidden="false" customHeight="true" outlineLevel="0" collapsed="false">
      <c r="A1510" s="16"/>
      <c r="B1510" s="16"/>
      <c r="C1510" s="15"/>
      <c r="D1510" s="19"/>
      <c r="E1510" s="20" t="b">
        <f aca="false">AND(A1510&lt;&gt;"",C1510&lt;&gt;"",D1510&lt;&gt;"",C1510&gt;='Read Me'!$B$5)</f>
        <v>0</v>
      </c>
      <c r="F1510" s="23" t="str">
        <f aca="false">IF(E1510,D1510,"")</f>
        <v/>
      </c>
      <c r="G1510" s="21" t="n">
        <f aca="false">IF(E1510,D1510^2,0)</f>
        <v>0</v>
      </c>
      <c r="H1510" s="3"/>
    </row>
    <row r="1511" customFormat="false" ht="15" hidden="false" customHeight="true" outlineLevel="0" collapsed="false">
      <c r="A1511" s="16"/>
      <c r="B1511" s="16"/>
      <c r="C1511" s="15"/>
      <c r="D1511" s="19"/>
      <c r="E1511" s="20" t="b">
        <f aca="false">AND(A1511&lt;&gt;"",C1511&lt;&gt;"",D1511&lt;&gt;"",C1511&gt;='Read Me'!$B$5)</f>
        <v>0</v>
      </c>
      <c r="F1511" s="23" t="str">
        <f aca="false">IF(E1511,D1511,"")</f>
        <v/>
      </c>
      <c r="G1511" s="21" t="n">
        <f aca="false">IF(E1511,D1511^2,0)</f>
        <v>0</v>
      </c>
      <c r="H1511" s="3"/>
    </row>
    <row r="1512" customFormat="false" ht="15" hidden="false" customHeight="true" outlineLevel="0" collapsed="false">
      <c r="A1512" s="16"/>
      <c r="B1512" s="16"/>
      <c r="C1512" s="15"/>
      <c r="D1512" s="19"/>
      <c r="E1512" s="20" t="b">
        <f aca="false">AND(A1512&lt;&gt;"",C1512&lt;&gt;"",D1512&lt;&gt;"",C1512&gt;='Read Me'!$B$5)</f>
        <v>0</v>
      </c>
      <c r="F1512" s="23" t="str">
        <f aca="false">IF(E1512,D1512,"")</f>
        <v/>
      </c>
      <c r="G1512" s="21" t="n">
        <f aca="false">IF(E1512,D1512^2,0)</f>
        <v>0</v>
      </c>
      <c r="H1512" s="3"/>
    </row>
    <row r="1513" customFormat="false" ht="15" hidden="false" customHeight="true" outlineLevel="0" collapsed="false">
      <c r="A1513" s="16"/>
      <c r="B1513" s="16"/>
      <c r="C1513" s="15"/>
      <c r="D1513" s="19"/>
      <c r="E1513" s="20" t="b">
        <f aca="false">AND(A1513&lt;&gt;"",C1513&lt;&gt;"",D1513&lt;&gt;"",C1513&gt;='Read Me'!$B$5)</f>
        <v>0</v>
      </c>
      <c r="F1513" s="23" t="str">
        <f aca="false">IF(E1513,D1513,"")</f>
        <v/>
      </c>
      <c r="G1513" s="21" t="n">
        <f aca="false">IF(E1513,D1513^2,0)</f>
        <v>0</v>
      </c>
      <c r="H1513" s="3"/>
    </row>
    <row r="1514" customFormat="false" ht="15" hidden="false" customHeight="true" outlineLevel="0" collapsed="false">
      <c r="A1514" s="16"/>
      <c r="B1514" s="16"/>
      <c r="C1514" s="15"/>
      <c r="D1514" s="19"/>
      <c r="E1514" s="20" t="b">
        <f aca="false">AND(A1514&lt;&gt;"",C1514&lt;&gt;"",D1514&lt;&gt;"",C1514&gt;='Read Me'!$B$5)</f>
        <v>0</v>
      </c>
      <c r="F1514" s="23" t="str">
        <f aca="false">IF(E1514,D1514,"")</f>
        <v/>
      </c>
      <c r="G1514" s="21" t="n">
        <f aca="false">IF(E1514,D1514^2,0)</f>
        <v>0</v>
      </c>
      <c r="H1514" s="3"/>
    </row>
    <row r="1515" customFormat="false" ht="15" hidden="false" customHeight="true" outlineLevel="0" collapsed="false">
      <c r="A1515" s="16"/>
      <c r="B1515" s="16"/>
      <c r="C1515" s="15"/>
      <c r="D1515" s="19"/>
      <c r="E1515" s="20" t="b">
        <f aca="false">AND(A1515&lt;&gt;"",C1515&lt;&gt;"",D1515&lt;&gt;"",C1515&gt;='Read Me'!$B$5)</f>
        <v>0</v>
      </c>
      <c r="F1515" s="23" t="str">
        <f aca="false">IF(E1515,D1515,"")</f>
        <v/>
      </c>
      <c r="G1515" s="21" t="n">
        <f aca="false">IF(E1515,D1515^2,0)</f>
        <v>0</v>
      </c>
      <c r="H1515" s="3"/>
    </row>
    <row r="1516" customFormat="false" ht="15" hidden="false" customHeight="true" outlineLevel="0" collapsed="false">
      <c r="A1516" s="16"/>
      <c r="B1516" s="16"/>
      <c r="C1516" s="15"/>
      <c r="D1516" s="19"/>
      <c r="E1516" s="20" t="b">
        <f aca="false">AND(A1516&lt;&gt;"",C1516&lt;&gt;"",D1516&lt;&gt;"",C1516&gt;='Read Me'!$B$5)</f>
        <v>0</v>
      </c>
      <c r="F1516" s="23" t="str">
        <f aca="false">IF(E1516,D1516,"")</f>
        <v/>
      </c>
      <c r="G1516" s="21" t="n">
        <f aca="false">IF(E1516,D1516^2,0)</f>
        <v>0</v>
      </c>
      <c r="H1516" s="3"/>
    </row>
    <row r="1517" customFormat="false" ht="15" hidden="false" customHeight="true" outlineLevel="0" collapsed="false">
      <c r="A1517" s="16"/>
      <c r="B1517" s="16"/>
      <c r="C1517" s="15"/>
      <c r="D1517" s="19"/>
      <c r="E1517" s="20" t="b">
        <f aca="false">AND(A1517&lt;&gt;"",C1517&lt;&gt;"",D1517&lt;&gt;"",C1517&gt;='Read Me'!$B$5)</f>
        <v>0</v>
      </c>
      <c r="F1517" s="23" t="str">
        <f aca="false">IF(E1517,D1517,"")</f>
        <v/>
      </c>
      <c r="G1517" s="21" t="n">
        <f aca="false">IF(E1517,D1517^2,0)</f>
        <v>0</v>
      </c>
      <c r="H1517" s="3"/>
    </row>
    <row r="1518" customFormat="false" ht="15" hidden="false" customHeight="true" outlineLevel="0" collapsed="false">
      <c r="A1518" s="16"/>
      <c r="B1518" s="16"/>
      <c r="C1518" s="15"/>
      <c r="D1518" s="19"/>
      <c r="E1518" s="20" t="b">
        <f aca="false">AND(A1518&lt;&gt;"",C1518&lt;&gt;"",D1518&lt;&gt;"",C1518&gt;='Read Me'!$B$5)</f>
        <v>0</v>
      </c>
      <c r="F1518" s="23" t="str">
        <f aca="false">IF(E1518,D1518,"")</f>
        <v/>
      </c>
      <c r="G1518" s="21" t="n">
        <f aca="false">IF(E1518,D1518^2,0)</f>
        <v>0</v>
      </c>
      <c r="H1518" s="3"/>
    </row>
    <row r="1519" customFormat="false" ht="15" hidden="false" customHeight="true" outlineLevel="0" collapsed="false">
      <c r="A1519" s="16"/>
      <c r="B1519" s="16"/>
      <c r="C1519" s="15"/>
      <c r="D1519" s="19"/>
      <c r="E1519" s="20" t="b">
        <f aca="false">AND(A1519&lt;&gt;"",C1519&lt;&gt;"",D1519&lt;&gt;"",C1519&gt;='Read Me'!$B$5)</f>
        <v>0</v>
      </c>
      <c r="F1519" s="23" t="str">
        <f aca="false">IF(E1519,D1519,"")</f>
        <v/>
      </c>
      <c r="G1519" s="21" t="n">
        <f aca="false">IF(E1519,D1519^2,0)</f>
        <v>0</v>
      </c>
      <c r="H1519" s="3"/>
    </row>
    <row r="1520" customFormat="false" ht="15" hidden="false" customHeight="true" outlineLevel="0" collapsed="false">
      <c r="A1520" s="16"/>
      <c r="B1520" s="16"/>
      <c r="C1520" s="15"/>
      <c r="D1520" s="19"/>
      <c r="E1520" s="20" t="b">
        <f aca="false">AND(A1520&lt;&gt;"",C1520&lt;&gt;"",D1520&lt;&gt;"",C1520&gt;='Read Me'!$B$5)</f>
        <v>0</v>
      </c>
      <c r="F1520" s="23" t="str">
        <f aca="false">IF(E1520,D1520,"")</f>
        <v/>
      </c>
      <c r="G1520" s="21" t="n">
        <f aca="false">IF(E1520,D1520^2,0)</f>
        <v>0</v>
      </c>
      <c r="H1520" s="3"/>
    </row>
    <row r="1521" customFormat="false" ht="15" hidden="false" customHeight="true" outlineLevel="0" collapsed="false">
      <c r="A1521" s="16"/>
      <c r="B1521" s="16"/>
      <c r="C1521" s="15"/>
      <c r="D1521" s="19"/>
      <c r="E1521" s="20" t="b">
        <f aca="false">AND(A1521&lt;&gt;"",C1521&lt;&gt;"",D1521&lt;&gt;"",C1521&gt;='Read Me'!$B$5)</f>
        <v>0</v>
      </c>
      <c r="F1521" s="23" t="str">
        <f aca="false">IF(E1521,D1521,"")</f>
        <v/>
      </c>
      <c r="G1521" s="21" t="n">
        <f aca="false">IF(E1521,D1521^2,0)</f>
        <v>0</v>
      </c>
      <c r="H1521" s="3"/>
    </row>
    <row r="1522" customFormat="false" ht="15" hidden="false" customHeight="true" outlineLevel="0" collapsed="false">
      <c r="A1522" s="16"/>
      <c r="B1522" s="16"/>
      <c r="C1522" s="15"/>
      <c r="D1522" s="19"/>
      <c r="E1522" s="20" t="b">
        <f aca="false">AND(A1522&lt;&gt;"",C1522&lt;&gt;"",D1522&lt;&gt;"",C1522&gt;='Read Me'!$B$5)</f>
        <v>0</v>
      </c>
      <c r="F1522" s="23" t="str">
        <f aca="false">IF(E1522,D1522,"")</f>
        <v/>
      </c>
      <c r="G1522" s="21" t="n">
        <f aca="false">IF(E1522,D1522^2,0)</f>
        <v>0</v>
      </c>
      <c r="H1522" s="3"/>
    </row>
    <row r="1523" customFormat="false" ht="15" hidden="false" customHeight="true" outlineLevel="0" collapsed="false">
      <c r="A1523" s="16"/>
      <c r="B1523" s="16"/>
      <c r="C1523" s="15"/>
      <c r="D1523" s="19"/>
      <c r="E1523" s="20" t="b">
        <f aca="false">AND(A1523&lt;&gt;"",C1523&lt;&gt;"",D1523&lt;&gt;"",C1523&gt;='Read Me'!$B$5)</f>
        <v>0</v>
      </c>
      <c r="F1523" s="23" t="str">
        <f aca="false">IF(E1523,D1523,"")</f>
        <v/>
      </c>
      <c r="G1523" s="21" t="n">
        <f aca="false">IF(E1523,D1523^2,0)</f>
        <v>0</v>
      </c>
      <c r="H1523" s="3"/>
    </row>
    <row r="1524" customFormat="false" ht="15" hidden="false" customHeight="true" outlineLevel="0" collapsed="false">
      <c r="A1524" s="16"/>
      <c r="B1524" s="16"/>
      <c r="C1524" s="15"/>
      <c r="D1524" s="19"/>
      <c r="E1524" s="20" t="b">
        <f aca="false">AND(A1524&lt;&gt;"",C1524&lt;&gt;"",D1524&lt;&gt;"",C1524&gt;='Read Me'!$B$5)</f>
        <v>0</v>
      </c>
      <c r="F1524" s="23" t="str">
        <f aca="false">IF(E1524,D1524,"")</f>
        <v/>
      </c>
      <c r="G1524" s="21" t="n">
        <f aca="false">IF(E1524,D1524^2,0)</f>
        <v>0</v>
      </c>
      <c r="H1524" s="3"/>
    </row>
    <row r="1525" customFormat="false" ht="15" hidden="false" customHeight="true" outlineLevel="0" collapsed="false">
      <c r="A1525" s="16"/>
      <c r="B1525" s="16"/>
      <c r="C1525" s="15"/>
      <c r="D1525" s="19"/>
      <c r="E1525" s="20" t="b">
        <f aca="false">AND(A1525&lt;&gt;"",C1525&lt;&gt;"",D1525&lt;&gt;"",C1525&gt;='Read Me'!$B$5)</f>
        <v>0</v>
      </c>
      <c r="F1525" s="23" t="str">
        <f aca="false">IF(E1525,D1525,"")</f>
        <v/>
      </c>
      <c r="G1525" s="21" t="n">
        <f aca="false">IF(E1525,D1525^2,0)</f>
        <v>0</v>
      </c>
      <c r="H1525" s="3"/>
    </row>
    <row r="1526" customFormat="false" ht="15" hidden="false" customHeight="true" outlineLevel="0" collapsed="false">
      <c r="A1526" s="16"/>
      <c r="B1526" s="16"/>
      <c r="C1526" s="15"/>
      <c r="D1526" s="19"/>
      <c r="E1526" s="20" t="b">
        <f aca="false">AND(A1526&lt;&gt;"",C1526&lt;&gt;"",D1526&lt;&gt;"",C1526&gt;='Read Me'!$B$5)</f>
        <v>0</v>
      </c>
      <c r="F1526" s="23" t="str">
        <f aca="false">IF(E1526,D1526,"")</f>
        <v/>
      </c>
      <c r="G1526" s="21" t="n">
        <f aca="false">IF(E1526,D1526^2,0)</f>
        <v>0</v>
      </c>
      <c r="H1526" s="3"/>
    </row>
    <row r="1527" customFormat="false" ht="15" hidden="false" customHeight="true" outlineLevel="0" collapsed="false">
      <c r="A1527" s="16"/>
      <c r="B1527" s="16"/>
      <c r="C1527" s="15"/>
      <c r="D1527" s="19"/>
      <c r="E1527" s="20" t="b">
        <f aca="false">AND(A1527&lt;&gt;"",C1527&lt;&gt;"",D1527&lt;&gt;"",C1527&gt;='Read Me'!$B$5)</f>
        <v>0</v>
      </c>
      <c r="F1527" s="23" t="str">
        <f aca="false">IF(E1527,D1527,"")</f>
        <v/>
      </c>
      <c r="G1527" s="21" t="n">
        <f aca="false">IF(E1527,D1527^2,0)</f>
        <v>0</v>
      </c>
      <c r="H1527" s="3"/>
    </row>
    <row r="1528" customFormat="false" ht="15" hidden="false" customHeight="true" outlineLevel="0" collapsed="false">
      <c r="A1528" s="16"/>
      <c r="B1528" s="16"/>
      <c r="C1528" s="15"/>
      <c r="D1528" s="19"/>
      <c r="E1528" s="20" t="b">
        <f aca="false">AND(A1528&lt;&gt;"",C1528&lt;&gt;"",D1528&lt;&gt;"",C1528&gt;='Read Me'!$B$5)</f>
        <v>0</v>
      </c>
      <c r="F1528" s="23" t="str">
        <f aca="false">IF(E1528,D1528,"")</f>
        <v/>
      </c>
      <c r="G1528" s="21" t="n">
        <f aca="false">IF(E1528,D1528^2,0)</f>
        <v>0</v>
      </c>
      <c r="H1528" s="3"/>
    </row>
    <row r="1529" customFormat="false" ht="15" hidden="false" customHeight="true" outlineLevel="0" collapsed="false">
      <c r="A1529" s="16"/>
      <c r="B1529" s="16"/>
      <c r="C1529" s="15"/>
      <c r="D1529" s="19"/>
      <c r="E1529" s="20" t="b">
        <f aca="false">AND(A1529&lt;&gt;"",C1529&lt;&gt;"",D1529&lt;&gt;"",C1529&gt;='Read Me'!$B$5)</f>
        <v>0</v>
      </c>
      <c r="F1529" s="23" t="str">
        <f aca="false">IF(E1529,D1529,"")</f>
        <v/>
      </c>
      <c r="G1529" s="21" t="n">
        <f aca="false">IF(E1529,D1529^2,0)</f>
        <v>0</v>
      </c>
      <c r="H1529" s="3"/>
    </row>
    <row r="1530" customFormat="false" ht="15" hidden="false" customHeight="true" outlineLevel="0" collapsed="false">
      <c r="A1530" s="16"/>
      <c r="B1530" s="16"/>
      <c r="C1530" s="15"/>
      <c r="D1530" s="19"/>
      <c r="E1530" s="20" t="b">
        <f aca="false">AND(A1530&lt;&gt;"",C1530&lt;&gt;"",D1530&lt;&gt;"",C1530&gt;='Read Me'!$B$5)</f>
        <v>0</v>
      </c>
      <c r="F1530" s="23" t="str">
        <f aca="false">IF(E1530,D1530,"")</f>
        <v/>
      </c>
      <c r="G1530" s="21" t="n">
        <f aca="false">IF(E1530,D1530^2,0)</f>
        <v>0</v>
      </c>
      <c r="H1530" s="3"/>
    </row>
    <row r="1531" customFormat="false" ht="15" hidden="false" customHeight="true" outlineLevel="0" collapsed="false">
      <c r="A1531" s="16"/>
      <c r="B1531" s="16"/>
      <c r="C1531" s="15"/>
      <c r="D1531" s="19"/>
      <c r="E1531" s="20" t="b">
        <f aca="false">AND(A1531&lt;&gt;"",C1531&lt;&gt;"",D1531&lt;&gt;"",C1531&gt;='Read Me'!$B$5)</f>
        <v>0</v>
      </c>
      <c r="F1531" s="23" t="str">
        <f aca="false">IF(E1531,D1531,"")</f>
        <v/>
      </c>
      <c r="G1531" s="21" t="n">
        <f aca="false">IF(E1531,D1531^2,0)</f>
        <v>0</v>
      </c>
      <c r="H1531" s="3"/>
    </row>
    <row r="1532" customFormat="false" ht="15" hidden="false" customHeight="true" outlineLevel="0" collapsed="false">
      <c r="A1532" s="16"/>
      <c r="B1532" s="16"/>
      <c r="C1532" s="15"/>
      <c r="D1532" s="19"/>
      <c r="E1532" s="20" t="b">
        <f aca="false">AND(A1532&lt;&gt;"",C1532&lt;&gt;"",D1532&lt;&gt;"",C1532&gt;='Read Me'!$B$5)</f>
        <v>0</v>
      </c>
      <c r="F1532" s="23" t="str">
        <f aca="false">IF(E1532,D1532,"")</f>
        <v/>
      </c>
      <c r="G1532" s="21" t="n">
        <f aca="false">IF(E1532,D1532^2,0)</f>
        <v>0</v>
      </c>
      <c r="H1532" s="3"/>
    </row>
    <row r="1533" customFormat="false" ht="15" hidden="false" customHeight="true" outlineLevel="0" collapsed="false">
      <c r="A1533" s="16"/>
      <c r="B1533" s="16"/>
      <c r="C1533" s="15"/>
      <c r="D1533" s="19"/>
      <c r="E1533" s="20" t="b">
        <f aca="false">AND(A1533&lt;&gt;"",C1533&lt;&gt;"",D1533&lt;&gt;"",C1533&gt;='Read Me'!$B$5)</f>
        <v>0</v>
      </c>
      <c r="F1533" s="23" t="str">
        <f aca="false">IF(E1533,D1533,"")</f>
        <v/>
      </c>
      <c r="G1533" s="21" t="n">
        <f aca="false">IF(E1533,D1533^2,0)</f>
        <v>0</v>
      </c>
      <c r="H1533" s="3"/>
    </row>
    <row r="1534" customFormat="false" ht="15" hidden="false" customHeight="true" outlineLevel="0" collapsed="false">
      <c r="A1534" s="16"/>
      <c r="B1534" s="16"/>
      <c r="C1534" s="15"/>
      <c r="D1534" s="19"/>
      <c r="E1534" s="20" t="b">
        <f aca="false">AND(A1534&lt;&gt;"",C1534&lt;&gt;"",D1534&lt;&gt;"",C1534&gt;='Read Me'!$B$5)</f>
        <v>0</v>
      </c>
      <c r="F1534" s="23" t="str">
        <f aca="false">IF(E1534,D1534,"")</f>
        <v/>
      </c>
      <c r="G1534" s="21" t="n">
        <f aca="false">IF(E1534,D1534^2,0)</f>
        <v>0</v>
      </c>
      <c r="H1534" s="3"/>
    </row>
    <row r="1535" customFormat="false" ht="15" hidden="false" customHeight="true" outlineLevel="0" collapsed="false">
      <c r="A1535" s="16"/>
      <c r="B1535" s="16"/>
      <c r="C1535" s="15"/>
      <c r="D1535" s="19"/>
      <c r="E1535" s="20" t="b">
        <f aca="false">AND(A1535&lt;&gt;"",C1535&lt;&gt;"",D1535&lt;&gt;"",C1535&gt;='Read Me'!$B$5)</f>
        <v>0</v>
      </c>
      <c r="F1535" s="23" t="str">
        <f aca="false">IF(E1535,D1535,"")</f>
        <v/>
      </c>
      <c r="G1535" s="21" t="n">
        <f aca="false">IF(E1535,D1535^2,0)</f>
        <v>0</v>
      </c>
      <c r="H1535" s="3"/>
    </row>
    <row r="1536" customFormat="false" ht="15" hidden="false" customHeight="true" outlineLevel="0" collapsed="false">
      <c r="A1536" s="16"/>
      <c r="B1536" s="16"/>
      <c r="C1536" s="15"/>
      <c r="D1536" s="19"/>
      <c r="E1536" s="20" t="b">
        <f aca="false">AND(A1536&lt;&gt;"",C1536&lt;&gt;"",D1536&lt;&gt;"",C1536&gt;='Read Me'!$B$5)</f>
        <v>0</v>
      </c>
      <c r="F1536" s="23" t="str">
        <f aca="false">IF(E1536,D1536,"")</f>
        <v/>
      </c>
      <c r="G1536" s="21" t="n">
        <f aca="false">IF(E1536,D1536^2,0)</f>
        <v>0</v>
      </c>
      <c r="H1536" s="3"/>
    </row>
    <row r="1537" customFormat="false" ht="15" hidden="false" customHeight="true" outlineLevel="0" collapsed="false">
      <c r="A1537" s="16"/>
      <c r="B1537" s="16"/>
      <c r="C1537" s="15"/>
      <c r="D1537" s="19"/>
      <c r="E1537" s="20" t="b">
        <f aca="false">AND(A1537&lt;&gt;"",C1537&lt;&gt;"",D1537&lt;&gt;"",C1537&gt;='Read Me'!$B$5)</f>
        <v>0</v>
      </c>
      <c r="F1537" s="23" t="str">
        <f aca="false">IF(E1537,D1537,"")</f>
        <v/>
      </c>
      <c r="G1537" s="21" t="n">
        <f aca="false">IF(E1537,D1537^2,0)</f>
        <v>0</v>
      </c>
      <c r="H1537" s="3"/>
    </row>
    <row r="1538" customFormat="false" ht="15" hidden="false" customHeight="true" outlineLevel="0" collapsed="false">
      <c r="A1538" s="16"/>
      <c r="B1538" s="16"/>
      <c r="C1538" s="15"/>
      <c r="D1538" s="19"/>
      <c r="E1538" s="20" t="b">
        <f aca="false">AND(A1538&lt;&gt;"",C1538&lt;&gt;"",D1538&lt;&gt;"",C1538&gt;='Read Me'!$B$5)</f>
        <v>0</v>
      </c>
      <c r="F1538" s="23" t="str">
        <f aca="false">IF(E1538,D1538,"")</f>
        <v/>
      </c>
      <c r="G1538" s="21" t="n">
        <f aca="false">IF(E1538,D1538^2,0)</f>
        <v>0</v>
      </c>
      <c r="H1538" s="3"/>
    </row>
    <row r="1539" customFormat="false" ht="15" hidden="false" customHeight="true" outlineLevel="0" collapsed="false">
      <c r="A1539" s="16"/>
      <c r="B1539" s="16"/>
      <c r="C1539" s="15"/>
      <c r="D1539" s="19"/>
      <c r="E1539" s="20" t="b">
        <f aca="false">AND(A1539&lt;&gt;"",C1539&lt;&gt;"",D1539&lt;&gt;"",C1539&gt;='Read Me'!$B$5)</f>
        <v>0</v>
      </c>
      <c r="F1539" s="23" t="str">
        <f aca="false">IF(E1539,D1539,"")</f>
        <v/>
      </c>
      <c r="G1539" s="21" t="n">
        <f aca="false">IF(E1539,D1539^2,0)</f>
        <v>0</v>
      </c>
      <c r="H1539" s="3"/>
    </row>
    <row r="1540" customFormat="false" ht="15" hidden="false" customHeight="true" outlineLevel="0" collapsed="false">
      <c r="A1540" s="16"/>
      <c r="B1540" s="16"/>
      <c r="C1540" s="15"/>
      <c r="D1540" s="19"/>
      <c r="E1540" s="20" t="b">
        <f aca="false">AND(A1540&lt;&gt;"",C1540&lt;&gt;"",D1540&lt;&gt;"",C1540&gt;='Read Me'!$B$5)</f>
        <v>0</v>
      </c>
      <c r="F1540" s="23" t="str">
        <f aca="false">IF(E1540,D1540,"")</f>
        <v/>
      </c>
      <c r="G1540" s="21" t="n">
        <f aca="false">IF(E1540,D1540^2,0)</f>
        <v>0</v>
      </c>
      <c r="H1540" s="3"/>
    </row>
    <row r="1541" customFormat="false" ht="15" hidden="false" customHeight="true" outlineLevel="0" collapsed="false">
      <c r="A1541" s="16"/>
      <c r="B1541" s="16"/>
      <c r="C1541" s="15"/>
      <c r="D1541" s="19"/>
      <c r="E1541" s="20" t="b">
        <f aca="false">AND(A1541&lt;&gt;"",C1541&lt;&gt;"",D1541&lt;&gt;"",C1541&gt;='Read Me'!$B$5)</f>
        <v>0</v>
      </c>
      <c r="F1541" s="23" t="str">
        <f aca="false">IF(E1541,D1541,"")</f>
        <v/>
      </c>
      <c r="G1541" s="21" t="n">
        <f aca="false">IF(E1541,D1541^2,0)</f>
        <v>0</v>
      </c>
      <c r="H1541" s="3"/>
    </row>
    <row r="1542" customFormat="false" ht="15" hidden="false" customHeight="true" outlineLevel="0" collapsed="false">
      <c r="A1542" s="16"/>
      <c r="B1542" s="16"/>
      <c r="C1542" s="15"/>
      <c r="D1542" s="19"/>
      <c r="E1542" s="20" t="b">
        <f aca="false">AND(A1542&lt;&gt;"",C1542&lt;&gt;"",D1542&lt;&gt;"",C1542&gt;='Read Me'!$B$5)</f>
        <v>0</v>
      </c>
      <c r="F1542" s="23" t="str">
        <f aca="false">IF(E1542,D1542,"")</f>
        <v/>
      </c>
      <c r="G1542" s="21" t="n">
        <f aca="false">IF(E1542,D1542^2,0)</f>
        <v>0</v>
      </c>
      <c r="H1542" s="3"/>
    </row>
    <row r="1543" customFormat="false" ht="15" hidden="false" customHeight="true" outlineLevel="0" collapsed="false">
      <c r="A1543" s="16"/>
      <c r="B1543" s="16"/>
      <c r="C1543" s="15"/>
      <c r="D1543" s="19"/>
      <c r="E1543" s="20" t="b">
        <f aca="false">AND(A1543&lt;&gt;"",C1543&lt;&gt;"",D1543&lt;&gt;"",C1543&gt;='Read Me'!$B$5)</f>
        <v>0</v>
      </c>
      <c r="F1543" s="23" t="str">
        <f aca="false">IF(E1543,D1543,"")</f>
        <v/>
      </c>
      <c r="G1543" s="21" t="n">
        <f aca="false">IF(E1543,D1543^2,0)</f>
        <v>0</v>
      </c>
      <c r="H1543" s="3"/>
    </row>
    <row r="1544" customFormat="false" ht="15" hidden="false" customHeight="true" outlineLevel="0" collapsed="false">
      <c r="A1544" s="16"/>
      <c r="B1544" s="16"/>
      <c r="C1544" s="15"/>
      <c r="D1544" s="19"/>
      <c r="E1544" s="20" t="b">
        <f aca="false">AND(A1544&lt;&gt;"",C1544&lt;&gt;"",D1544&lt;&gt;"",C1544&gt;='Read Me'!$B$5)</f>
        <v>0</v>
      </c>
      <c r="F1544" s="23" t="str">
        <f aca="false">IF(E1544,D1544,"")</f>
        <v/>
      </c>
      <c r="G1544" s="21" t="n">
        <f aca="false">IF(E1544,D1544^2,0)</f>
        <v>0</v>
      </c>
      <c r="H1544" s="3"/>
    </row>
    <row r="1545" customFormat="false" ht="15" hidden="false" customHeight="true" outlineLevel="0" collapsed="false">
      <c r="A1545" s="16"/>
      <c r="B1545" s="16"/>
      <c r="C1545" s="15"/>
      <c r="D1545" s="19"/>
      <c r="E1545" s="20" t="b">
        <f aca="false">AND(A1545&lt;&gt;"",C1545&lt;&gt;"",D1545&lt;&gt;"",C1545&gt;='Read Me'!$B$5)</f>
        <v>0</v>
      </c>
      <c r="F1545" s="23" t="str">
        <f aca="false">IF(E1545,D1545,"")</f>
        <v/>
      </c>
      <c r="G1545" s="21" t="n">
        <f aca="false">IF(E1545,D1545^2,0)</f>
        <v>0</v>
      </c>
      <c r="H1545" s="3"/>
    </row>
    <row r="1546" customFormat="false" ht="15" hidden="false" customHeight="true" outlineLevel="0" collapsed="false">
      <c r="A1546" s="16"/>
      <c r="B1546" s="16"/>
      <c r="C1546" s="15"/>
      <c r="D1546" s="19"/>
      <c r="E1546" s="20" t="b">
        <f aca="false">AND(A1546&lt;&gt;"",C1546&lt;&gt;"",D1546&lt;&gt;"",C1546&gt;='Read Me'!$B$5)</f>
        <v>0</v>
      </c>
      <c r="F1546" s="23" t="str">
        <f aca="false">IF(E1546,D1546,"")</f>
        <v/>
      </c>
      <c r="G1546" s="21" t="n">
        <f aca="false">IF(E1546,D1546^2,0)</f>
        <v>0</v>
      </c>
      <c r="H1546" s="3"/>
    </row>
    <row r="1547" customFormat="false" ht="15" hidden="false" customHeight="true" outlineLevel="0" collapsed="false">
      <c r="A1547" s="16"/>
      <c r="B1547" s="16"/>
      <c r="C1547" s="15"/>
      <c r="D1547" s="19"/>
      <c r="E1547" s="20" t="b">
        <f aca="false">AND(A1547&lt;&gt;"",C1547&lt;&gt;"",D1547&lt;&gt;"",C1547&gt;='Read Me'!$B$5)</f>
        <v>0</v>
      </c>
      <c r="F1547" s="23" t="str">
        <f aca="false">IF(E1547,D1547,"")</f>
        <v/>
      </c>
      <c r="G1547" s="21" t="n">
        <f aca="false">IF(E1547,D1547^2,0)</f>
        <v>0</v>
      </c>
      <c r="H1547" s="3"/>
    </row>
    <row r="1548" customFormat="false" ht="15" hidden="false" customHeight="true" outlineLevel="0" collapsed="false">
      <c r="A1548" s="16"/>
      <c r="B1548" s="16"/>
      <c r="C1548" s="15"/>
      <c r="D1548" s="19"/>
      <c r="E1548" s="20" t="b">
        <f aca="false">AND(A1548&lt;&gt;"",C1548&lt;&gt;"",D1548&lt;&gt;"",C1548&gt;='Read Me'!$B$5)</f>
        <v>0</v>
      </c>
      <c r="F1548" s="23" t="str">
        <f aca="false">IF(E1548,D1548,"")</f>
        <v/>
      </c>
      <c r="G1548" s="21" t="n">
        <f aca="false">IF(E1548,D1548^2,0)</f>
        <v>0</v>
      </c>
      <c r="H1548" s="3"/>
    </row>
    <row r="1549" customFormat="false" ht="15" hidden="false" customHeight="true" outlineLevel="0" collapsed="false">
      <c r="A1549" s="16"/>
      <c r="B1549" s="16"/>
      <c r="C1549" s="15"/>
      <c r="D1549" s="19"/>
      <c r="E1549" s="20" t="b">
        <f aca="false">AND(A1549&lt;&gt;"",C1549&lt;&gt;"",D1549&lt;&gt;"",C1549&gt;='Read Me'!$B$5)</f>
        <v>0</v>
      </c>
      <c r="F1549" s="23" t="str">
        <f aca="false">IF(E1549,D1549,"")</f>
        <v/>
      </c>
      <c r="G1549" s="21" t="n">
        <f aca="false">IF(E1549,D1549^2,0)</f>
        <v>0</v>
      </c>
      <c r="H1549" s="3"/>
    </row>
    <row r="1550" customFormat="false" ht="15" hidden="false" customHeight="true" outlineLevel="0" collapsed="false">
      <c r="A1550" s="16"/>
      <c r="B1550" s="16"/>
      <c r="C1550" s="15"/>
      <c r="D1550" s="19"/>
      <c r="E1550" s="20" t="b">
        <f aca="false">AND(A1550&lt;&gt;"",C1550&lt;&gt;"",D1550&lt;&gt;"",C1550&gt;='Read Me'!$B$5)</f>
        <v>0</v>
      </c>
      <c r="F1550" s="23" t="str">
        <f aca="false">IF(E1550,D1550,"")</f>
        <v/>
      </c>
      <c r="G1550" s="21" t="n">
        <f aca="false">IF(E1550,D1550^2,0)</f>
        <v>0</v>
      </c>
      <c r="H1550" s="3"/>
    </row>
    <row r="1551" customFormat="false" ht="15" hidden="false" customHeight="true" outlineLevel="0" collapsed="false">
      <c r="A1551" s="16"/>
      <c r="B1551" s="16"/>
      <c r="C1551" s="15"/>
      <c r="D1551" s="19"/>
      <c r="E1551" s="20" t="b">
        <f aca="false">AND(A1551&lt;&gt;"",C1551&lt;&gt;"",D1551&lt;&gt;"",C1551&gt;='Read Me'!$B$5)</f>
        <v>0</v>
      </c>
      <c r="F1551" s="23" t="str">
        <f aca="false">IF(E1551,D1551,"")</f>
        <v/>
      </c>
      <c r="G1551" s="21" t="n">
        <f aca="false">IF(E1551,D1551^2,0)</f>
        <v>0</v>
      </c>
      <c r="H1551" s="3"/>
    </row>
    <row r="1552" customFormat="false" ht="15" hidden="false" customHeight="true" outlineLevel="0" collapsed="false">
      <c r="A1552" s="16"/>
      <c r="B1552" s="16"/>
      <c r="C1552" s="15"/>
      <c r="D1552" s="19"/>
      <c r="E1552" s="20" t="b">
        <f aca="false">AND(A1552&lt;&gt;"",C1552&lt;&gt;"",D1552&lt;&gt;"",C1552&gt;='Read Me'!$B$5)</f>
        <v>0</v>
      </c>
      <c r="F1552" s="23" t="str">
        <f aca="false">IF(E1552,D1552,"")</f>
        <v/>
      </c>
      <c r="G1552" s="21" t="n">
        <f aca="false">IF(E1552,D1552^2,0)</f>
        <v>0</v>
      </c>
      <c r="H1552" s="3"/>
    </row>
    <row r="1553" customFormat="false" ht="15" hidden="false" customHeight="true" outlineLevel="0" collapsed="false">
      <c r="A1553" s="16"/>
      <c r="B1553" s="16"/>
      <c r="C1553" s="15"/>
      <c r="D1553" s="19"/>
      <c r="E1553" s="20" t="b">
        <f aca="false">AND(A1553&lt;&gt;"",C1553&lt;&gt;"",D1553&lt;&gt;"",C1553&gt;='Read Me'!$B$5)</f>
        <v>0</v>
      </c>
      <c r="F1553" s="23" t="str">
        <f aca="false">IF(E1553,D1553,"")</f>
        <v/>
      </c>
      <c r="G1553" s="21" t="n">
        <f aca="false">IF(E1553,D1553^2,0)</f>
        <v>0</v>
      </c>
      <c r="H1553" s="3"/>
    </row>
    <row r="1554" customFormat="false" ht="15" hidden="false" customHeight="true" outlineLevel="0" collapsed="false">
      <c r="A1554" s="16"/>
      <c r="B1554" s="16"/>
      <c r="C1554" s="15"/>
      <c r="D1554" s="19"/>
      <c r="E1554" s="20" t="b">
        <f aca="false">AND(A1554&lt;&gt;"",C1554&lt;&gt;"",D1554&lt;&gt;"",C1554&gt;='Read Me'!$B$5)</f>
        <v>0</v>
      </c>
      <c r="F1554" s="23" t="str">
        <f aca="false">IF(E1554,D1554,"")</f>
        <v/>
      </c>
      <c r="G1554" s="21" t="n">
        <f aca="false">IF(E1554,D1554^2,0)</f>
        <v>0</v>
      </c>
      <c r="H1554" s="3"/>
    </row>
    <row r="1555" customFormat="false" ht="15" hidden="false" customHeight="true" outlineLevel="0" collapsed="false">
      <c r="A1555" s="16"/>
      <c r="B1555" s="16"/>
      <c r="C1555" s="15"/>
      <c r="D1555" s="19"/>
      <c r="E1555" s="20" t="b">
        <f aca="false">AND(A1555&lt;&gt;"",C1555&lt;&gt;"",D1555&lt;&gt;"",C1555&gt;='Read Me'!$B$5)</f>
        <v>0</v>
      </c>
      <c r="F1555" s="23" t="str">
        <f aca="false">IF(E1555,D1555,"")</f>
        <v/>
      </c>
      <c r="G1555" s="21" t="n">
        <f aca="false">IF(E1555,D1555^2,0)</f>
        <v>0</v>
      </c>
      <c r="H1555" s="3"/>
    </row>
    <row r="1556" customFormat="false" ht="15" hidden="false" customHeight="true" outlineLevel="0" collapsed="false">
      <c r="A1556" s="16"/>
      <c r="B1556" s="16"/>
      <c r="C1556" s="15"/>
      <c r="D1556" s="19"/>
      <c r="E1556" s="20" t="b">
        <f aca="false">AND(A1556&lt;&gt;"",C1556&lt;&gt;"",D1556&lt;&gt;"",C1556&gt;='Read Me'!$B$5)</f>
        <v>0</v>
      </c>
      <c r="F1556" s="23" t="str">
        <f aca="false">IF(E1556,D1556,"")</f>
        <v/>
      </c>
      <c r="G1556" s="21" t="n">
        <f aca="false">IF(E1556,D1556^2,0)</f>
        <v>0</v>
      </c>
      <c r="H1556" s="3"/>
    </row>
    <row r="1557" customFormat="false" ht="15" hidden="false" customHeight="true" outlineLevel="0" collapsed="false">
      <c r="A1557" s="16"/>
      <c r="B1557" s="16"/>
      <c r="C1557" s="15"/>
      <c r="D1557" s="19"/>
      <c r="E1557" s="20" t="b">
        <f aca="false">AND(A1557&lt;&gt;"",C1557&lt;&gt;"",D1557&lt;&gt;"",C1557&gt;='Read Me'!$B$5)</f>
        <v>0</v>
      </c>
      <c r="F1557" s="23" t="str">
        <f aca="false">IF(E1557,D1557,"")</f>
        <v/>
      </c>
      <c r="G1557" s="21" t="n">
        <f aca="false">IF(E1557,D1557^2,0)</f>
        <v>0</v>
      </c>
      <c r="H1557" s="3"/>
    </row>
    <row r="1558" customFormat="false" ht="15" hidden="false" customHeight="true" outlineLevel="0" collapsed="false">
      <c r="A1558" s="16"/>
      <c r="B1558" s="16"/>
      <c r="C1558" s="15"/>
      <c r="D1558" s="19"/>
      <c r="E1558" s="20" t="b">
        <f aca="false">AND(A1558&lt;&gt;"",C1558&lt;&gt;"",D1558&lt;&gt;"",C1558&gt;='Read Me'!$B$5)</f>
        <v>0</v>
      </c>
      <c r="F1558" s="23" t="str">
        <f aca="false">IF(E1558,D1558,"")</f>
        <v/>
      </c>
      <c r="G1558" s="21" t="n">
        <f aca="false">IF(E1558,D1558^2,0)</f>
        <v>0</v>
      </c>
      <c r="H1558" s="3"/>
    </row>
    <row r="1559" customFormat="false" ht="15" hidden="false" customHeight="true" outlineLevel="0" collapsed="false">
      <c r="A1559" s="16"/>
      <c r="B1559" s="16"/>
      <c r="C1559" s="15"/>
      <c r="D1559" s="19"/>
      <c r="E1559" s="20" t="b">
        <f aca="false">AND(A1559&lt;&gt;"",C1559&lt;&gt;"",D1559&lt;&gt;"",C1559&gt;='Read Me'!$B$5)</f>
        <v>0</v>
      </c>
      <c r="F1559" s="23" t="str">
        <f aca="false">IF(E1559,D1559,"")</f>
        <v/>
      </c>
      <c r="G1559" s="21" t="n">
        <f aca="false">IF(E1559,D1559^2,0)</f>
        <v>0</v>
      </c>
      <c r="H1559" s="3"/>
    </row>
    <row r="1560" customFormat="false" ht="15" hidden="false" customHeight="true" outlineLevel="0" collapsed="false">
      <c r="A1560" s="16"/>
      <c r="B1560" s="16"/>
      <c r="C1560" s="15"/>
      <c r="D1560" s="19"/>
      <c r="E1560" s="20" t="b">
        <f aca="false">AND(A1560&lt;&gt;"",C1560&lt;&gt;"",D1560&lt;&gt;"",C1560&gt;='Read Me'!$B$5)</f>
        <v>0</v>
      </c>
      <c r="F1560" s="23" t="str">
        <f aca="false">IF(E1560,D1560,"")</f>
        <v/>
      </c>
      <c r="G1560" s="21" t="n">
        <f aca="false">IF(E1560,D1560^2,0)</f>
        <v>0</v>
      </c>
      <c r="H1560" s="3"/>
    </row>
    <row r="1561" customFormat="false" ht="15" hidden="false" customHeight="true" outlineLevel="0" collapsed="false">
      <c r="A1561" s="16"/>
      <c r="B1561" s="16"/>
      <c r="C1561" s="15"/>
      <c r="D1561" s="19"/>
      <c r="E1561" s="20" t="b">
        <f aca="false">AND(A1561&lt;&gt;"",C1561&lt;&gt;"",D1561&lt;&gt;"",C1561&gt;='Read Me'!$B$5)</f>
        <v>0</v>
      </c>
      <c r="F1561" s="23" t="str">
        <f aca="false">IF(E1561,D1561,"")</f>
        <v/>
      </c>
      <c r="G1561" s="21" t="n">
        <f aca="false">IF(E1561,D1561^2,0)</f>
        <v>0</v>
      </c>
      <c r="H1561" s="3"/>
    </row>
    <row r="1562" customFormat="false" ht="15" hidden="false" customHeight="true" outlineLevel="0" collapsed="false">
      <c r="A1562" s="16"/>
      <c r="B1562" s="16"/>
      <c r="C1562" s="15"/>
      <c r="D1562" s="19"/>
      <c r="E1562" s="20" t="b">
        <f aca="false">AND(A1562&lt;&gt;"",C1562&lt;&gt;"",D1562&lt;&gt;"",C1562&gt;='Read Me'!$B$5)</f>
        <v>0</v>
      </c>
      <c r="F1562" s="23" t="str">
        <f aca="false">IF(E1562,D1562,"")</f>
        <v/>
      </c>
      <c r="G1562" s="21" t="n">
        <f aca="false">IF(E1562,D1562^2,0)</f>
        <v>0</v>
      </c>
      <c r="H1562" s="3"/>
    </row>
    <row r="1563" customFormat="false" ht="15" hidden="false" customHeight="true" outlineLevel="0" collapsed="false">
      <c r="A1563" s="16"/>
      <c r="B1563" s="16"/>
      <c r="C1563" s="15"/>
      <c r="D1563" s="19"/>
      <c r="E1563" s="20" t="b">
        <f aca="false">AND(A1563&lt;&gt;"",C1563&lt;&gt;"",D1563&lt;&gt;"",C1563&gt;='Read Me'!$B$5)</f>
        <v>0</v>
      </c>
      <c r="F1563" s="23" t="str">
        <f aca="false">IF(E1563,D1563,"")</f>
        <v/>
      </c>
      <c r="G1563" s="21" t="n">
        <f aca="false">IF(E1563,D1563^2,0)</f>
        <v>0</v>
      </c>
      <c r="H1563" s="3"/>
    </row>
    <row r="1564" customFormat="false" ht="15" hidden="false" customHeight="true" outlineLevel="0" collapsed="false">
      <c r="A1564" s="16"/>
      <c r="B1564" s="16"/>
      <c r="C1564" s="15"/>
      <c r="D1564" s="19"/>
      <c r="E1564" s="20" t="b">
        <f aca="false">AND(A1564&lt;&gt;"",C1564&lt;&gt;"",D1564&lt;&gt;"",C1564&gt;='Read Me'!$B$5)</f>
        <v>0</v>
      </c>
      <c r="F1564" s="23" t="str">
        <f aca="false">IF(E1564,D1564,"")</f>
        <v/>
      </c>
      <c r="G1564" s="21" t="n">
        <f aca="false">IF(E1564,D1564^2,0)</f>
        <v>0</v>
      </c>
      <c r="H1564" s="3"/>
    </row>
    <row r="1565" customFormat="false" ht="15" hidden="false" customHeight="true" outlineLevel="0" collapsed="false">
      <c r="A1565" s="16"/>
      <c r="B1565" s="16"/>
      <c r="C1565" s="15"/>
      <c r="D1565" s="19"/>
      <c r="E1565" s="20" t="b">
        <f aca="false">AND(A1565&lt;&gt;"",C1565&lt;&gt;"",D1565&lt;&gt;"",C1565&gt;='Read Me'!$B$5)</f>
        <v>0</v>
      </c>
      <c r="F1565" s="23" t="str">
        <f aca="false">IF(E1565,D1565,"")</f>
        <v/>
      </c>
      <c r="G1565" s="21" t="n">
        <f aca="false">IF(E1565,D1565^2,0)</f>
        <v>0</v>
      </c>
      <c r="H1565" s="3"/>
    </row>
    <row r="1566" customFormat="false" ht="15" hidden="false" customHeight="true" outlineLevel="0" collapsed="false">
      <c r="A1566" s="16"/>
      <c r="B1566" s="16"/>
      <c r="C1566" s="15"/>
      <c r="D1566" s="19"/>
      <c r="E1566" s="20" t="b">
        <f aca="false">AND(A1566&lt;&gt;"",C1566&lt;&gt;"",D1566&lt;&gt;"",C1566&gt;='Read Me'!$B$5)</f>
        <v>0</v>
      </c>
      <c r="F1566" s="23" t="str">
        <f aca="false">IF(E1566,D1566,"")</f>
        <v/>
      </c>
      <c r="G1566" s="21" t="n">
        <f aca="false">IF(E1566,D1566^2,0)</f>
        <v>0</v>
      </c>
      <c r="H1566" s="3"/>
    </row>
    <row r="1567" customFormat="false" ht="15" hidden="false" customHeight="true" outlineLevel="0" collapsed="false">
      <c r="A1567" s="16"/>
      <c r="B1567" s="16"/>
      <c r="C1567" s="15"/>
      <c r="D1567" s="19"/>
      <c r="E1567" s="20" t="b">
        <f aca="false">AND(A1567&lt;&gt;"",C1567&lt;&gt;"",D1567&lt;&gt;"",C1567&gt;='Read Me'!$B$5)</f>
        <v>0</v>
      </c>
      <c r="F1567" s="23" t="str">
        <f aca="false">IF(E1567,D1567,"")</f>
        <v/>
      </c>
      <c r="G1567" s="21" t="n">
        <f aca="false">IF(E1567,D1567^2,0)</f>
        <v>0</v>
      </c>
      <c r="H1567" s="3"/>
    </row>
    <row r="1568" customFormat="false" ht="15" hidden="false" customHeight="true" outlineLevel="0" collapsed="false">
      <c r="A1568" s="16"/>
      <c r="B1568" s="16"/>
      <c r="C1568" s="15"/>
      <c r="D1568" s="19"/>
      <c r="E1568" s="20" t="b">
        <f aca="false">AND(A1568&lt;&gt;"",C1568&lt;&gt;"",D1568&lt;&gt;"",C1568&gt;='Read Me'!$B$5)</f>
        <v>0</v>
      </c>
      <c r="F1568" s="23" t="str">
        <f aca="false">IF(E1568,D1568,"")</f>
        <v/>
      </c>
      <c r="G1568" s="21" t="n">
        <f aca="false">IF(E1568,D1568^2,0)</f>
        <v>0</v>
      </c>
      <c r="H1568" s="3"/>
    </row>
    <row r="1569" customFormat="false" ht="15" hidden="false" customHeight="true" outlineLevel="0" collapsed="false">
      <c r="A1569" s="16"/>
      <c r="B1569" s="16"/>
      <c r="C1569" s="15"/>
      <c r="D1569" s="19"/>
      <c r="E1569" s="20" t="b">
        <f aca="false">AND(A1569&lt;&gt;"",C1569&lt;&gt;"",D1569&lt;&gt;"",C1569&gt;='Read Me'!$B$5)</f>
        <v>0</v>
      </c>
      <c r="F1569" s="23" t="str">
        <f aca="false">IF(E1569,D1569,"")</f>
        <v/>
      </c>
      <c r="G1569" s="21" t="n">
        <f aca="false">IF(E1569,D1569^2,0)</f>
        <v>0</v>
      </c>
      <c r="H1569" s="3"/>
    </row>
    <row r="1570" customFormat="false" ht="15" hidden="false" customHeight="true" outlineLevel="0" collapsed="false">
      <c r="A1570" s="16"/>
      <c r="B1570" s="16"/>
      <c r="C1570" s="15"/>
      <c r="D1570" s="19"/>
      <c r="E1570" s="20" t="b">
        <f aca="false">AND(A1570&lt;&gt;"",C1570&lt;&gt;"",D1570&lt;&gt;"",C1570&gt;='Read Me'!$B$5)</f>
        <v>0</v>
      </c>
      <c r="F1570" s="23" t="str">
        <f aca="false">IF(E1570,D1570,"")</f>
        <v/>
      </c>
      <c r="G1570" s="21" t="n">
        <f aca="false">IF(E1570,D1570^2,0)</f>
        <v>0</v>
      </c>
      <c r="H1570" s="3"/>
    </row>
    <row r="1571" customFormat="false" ht="15" hidden="false" customHeight="true" outlineLevel="0" collapsed="false">
      <c r="A1571" s="16"/>
      <c r="B1571" s="16"/>
      <c r="C1571" s="15"/>
      <c r="D1571" s="19"/>
      <c r="E1571" s="20" t="b">
        <f aca="false">AND(A1571&lt;&gt;"",C1571&lt;&gt;"",D1571&lt;&gt;"",C1571&gt;='Read Me'!$B$5)</f>
        <v>0</v>
      </c>
      <c r="F1571" s="23" t="str">
        <f aca="false">IF(E1571,D1571,"")</f>
        <v/>
      </c>
      <c r="G1571" s="21" t="n">
        <f aca="false">IF(E1571,D1571^2,0)</f>
        <v>0</v>
      </c>
      <c r="H1571" s="3"/>
    </row>
    <row r="1572" customFormat="false" ht="15" hidden="false" customHeight="true" outlineLevel="0" collapsed="false">
      <c r="A1572" s="16"/>
      <c r="B1572" s="16"/>
      <c r="C1572" s="15"/>
      <c r="D1572" s="19"/>
      <c r="E1572" s="20" t="b">
        <f aca="false">AND(A1572&lt;&gt;"",C1572&lt;&gt;"",D1572&lt;&gt;"",C1572&gt;='Read Me'!$B$5)</f>
        <v>0</v>
      </c>
      <c r="F1572" s="23" t="str">
        <f aca="false">IF(E1572,D1572,"")</f>
        <v/>
      </c>
      <c r="G1572" s="21" t="n">
        <f aca="false">IF(E1572,D1572^2,0)</f>
        <v>0</v>
      </c>
      <c r="H1572" s="3"/>
    </row>
    <row r="1573" customFormat="false" ht="15" hidden="false" customHeight="true" outlineLevel="0" collapsed="false">
      <c r="A1573" s="16"/>
      <c r="B1573" s="16"/>
      <c r="C1573" s="15"/>
      <c r="D1573" s="19"/>
      <c r="E1573" s="20" t="b">
        <f aca="false">AND(A1573&lt;&gt;"",C1573&lt;&gt;"",D1573&lt;&gt;"",C1573&gt;='Read Me'!$B$5)</f>
        <v>0</v>
      </c>
      <c r="F1573" s="23" t="str">
        <f aca="false">IF(E1573,D1573,"")</f>
        <v/>
      </c>
      <c r="G1573" s="21" t="n">
        <f aca="false">IF(E1573,D1573^2,0)</f>
        <v>0</v>
      </c>
      <c r="H1573" s="3"/>
    </row>
    <row r="1574" customFormat="false" ht="15" hidden="false" customHeight="true" outlineLevel="0" collapsed="false">
      <c r="A1574" s="16"/>
      <c r="B1574" s="16"/>
      <c r="C1574" s="15"/>
      <c r="D1574" s="19"/>
      <c r="E1574" s="20" t="b">
        <f aca="false">AND(A1574&lt;&gt;"",C1574&lt;&gt;"",D1574&lt;&gt;"",C1574&gt;='Read Me'!$B$5)</f>
        <v>0</v>
      </c>
      <c r="F1574" s="23" t="str">
        <f aca="false">IF(E1574,D1574,"")</f>
        <v/>
      </c>
      <c r="G1574" s="21" t="n">
        <f aca="false">IF(E1574,D1574^2,0)</f>
        <v>0</v>
      </c>
      <c r="H1574" s="3"/>
    </row>
    <row r="1575" customFormat="false" ht="15" hidden="false" customHeight="true" outlineLevel="0" collapsed="false">
      <c r="A1575" s="16"/>
      <c r="B1575" s="16"/>
      <c r="C1575" s="15"/>
      <c r="D1575" s="19"/>
      <c r="E1575" s="20" t="b">
        <f aca="false">AND(A1575&lt;&gt;"",C1575&lt;&gt;"",D1575&lt;&gt;"",C1575&gt;='Read Me'!$B$5)</f>
        <v>0</v>
      </c>
      <c r="F1575" s="23" t="str">
        <f aca="false">IF(E1575,D1575,"")</f>
        <v/>
      </c>
      <c r="G1575" s="21" t="n">
        <f aca="false">IF(E1575,D1575^2,0)</f>
        <v>0</v>
      </c>
      <c r="H1575" s="3"/>
    </row>
    <row r="1576" customFormat="false" ht="15" hidden="false" customHeight="true" outlineLevel="0" collapsed="false">
      <c r="A1576" s="16"/>
      <c r="B1576" s="16"/>
      <c r="C1576" s="15"/>
      <c r="D1576" s="19"/>
      <c r="E1576" s="20" t="b">
        <f aca="false">AND(A1576&lt;&gt;"",C1576&lt;&gt;"",D1576&lt;&gt;"",C1576&gt;='Read Me'!$B$5)</f>
        <v>0</v>
      </c>
      <c r="F1576" s="23" t="str">
        <f aca="false">IF(E1576,D1576,"")</f>
        <v/>
      </c>
      <c r="G1576" s="21" t="n">
        <f aca="false">IF(E1576,D1576^2,0)</f>
        <v>0</v>
      </c>
      <c r="H1576" s="3"/>
    </row>
    <row r="1577" customFormat="false" ht="15" hidden="false" customHeight="true" outlineLevel="0" collapsed="false">
      <c r="A1577" s="16"/>
      <c r="B1577" s="16"/>
      <c r="C1577" s="15"/>
      <c r="D1577" s="19"/>
      <c r="E1577" s="20" t="b">
        <f aca="false">AND(A1577&lt;&gt;"",C1577&lt;&gt;"",D1577&lt;&gt;"",C1577&gt;='Read Me'!$B$5)</f>
        <v>0</v>
      </c>
      <c r="F1577" s="23" t="str">
        <f aca="false">IF(E1577,D1577,"")</f>
        <v/>
      </c>
      <c r="G1577" s="21" t="n">
        <f aca="false">IF(E1577,D1577^2,0)</f>
        <v>0</v>
      </c>
      <c r="H1577" s="3"/>
    </row>
    <row r="1578" customFormat="false" ht="15" hidden="false" customHeight="true" outlineLevel="0" collapsed="false">
      <c r="A1578" s="16"/>
      <c r="B1578" s="16"/>
      <c r="C1578" s="15"/>
      <c r="D1578" s="19"/>
      <c r="E1578" s="20" t="b">
        <f aca="false">AND(A1578&lt;&gt;"",C1578&lt;&gt;"",D1578&lt;&gt;"",C1578&gt;='Read Me'!$B$5)</f>
        <v>0</v>
      </c>
      <c r="F1578" s="23" t="str">
        <f aca="false">IF(E1578,D1578,"")</f>
        <v/>
      </c>
      <c r="G1578" s="21" t="n">
        <f aca="false">IF(E1578,D1578^2,0)</f>
        <v>0</v>
      </c>
      <c r="H1578" s="3"/>
    </row>
    <row r="1579" customFormat="false" ht="15" hidden="false" customHeight="true" outlineLevel="0" collapsed="false">
      <c r="A1579" s="16"/>
      <c r="B1579" s="16"/>
      <c r="C1579" s="15"/>
      <c r="D1579" s="19"/>
      <c r="E1579" s="20" t="b">
        <f aca="false">AND(A1579&lt;&gt;"",C1579&lt;&gt;"",D1579&lt;&gt;"",C1579&gt;='Read Me'!$B$5)</f>
        <v>0</v>
      </c>
      <c r="F1579" s="23" t="str">
        <f aca="false">IF(E1579,D1579,"")</f>
        <v/>
      </c>
      <c r="G1579" s="21" t="n">
        <f aca="false">IF(E1579,D1579^2,0)</f>
        <v>0</v>
      </c>
      <c r="H1579" s="3"/>
    </row>
    <row r="1580" customFormat="false" ht="15" hidden="false" customHeight="true" outlineLevel="0" collapsed="false">
      <c r="A1580" s="16"/>
      <c r="B1580" s="16"/>
      <c r="C1580" s="15"/>
      <c r="D1580" s="19"/>
      <c r="E1580" s="20" t="b">
        <f aca="false">AND(A1580&lt;&gt;"",C1580&lt;&gt;"",D1580&lt;&gt;"",C1580&gt;='Read Me'!$B$5)</f>
        <v>0</v>
      </c>
      <c r="F1580" s="23" t="str">
        <f aca="false">IF(E1580,D1580,"")</f>
        <v/>
      </c>
      <c r="G1580" s="21" t="n">
        <f aca="false">IF(E1580,D1580^2,0)</f>
        <v>0</v>
      </c>
      <c r="H1580" s="3"/>
    </row>
    <row r="1581" customFormat="false" ht="15" hidden="false" customHeight="true" outlineLevel="0" collapsed="false">
      <c r="A1581" s="16"/>
      <c r="B1581" s="16"/>
      <c r="C1581" s="15"/>
      <c r="D1581" s="19"/>
      <c r="E1581" s="20" t="b">
        <f aca="false">AND(A1581&lt;&gt;"",C1581&lt;&gt;"",D1581&lt;&gt;"",C1581&gt;='Read Me'!$B$5)</f>
        <v>0</v>
      </c>
      <c r="F1581" s="23" t="str">
        <f aca="false">IF(E1581,D1581,"")</f>
        <v/>
      </c>
      <c r="G1581" s="21" t="n">
        <f aca="false">IF(E1581,D1581^2,0)</f>
        <v>0</v>
      </c>
      <c r="H1581" s="3"/>
    </row>
    <row r="1582" customFormat="false" ht="15" hidden="false" customHeight="true" outlineLevel="0" collapsed="false">
      <c r="A1582" s="16"/>
      <c r="B1582" s="16"/>
      <c r="C1582" s="15"/>
      <c r="D1582" s="19"/>
      <c r="E1582" s="20" t="b">
        <f aca="false">AND(A1582&lt;&gt;"",C1582&lt;&gt;"",D1582&lt;&gt;"",C1582&gt;='Read Me'!$B$5)</f>
        <v>0</v>
      </c>
      <c r="F1582" s="23" t="str">
        <f aca="false">IF(E1582,D1582,"")</f>
        <v/>
      </c>
      <c r="G1582" s="21" t="n">
        <f aca="false">IF(E1582,D1582^2,0)</f>
        <v>0</v>
      </c>
      <c r="H1582" s="3"/>
    </row>
    <row r="1583" customFormat="false" ht="15" hidden="false" customHeight="true" outlineLevel="0" collapsed="false">
      <c r="A1583" s="16"/>
      <c r="B1583" s="16"/>
      <c r="C1583" s="15"/>
      <c r="D1583" s="19"/>
      <c r="E1583" s="20" t="b">
        <f aca="false">AND(A1583&lt;&gt;"",C1583&lt;&gt;"",D1583&lt;&gt;"",C1583&gt;='Read Me'!$B$5)</f>
        <v>0</v>
      </c>
      <c r="F1583" s="23" t="str">
        <f aca="false">IF(E1583,D1583,"")</f>
        <v/>
      </c>
      <c r="G1583" s="21" t="n">
        <f aca="false">IF(E1583,D1583^2,0)</f>
        <v>0</v>
      </c>
      <c r="H1583" s="3"/>
    </row>
    <row r="1584" customFormat="false" ht="15" hidden="false" customHeight="true" outlineLevel="0" collapsed="false">
      <c r="A1584" s="16"/>
      <c r="B1584" s="16"/>
      <c r="C1584" s="15"/>
      <c r="D1584" s="19"/>
      <c r="E1584" s="20" t="b">
        <f aca="false">AND(A1584&lt;&gt;"",C1584&lt;&gt;"",D1584&lt;&gt;"",C1584&gt;='Read Me'!$B$5)</f>
        <v>0</v>
      </c>
      <c r="F1584" s="23" t="str">
        <f aca="false">IF(E1584,D1584,"")</f>
        <v/>
      </c>
      <c r="G1584" s="21" t="n">
        <f aca="false">IF(E1584,D1584^2,0)</f>
        <v>0</v>
      </c>
      <c r="H1584" s="3"/>
    </row>
    <row r="1585" customFormat="false" ht="15" hidden="false" customHeight="true" outlineLevel="0" collapsed="false">
      <c r="A1585" s="16"/>
      <c r="B1585" s="16"/>
      <c r="C1585" s="15"/>
      <c r="D1585" s="19"/>
      <c r="E1585" s="20" t="b">
        <f aca="false">AND(A1585&lt;&gt;"",C1585&lt;&gt;"",D1585&lt;&gt;"",C1585&gt;='Read Me'!$B$5)</f>
        <v>0</v>
      </c>
      <c r="F1585" s="23" t="str">
        <f aca="false">IF(E1585,D1585,"")</f>
        <v/>
      </c>
      <c r="G1585" s="21" t="n">
        <f aca="false">IF(E1585,D1585^2,0)</f>
        <v>0</v>
      </c>
      <c r="H1585" s="3"/>
    </row>
    <row r="1586" customFormat="false" ht="15" hidden="false" customHeight="true" outlineLevel="0" collapsed="false">
      <c r="A1586" s="16"/>
      <c r="B1586" s="16"/>
      <c r="C1586" s="15"/>
      <c r="D1586" s="19"/>
      <c r="E1586" s="20" t="b">
        <f aca="false">AND(A1586&lt;&gt;"",C1586&lt;&gt;"",D1586&lt;&gt;"",C1586&gt;='Read Me'!$B$5)</f>
        <v>0</v>
      </c>
      <c r="F1586" s="23" t="str">
        <f aca="false">IF(E1586,D1586,"")</f>
        <v/>
      </c>
      <c r="G1586" s="21" t="n">
        <f aca="false">IF(E1586,D1586^2,0)</f>
        <v>0</v>
      </c>
      <c r="H1586" s="3"/>
    </row>
    <row r="1587" customFormat="false" ht="15" hidden="false" customHeight="true" outlineLevel="0" collapsed="false">
      <c r="A1587" s="16"/>
      <c r="B1587" s="16"/>
      <c r="C1587" s="15"/>
      <c r="D1587" s="19"/>
      <c r="E1587" s="20" t="b">
        <f aca="false">AND(A1587&lt;&gt;"",C1587&lt;&gt;"",D1587&lt;&gt;"",C1587&gt;='Read Me'!$B$5)</f>
        <v>0</v>
      </c>
      <c r="F1587" s="23" t="str">
        <f aca="false">IF(E1587,D1587,"")</f>
        <v/>
      </c>
      <c r="G1587" s="21" t="n">
        <f aca="false">IF(E1587,D1587^2,0)</f>
        <v>0</v>
      </c>
      <c r="H1587" s="3"/>
    </row>
    <row r="1588" customFormat="false" ht="15" hidden="false" customHeight="true" outlineLevel="0" collapsed="false">
      <c r="A1588" s="16"/>
      <c r="B1588" s="16"/>
      <c r="C1588" s="15"/>
      <c r="D1588" s="19"/>
      <c r="E1588" s="20" t="b">
        <f aca="false">AND(A1588&lt;&gt;"",C1588&lt;&gt;"",D1588&lt;&gt;"",C1588&gt;='Read Me'!$B$5)</f>
        <v>0</v>
      </c>
      <c r="F1588" s="23" t="str">
        <f aca="false">IF(E1588,D1588,"")</f>
        <v/>
      </c>
      <c r="G1588" s="21" t="n">
        <f aca="false">IF(E1588,D1588^2,0)</f>
        <v>0</v>
      </c>
      <c r="H1588" s="3"/>
    </row>
    <row r="1589" customFormat="false" ht="15" hidden="false" customHeight="true" outlineLevel="0" collapsed="false">
      <c r="A1589" s="16"/>
      <c r="B1589" s="16"/>
      <c r="C1589" s="15"/>
      <c r="D1589" s="19"/>
      <c r="E1589" s="20" t="b">
        <f aca="false">AND(A1589&lt;&gt;"",C1589&lt;&gt;"",D1589&lt;&gt;"",C1589&gt;='Read Me'!$B$5)</f>
        <v>0</v>
      </c>
      <c r="F1589" s="23" t="str">
        <f aca="false">IF(E1589,D1589,"")</f>
        <v/>
      </c>
      <c r="G1589" s="21" t="n">
        <f aca="false">IF(E1589,D1589^2,0)</f>
        <v>0</v>
      </c>
      <c r="H1589" s="3"/>
    </row>
    <row r="1590" customFormat="false" ht="15" hidden="false" customHeight="true" outlineLevel="0" collapsed="false">
      <c r="A1590" s="16"/>
      <c r="B1590" s="16"/>
      <c r="C1590" s="15"/>
      <c r="D1590" s="19"/>
      <c r="E1590" s="20" t="b">
        <f aca="false">AND(A1590&lt;&gt;"",C1590&lt;&gt;"",D1590&lt;&gt;"",C1590&gt;='Read Me'!$B$5)</f>
        <v>0</v>
      </c>
      <c r="F1590" s="23" t="str">
        <f aca="false">IF(E1590,D1590,"")</f>
        <v/>
      </c>
      <c r="G1590" s="21" t="n">
        <f aca="false">IF(E1590,D1590^2,0)</f>
        <v>0</v>
      </c>
      <c r="H1590" s="3"/>
    </row>
    <row r="1591" customFormat="false" ht="15" hidden="false" customHeight="true" outlineLevel="0" collapsed="false">
      <c r="A1591" s="16"/>
      <c r="B1591" s="16"/>
      <c r="C1591" s="15"/>
      <c r="D1591" s="19"/>
      <c r="E1591" s="20" t="b">
        <f aca="false">AND(A1591&lt;&gt;"",C1591&lt;&gt;"",D1591&lt;&gt;"",C1591&gt;='Read Me'!$B$5)</f>
        <v>0</v>
      </c>
      <c r="F1591" s="23" t="str">
        <f aca="false">IF(E1591,D1591,"")</f>
        <v/>
      </c>
      <c r="G1591" s="21" t="n">
        <f aca="false">IF(E1591,D1591^2,0)</f>
        <v>0</v>
      </c>
      <c r="H1591" s="3"/>
    </row>
    <row r="1592" customFormat="false" ht="15" hidden="false" customHeight="true" outlineLevel="0" collapsed="false">
      <c r="A1592" s="16"/>
      <c r="B1592" s="16"/>
      <c r="C1592" s="15"/>
      <c r="D1592" s="19"/>
      <c r="E1592" s="20" t="b">
        <f aca="false">AND(A1592&lt;&gt;"",C1592&lt;&gt;"",D1592&lt;&gt;"",C1592&gt;='Read Me'!$B$5)</f>
        <v>0</v>
      </c>
      <c r="F1592" s="23" t="str">
        <f aca="false">IF(E1592,D1592,"")</f>
        <v/>
      </c>
      <c r="G1592" s="21" t="n">
        <f aca="false">IF(E1592,D1592^2,0)</f>
        <v>0</v>
      </c>
      <c r="H1592" s="3"/>
    </row>
    <row r="1593" customFormat="false" ht="15" hidden="false" customHeight="true" outlineLevel="0" collapsed="false">
      <c r="A1593" s="16"/>
      <c r="B1593" s="16"/>
      <c r="C1593" s="15"/>
      <c r="D1593" s="19"/>
      <c r="E1593" s="20" t="b">
        <f aca="false">AND(A1593&lt;&gt;"",C1593&lt;&gt;"",D1593&lt;&gt;"",C1593&gt;='Read Me'!$B$5)</f>
        <v>0</v>
      </c>
      <c r="F1593" s="23" t="str">
        <f aca="false">IF(E1593,D1593,"")</f>
        <v/>
      </c>
      <c r="G1593" s="21" t="n">
        <f aca="false">IF(E1593,D1593^2,0)</f>
        <v>0</v>
      </c>
      <c r="H1593" s="3"/>
    </row>
    <row r="1594" customFormat="false" ht="15" hidden="false" customHeight="true" outlineLevel="0" collapsed="false">
      <c r="A1594" s="16"/>
      <c r="B1594" s="16"/>
      <c r="C1594" s="15"/>
      <c r="D1594" s="19"/>
      <c r="E1594" s="20" t="b">
        <f aca="false">AND(A1594&lt;&gt;"",C1594&lt;&gt;"",D1594&lt;&gt;"",C1594&gt;='Read Me'!$B$5)</f>
        <v>0</v>
      </c>
      <c r="F1594" s="23" t="str">
        <f aca="false">IF(E1594,D1594,"")</f>
        <v/>
      </c>
      <c r="G1594" s="21" t="n">
        <f aca="false">IF(E1594,D1594^2,0)</f>
        <v>0</v>
      </c>
      <c r="H1594" s="3"/>
    </row>
    <row r="1595" customFormat="false" ht="15" hidden="false" customHeight="true" outlineLevel="0" collapsed="false">
      <c r="A1595" s="16"/>
      <c r="B1595" s="16"/>
      <c r="C1595" s="15"/>
      <c r="D1595" s="19"/>
      <c r="E1595" s="20" t="b">
        <f aca="false">AND(A1595&lt;&gt;"",C1595&lt;&gt;"",D1595&lt;&gt;"",C1595&gt;='Read Me'!$B$5)</f>
        <v>0</v>
      </c>
      <c r="F1595" s="23" t="str">
        <f aca="false">IF(E1595,D1595,"")</f>
        <v/>
      </c>
      <c r="G1595" s="21" t="n">
        <f aca="false">IF(E1595,D1595^2,0)</f>
        <v>0</v>
      </c>
      <c r="H1595" s="3"/>
    </row>
    <row r="1596" customFormat="false" ht="15" hidden="false" customHeight="true" outlineLevel="0" collapsed="false">
      <c r="A1596" s="16"/>
      <c r="B1596" s="16"/>
      <c r="C1596" s="15"/>
      <c r="D1596" s="19"/>
      <c r="E1596" s="20" t="b">
        <f aca="false">AND(A1596&lt;&gt;"",C1596&lt;&gt;"",D1596&lt;&gt;"",C1596&gt;='Read Me'!$B$5)</f>
        <v>0</v>
      </c>
      <c r="F1596" s="23" t="str">
        <f aca="false">IF(E1596,D1596,"")</f>
        <v/>
      </c>
      <c r="G1596" s="21" t="n">
        <f aca="false">IF(E1596,D1596^2,0)</f>
        <v>0</v>
      </c>
      <c r="H1596" s="3"/>
    </row>
    <row r="1597" customFormat="false" ht="15" hidden="false" customHeight="true" outlineLevel="0" collapsed="false">
      <c r="A1597" s="16"/>
      <c r="B1597" s="16"/>
      <c r="C1597" s="15"/>
      <c r="D1597" s="19"/>
      <c r="E1597" s="20" t="b">
        <f aca="false">AND(A1597&lt;&gt;"",C1597&lt;&gt;"",D1597&lt;&gt;"",C1597&gt;='Read Me'!$B$5)</f>
        <v>0</v>
      </c>
      <c r="F1597" s="23" t="str">
        <f aca="false">IF(E1597,D1597,"")</f>
        <v/>
      </c>
      <c r="G1597" s="21" t="n">
        <f aca="false">IF(E1597,D1597^2,0)</f>
        <v>0</v>
      </c>
      <c r="H1597" s="3"/>
    </row>
    <row r="1598" customFormat="false" ht="15" hidden="false" customHeight="true" outlineLevel="0" collapsed="false">
      <c r="A1598" s="16"/>
      <c r="B1598" s="16"/>
      <c r="C1598" s="15"/>
      <c r="D1598" s="19"/>
      <c r="E1598" s="20" t="b">
        <f aca="false">AND(A1598&lt;&gt;"",C1598&lt;&gt;"",D1598&lt;&gt;"",C1598&gt;='Read Me'!$B$5)</f>
        <v>0</v>
      </c>
      <c r="F1598" s="23" t="str">
        <f aca="false">IF(E1598,D1598,"")</f>
        <v/>
      </c>
      <c r="G1598" s="21" t="n">
        <f aca="false">IF(E1598,D1598^2,0)</f>
        <v>0</v>
      </c>
      <c r="H1598" s="3"/>
    </row>
    <row r="1599" customFormat="false" ht="15" hidden="false" customHeight="true" outlineLevel="0" collapsed="false">
      <c r="A1599" s="16"/>
      <c r="B1599" s="16"/>
      <c r="C1599" s="15"/>
      <c r="D1599" s="19"/>
      <c r="E1599" s="20" t="b">
        <f aca="false">AND(A1599&lt;&gt;"",C1599&lt;&gt;"",D1599&lt;&gt;"",C1599&gt;='Read Me'!$B$5)</f>
        <v>0</v>
      </c>
      <c r="F1599" s="23" t="str">
        <f aca="false">IF(E1599,D1599,"")</f>
        <v/>
      </c>
      <c r="G1599" s="21" t="n">
        <f aca="false">IF(E1599,D1599^2,0)</f>
        <v>0</v>
      </c>
      <c r="H1599" s="3"/>
    </row>
    <row r="1600" customFormat="false" ht="15" hidden="false" customHeight="true" outlineLevel="0" collapsed="false">
      <c r="A1600" s="16"/>
      <c r="B1600" s="16"/>
      <c r="C1600" s="15"/>
      <c r="D1600" s="19"/>
      <c r="E1600" s="20" t="b">
        <f aca="false">AND(A1600&lt;&gt;"",C1600&lt;&gt;"",D1600&lt;&gt;"",C1600&gt;='Read Me'!$B$5)</f>
        <v>0</v>
      </c>
      <c r="F1600" s="23" t="str">
        <f aca="false">IF(E1600,D1600,"")</f>
        <v/>
      </c>
      <c r="G1600" s="21" t="n">
        <f aca="false">IF(E1600,D1600^2,0)</f>
        <v>0</v>
      </c>
      <c r="H1600" s="3"/>
    </row>
    <row r="1601" customFormat="false" ht="15" hidden="false" customHeight="true" outlineLevel="0" collapsed="false">
      <c r="A1601" s="16"/>
      <c r="B1601" s="16"/>
      <c r="C1601" s="15"/>
      <c r="D1601" s="19"/>
      <c r="E1601" s="20" t="b">
        <f aca="false">AND(A1601&lt;&gt;"",C1601&lt;&gt;"",D1601&lt;&gt;"",C1601&gt;='Read Me'!$B$5)</f>
        <v>0</v>
      </c>
      <c r="F1601" s="23" t="str">
        <f aca="false">IF(E1601,D1601,"")</f>
        <v/>
      </c>
      <c r="G1601" s="21" t="n">
        <f aca="false">IF(E1601,D1601^2,0)</f>
        <v>0</v>
      </c>
      <c r="H1601" s="3"/>
    </row>
    <row r="1602" customFormat="false" ht="15" hidden="false" customHeight="true" outlineLevel="0" collapsed="false">
      <c r="A1602" s="16"/>
      <c r="B1602" s="16"/>
      <c r="C1602" s="15"/>
      <c r="D1602" s="19"/>
      <c r="E1602" s="20" t="b">
        <f aca="false">AND(A1602&lt;&gt;"",C1602&lt;&gt;"",D1602&lt;&gt;"",C1602&gt;='Read Me'!$B$5)</f>
        <v>0</v>
      </c>
      <c r="F1602" s="23" t="str">
        <f aca="false">IF(E1602,D1602,"")</f>
        <v/>
      </c>
      <c r="G1602" s="21" t="n">
        <f aca="false">IF(E1602,D1602^2,0)</f>
        <v>0</v>
      </c>
      <c r="H1602" s="3"/>
    </row>
    <row r="1603" customFormat="false" ht="15" hidden="false" customHeight="true" outlineLevel="0" collapsed="false">
      <c r="A1603" s="16"/>
      <c r="B1603" s="16"/>
      <c r="C1603" s="15"/>
      <c r="D1603" s="19"/>
      <c r="E1603" s="20" t="b">
        <f aca="false">AND(A1603&lt;&gt;"",C1603&lt;&gt;"",D1603&lt;&gt;"",C1603&gt;='Read Me'!$B$5)</f>
        <v>0</v>
      </c>
      <c r="F1603" s="23" t="str">
        <f aca="false">IF(E1603,D1603,"")</f>
        <v/>
      </c>
      <c r="G1603" s="21" t="n">
        <f aca="false">IF(E1603,D1603^2,0)</f>
        <v>0</v>
      </c>
      <c r="H1603" s="3"/>
    </row>
    <row r="1604" customFormat="false" ht="15" hidden="false" customHeight="true" outlineLevel="0" collapsed="false">
      <c r="A1604" s="16"/>
      <c r="B1604" s="16"/>
      <c r="C1604" s="15"/>
      <c r="D1604" s="19"/>
      <c r="E1604" s="20" t="b">
        <f aca="false">AND(A1604&lt;&gt;"",C1604&lt;&gt;"",D1604&lt;&gt;"",C1604&gt;='Read Me'!$B$5)</f>
        <v>0</v>
      </c>
      <c r="F1604" s="23" t="str">
        <f aca="false">IF(E1604,D1604,"")</f>
        <v/>
      </c>
      <c r="G1604" s="21" t="n">
        <f aca="false">IF(E1604,D1604^2,0)</f>
        <v>0</v>
      </c>
      <c r="H1604" s="3"/>
    </row>
    <row r="1605" customFormat="false" ht="15" hidden="false" customHeight="true" outlineLevel="0" collapsed="false">
      <c r="A1605" s="16"/>
      <c r="B1605" s="16"/>
      <c r="C1605" s="15"/>
      <c r="D1605" s="19"/>
      <c r="E1605" s="20" t="b">
        <f aca="false">AND(A1605&lt;&gt;"",C1605&lt;&gt;"",D1605&lt;&gt;"",C1605&gt;='Read Me'!$B$5)</f>
        <v>0</v>
      </c>
      <c r="F1605" s="23" t="str">
        <f aca="false">IF(E1605,D1605,"")</f>
        <v/>
      </c>
      <c r="G1605" s="21" t="n">
        <f aca="false">IF(E1605,D1605^2,0)</f>
        <v>0</v>
      </c>
      <c r="H1605" s="3"/>
    </row>
    <row r="1606" customFormat="false" ht="15" hidden="false" customHeight="true" outlineLevel="0" collapsed="false">
      <c r="A1606" s="16"/>
      <c r="B1606" s="16"/>
      <c r="C1606" s="15"/>
      <c r="D1606" s="19"/>
      <c r="E1606" s="20" t="b">
        <f aca="false">AND(A1606&lt;&gt;"",C1606&lt;&gt;"",D1606&lt;&gt;"",C1606&gt;='Read Me'!$B$5)</f>
        <v>0</v>
      </c>
      <c r="F1606" s="23" t="str">
        <f aca="false">IF(E1606,D1606,"")</f>
        <v/>
      </c>
      <c r="G1606" s="21" t="n">
        <f aca="false">IF(E1606,D1606^2,0)</f>
        <v>0</v>
      </c>
      <c r="H1606" s="3"/>
    </row>
    <row r="1607" customFormat="false" ht="15" hidden="false" customHeight="true" outlineLevel="0" collapsed="false">
      <c r="A1607" s="16"/>
      <c r="B1607" s="16"/>
      <c r="C1607" s="15"/>
      <c r="D1607" s="19"/>
      <c r="E1607" s="20" t="b">
        <f aca="false">AND(A1607&lt;&gt;"",C1607&lt;&gt;"",D1607&lt;&gt;"",C1607&gt;='Read Me'!$B$5)</f>
        <v>0</v>
      </c>
      <c r="F1607" s="23" t="str">
        <f aca="false">IF(E1607,D1607,"")</f>
        <v/>
      </c>
      <c r="G1607" s="21" t="n">
        <f aca="false">IF(E1607,D1607^2,0)</f>
        <v>0</v>
      </c>
      <c r="H1607" s="3"/>
    </row>
    <row r="1608" customFormat="false" ht="15" hidden="false" customHeight="true" outlineLevel="0" collapsed="false">
      <c r="A1608" s="16"/>
      <c r="B1608" s="16"/>
      <c r="C1608" s="15"/>
      <c r="D1608" s="19"/>
      <c r="E1608" s="20" t="b">
        <f aca="false">AND(A1608&lt;&gt;"",C1608&lt;&gt;"",D1608&lt;&gt;"",C1608&gt;='Read Me'!$B$5)</f>
        <v>0</v>
      </c>
      <c r="F1608" s="23" t="str">
        <f aca="false">IF(E1608,D1608,"")</f>
        <v/>
      </c>
      <c r="G1608" s="21" t="n">
        <f aca="false">IF(E1608,D1608^2,0)</f>
        <v>0</v>
      </c>
      <c r="H1608" s="3"/>
    </row>
    <row r="1609" customFormat="false" ht="15" hidden="false" customHeight="true" outlineLevel="0" collapsed="false">
      <c r="A1609" s="16"/>
      <c r="B1609" s="16"/>
      <c r="C1609" s="15"/>
      <c r="D1609" s="19"/>
      <c r="E1609" s="20" t="b">
        <f aca="false">AND(A1609&lt;&gt;"",C1609&lt;&gt;"",D1609&lt;&gt;"",C1609&gt;='Read Me'!$B$5)</f>
        <v>0</v>
      </c>
      <c r="F1609" s="23" t="str">
        <f aca="false">IF(E1609,D1609,"")</f>
        <v/>
      </c>
      <c r="G1609" s="21" t="n">
        <f aca="false">IF(E1609,D1609^2,0)</f>
        <v>0</v>
      </c>
      <c r="H1609" s="3"/>
    </row>
    <row r="1610" customFormat="false" ht="15" hidden="false" customHeight="true" outlineLevel="0" collapsed="false">
      <c r="A1610" s="16"/>
      <c r="B1610" s="16"/>
      <c r="C1610" s="15"/>
      <c r="D1610" s="19"/>
      <c r="E1610" s="20" t="b">
        <f aca="false">AND(A1610&lt;&gt;"",C1610&lt;&gt;"",D1610&lt;&gt;"",C1610&gt;='Read Me'!$B$5)</f>
        <v>0</v>
      </c>
      <c r="F1610" s="23" t="str">
        <f aca="false">IF(E1610,D1610,"")</f>
        <v/>
      </c>
      <c r="G1610" s="21" t="n">
        <f aca="false">IF(E1610,D1610^2,0)</f>
        <v>0</v>
      </c>
      <c r="H1610" s="3"/>
    </row>
    <row r="1611" customFormat="false" ht="15" hidden="false" customHeight="true" outlineLevel="0" collapsed="false">
      <c r="A1611" s="16"/>
      <c r="B1611" s="16"/>
      <c r="C1611" s="15"/>
      <c r="D1611" s="19"/>
      <c r="E1611" s="20" t="b">
        <f aca="false">AND(A1611&lt;&gt;"",C1611&lt;&gt;"",D1611&lt;&gt;"",C1611&gt;='Read Me'!$B$5)</f>
        <v>0</v>
      </c>
      <c r="F1611" s="23" t="str">
        <f aca="false">IF(E1611,D1611,"")</f>
        <v/>
      </c>
      <c r="G1611" s="21" t="n">
        <f aca="false">IF(E1611,D1611^2,0)</f>
        <v>0</v>
      </c>
      <c r="H1611" s="3"/>
    </row>
    <row r="1612" customFormat="false" ht="15" hidden="false" customHeight="true" outlineLevel="0" collapsed="false">
      <c r="A1612" s="16"/>
      <c r="B1612" s="16"/>
      <c r="C1612" s="15"/>
      <c r="D1612" s="19"/>
      <c r="E1612" s="20" t="b">
        <f aca="false">AND(A1612&lt;&gt;"",C1612&lt;&gt;"",D1612&lt;&gt;"",C1612&gt;='Read Me'!$B$5)</f>
        <v>0</v>
      </c>
      <c r="F1612" s="23" t="str">
        <f aca="false">IF(E1612,D1612,"")</f>
        <v/>
      </c>
      <c r="G1612" s="21" t="n">
        <f aca="false">IF(E1612,D1612^2,0)</f>
        <v>0</v>
      </c>
      <c r="H1612" s="3"/>
    </row>
    <row r="1613" customFormat="false" ht="15" hidden="false" customHeight="true" outlineLevel="0" collapsed="false">
      <c r="A1613" s="16"/>
      <c r="B1613" s="16"/>
      <c r="C1613" s="15"/>
      <c r="D1613" s="19"/>
      <c r="E1613" s="20" t="b">
        <f aca="false">AND(A1613&lt;&gt;"",C1613&lt;&gt;"",D1613&lt;&gt;"",C1613&gt;='Read Me'!$B$5)</f>
        <v>0</v>
      </c>
      <c r="F1613" s="23" t="str">
        <f aca="false">IF(E1613,D1613,"")</f>
        <v/>
      </c>
      <c r="G1613" s="21" t="n">
        <f aca="false">IF(E1613,D1613^2,0)</f>
        <v>0</v>
      </c>
      <c r="H1613" s="3"/>
    </row>
    <row r="1614" customFormat="false" ht="15" hidden="false" customHeight="true" outlineLevel="0" collapsed="false">
      <c r="A1614" s="16"/>
      <c r="B1614" s="16"/>
      <c r="C1614" s="15"/>
      <c r="D1614" s="19"/>
      <c r="E1614" s="20" t="b">
        <f aca="false">AND(A1614&lt;&gt;"",C1614&lt;&gt;"",D1614&lt;&gt;"",C1614&gt;='Read Me'!$B$5)</f>
        <v>0</v>
      </c>
      <c r="F1614" s="23" t="str">
        <f aca="false">IF(E1614,D1614,"")</f>
        <v/>
      </c>
      <c r="G1614" s="21" t="n">
        <f aca="false">IF(E1614,D1614^2,0)</f>
        <v>0</v>
      </c>
      <c r="H1614" s="3"/>
    </row>
    <row r="1615" customFormat="false" ht="15" hidden="false" customHeight="true" outlineLevel="0" collapsed="false">
      <c r="A1615" s="16"/>
      <c r="B1615" s="16"/>
      <c r="C1615" s="15"/>
      <c r="D1615" s="19"/>
      <c r="E1615" s="20" t="b">
        <f aca="false">AND(A1615&lt;&gt;"",C1615&lt;&gt;"",D1615&lt;&gt;"",C1615&gt;='Read Me'!$B$5)</f>
        <v>0</v>
      </c>
      <c r="F1615" s="23" t="str">
        <f aca="false">IF(E1615,D1615,"")</f>
        <v/>
      </c>
      <c r="G1615" s="21" t="n">
        <f aca="false">IF(E1615,D1615^2,0)</f>
        <v>0</v>
      </c>
      <c r="H1615" s="3"/>
    </row>
    <row r="1616" customFormat="false" ht="15" hidden="false" customHeight="true" outlineLevel="0" collapsed="false">
      <c r="A1616" s="16"/>
      <c r="B1616" s="16"/>
      <c r="C1616" s="15"/>
      <c r="D1616" s="19"/>
      <c r="E1616" s="20" t="b">
        <f aca="false">AND(A1616&lt;&gt;"",C1616&lt;&gt;"",D1616&lt;&gt;"",C1616&gt;='Read Me'!$B$5)</f>
        <v>0</v>
      </c>
      <c r="F1616" s="23" t="str">
        <f aca="false">IF(E1616,D1616,"")</f>
        <v/>
      </c>
      <c r="G1616" s="21" t="n">
        <f aca="false">IF(E1616,D1616^2,0)</f>
        <v>0</v>
      </c>
      <c r="H1616" s="3"/>
    </row>
    <row r="1617" customFormat="false" ht="15" hidden="false" customHeight="true" outlineLevel="0" collapsed="false">
      <c r="A1617" s="16"/>
      <c r="B1617" s="16"/>
      <c r="C1617" s="15"/>
      <c r="D1617" s="19"/>
      <c r="E1617" s="20" t="b">
        <f aca="false">AND(A1617&lt;&gt;"",C1617&lt;&gt;"",D1617&lt;&gt;"",C1617&gt;='Read Me'!$B$5)</f>
        <v>0</v>
      </c>
      <c r="F1617" s="23" t="str">
        <f aca="false">IF(E1617,D1617,"")</f>
        <v/>
      </c>
      <c r="G1617" s="21" t="n">
        <f aca="false">IF(E1617,D1617^2,0)</f>
        <v>0</v>
      </c>
      <c r="H1617" s="3"/>
    </row>
    <row r="1618" customFormat="false" ht="15" hidden="false" customHeight="true" outlineLevel="0" collapsed="false">
      <c r="A1618" s="16"/>
      <c r="B1618" s="16"/>
      <c r="C1618" s="15"/>
      <c r="D1618" s="19"/>
      <c r="E1618" s="20" t="b">
        <f aca="false">AND(A1618&lt;&gt;"",C1618&lt;&gt;"",D1618&lt;&gt;"",C1618&gt;='Read Me'!$B$5)</f>
        <v>0</v>
      </c>
      <c r="F1618" s="23" t="str">
        <f aca="false">IF(E1618,D1618,"")</f>
        <v/>
      </c>
      <c r="G1618" s="21" t="n">
        <f aca="false">IF(E1618,D1618^2,0)</f>
        <v>0</v>
      </c>
      <c r="H1618" s="3"/>
    </row>
    <row r="1619" customFormat="false" ht="15" hidden="false" customHeight="true" outlineLevel="0" collapsed="false">
      <c r="A1619" s="16"/>
      <c r="B1619" s="16"/>
      <c r="C1619" s="15"/>
      <c r="D1619" s="19"/>
      <c r="E1619" s="20" t="b">
        <f aca="false">AND(A1619&lt;&gt;"",C1619&lt;&gt;"",D1619&lt;&gt;"",C1619&gt;='Read Me'!$B$5)</f>
        <v>0</v>
      </c>
      <c r="F1619" s="23" t="str">
        <f aca="false">IF(E1619,D1619,"")</f>
        <v/>
      </c>
      <c r="G1619" s="21" t="n">
        <f aca="false">IF(E1619,D1619^2,0)</f>
        <v>0</v>
      </c>
      <c r="H1619" s="3"/>
    </row>
    <row r="1620" customFormat="false" ht="15" hidden="false" customHeight="true" outlineLevel="0" collapsed="false">
      <c r="A1620" s="16"/>
      <c r="B1620" s="16"/>
      <c r="C1620" s="15"/>
      <c r="D1620" s="19"/>
      <c r="E1620" s="20" t="b">
        <f aca="false">AND(A1620&lt;&gt;"",C1620&lt;&gt;"",D1620&lt;&gt;"",C1620&gt;='Read Me'!$B$5)</f>
        <v>0</v>
      </c>
      <c r="F1620" s="23" t="str">
        <f aca="false">IF(E1620,D1620,"")</f>
        <v/>
      </c>
      <c r="G1620" s="21" t="n">
        <f aca="false">IF(E1620,D1620^2,0)</f>
        <v>0</v>
      </c>
      <c r="H1620" s="3"/>
    </row>
    <row r="1621" customFormat="false" ht="15" hidden="false" customHeight="true" outlineLevel="0" collapsed="false">
      <c r="A1621" s="16"/>
      <c r="B1621" s="16"/>
      <c r="C1621" s="15"/>
      <c r="D1621" s="19"/>
      <c r="E1621" s="20" t="b">
        <f aca="false">AND(A1621&lt;&gt;"",C1621&lt;&gt;"",D1621&lt;&gt;"",C1621&gt;='Read Me'!$B$5)</f>
        <v>0</v>
      </c>
      <c r="F1621" s="23" t="str">
        <f aca="false">IF(E1621,D1621,"")</f>
        <v/>
      </c>
      <c r="G1621" s="21" t="n">
        <f aca="false">IF(E1621,D1621^2,0)</f>
        <v>0</v>
      </c>
      <c r="H1621" s="3"/>
    </row>
    <row r="1622" customFormat="false" ht="15" hidden="false" customHeight="true" outlineLevel="0" collapsed="false">
      <c r="A1622" s="16"/>
      <c r="B1622" s="16"/>
      <c r="C1622" s="15"/>
      <c r="D1622" s="19"/>
      <c r="E1622" s="20" t="b">
        <f aca="false">AND(A1622&lt;&gt;"",C1622&lt;&gt;"",D1622&lt;&gt;"",C1622&gt;='Read Me'!$B$5)</f>
        <v>0</v>
      </c>
      <c r="F1622" s="23" t="str">
        <f aca="false">IF(E1622,D1622,"")</f>
        <v/>
      </c>
      <c r="G1622" s="21" t="n">
        <f aca="false">IF(E1622,D1622^2,0)</f>
        <v>0</v>
      </c>
      <c r="H1622" s="3"/>
    </row>
    <row r="1623" customFormat="false" ht="15" hidden="false" customHeight="true" outlineLevel="0" collapsed="false">
      <c r="A1623" s="16"/>
      <c r="B1623" s="16"/>
      <c r="C1623" s="15"/>
      <c r="D1623" s="19"/>
      <c r="E1623" s="20" t="b">
        <f aca="false">AND(A1623&lt;&gt;"",C1623&lt;&gt;"",D1623&lt;&gt;"",C1623&gt;='Read Me'!$B$5)</f>
        <v>0</v>
      </c>
      <c r="F1623" s="23" t="str">
        <f aca="false">IF(E1623,D1623,"")</f>
        <v/>
      </c>
      <c r="G1623" s="21" t="n">
        <f aca="false">IF(E1623,D1623^2,0)</f>
        <v>0</v>
      </c>
      <c r="H1623" s="3"/>
    </row>
    <row r="1624" customFormat="false" ht="15" hidden="false" customHeight="true" outlineLevel="0" collapsed="false">
      <c r="A1624" s="16"/>
      <c r="B1624" s="16"/>
      <c r="C1624" s="15"/>
      <c r="D1624" s="19"/>
      <c r="E1624" s="20" t="b">
        <f aca="false">AND(A1624&lt;&gt;"",C1624&lt;&gt;"",D1624&lt;&gt;"",C1624&gt;='Read Me'!$B$5)</f>
        <v>0</v>
      </c>
      <c r="F1624" s="23" t="str">
        <f aca="false">IF(E1624,D1624,"")</f>
        <v/>
      </c>
      <c r="G1624" s="21" t="n">
        <f aca="false">IF(E1624,D1624^2,0)</f>
        <v>0</v>
      </c>
      <c r="H1624" s="3"/>
    </row>
    <row r="1625" customFormat="false" ht="15" hidden="false" customHeight="true" outlineLevel="0" collapsed="false">
      <c r="A1625" s="16"/>
      <c r="B1625" s="16"/>
      <c r="C1625" s="15"/>
      <c r="D1625" s="19"/>
      <c r="E1625" s="20" t="b">
        <f aca="false">AND(A1625&lt;&gt;"",C1625&lt;&gt;"",D1625&lt;&gt;"",C1625&gt;='Read Me'!$B$5)</f>
        <v>0</v>
      </c>
      <c r="F1625" s="23" t="str">
        <f aca="false">IF(E1625,D1625,"")</f>
        <v/>
      </c>
      <c r="G1625" s="21" t="n">
        <f aca="false">IF(E1625,D1625^2,0)</f>
        <v>0</v>
      </c>
      <c r="H1625" s="3"/>
    </row>
    <row r="1626" customFormat="false" ht="15" hidden="false" customHeight="true" outlineLevel="0" collapsed="false">
      <c r="A1626" s="16"/>
      <c r="B1626" s="16"/>
      <c r="C1626" s="15"/>
      <c r="D1626" s="19"/>
      <c r="E1626" s="20" t="b">
        <f aca="false">AND(A1626&lt;&gt;"",C1626&lt;&gt;"",D1626&lt;&gt;"",C1626&gt;='Read Me'!$B$5)</f>
        <v>0</v>
      </c>
      <c r="F1626" s="23" t="str">
        <f aca="false">IF(E1626,D1626,"")</f>
        <v/>
      </c>
      <c r="G1626" s="21" t="n">
        <f aca="false">IF(E1626,D1626^2,0)</f>
        <v>0</v>
      </c>
      <c r="H1626" s="3"/>
    </row>
    <row r="1627" customFormat="false" ht="15" hidden="false" customHeight="true" outlineLevel="0" collapsed="false">
      <c r="A1627" s="16"/>
      <c r="B1627" s="16"/>
      <c r="C1627" s="15"/>
      <c r="D1627" s="19"/>
      <c r="E1627" s="20" t="b">
        <f aca="false">AND(A1627&lt;&gt;"",C1627&lt;&gt;"",D1627&lt;&gt;"",C1627&gt;='Read Me'!$B$5)</f>
        <v>0</v>
      </c>
      <c r="F1627" s="23" t="str">
        <f aca="false">IF(E1627,D1627,"")</f>
        <v/>
      </c>
      <c r="G1627" s="21" t="n">
        <f aca="false">IF(E1627,D1627^2,0)</f>
        <v>0</v>
      </c>
      <c r="H1627" s="3"/>
    </row>
    <row r="1628" customFormat="false" ht="15" hidden="false" customHeight="true" outlineLevel="0" collapsed="false">
      <c r="A1628" s="16"/>
      <c r="B1628" s="16"/>
      <c r="C1628" s="15"/>
      <c r="D1628" s="19"/>
      <c r="E1628" s="20" t="b">
        <f aca="false">AND(A1628&lt;&gt;"",C1628&lt;&gt;"",D1628&lt;&gt;"",C1628&gt;='Read Me'!$B$5)</f>
        <v>0</v>
      </c>
      <c r="F1628" s="23" t="str">
        <f aca="false">IF(E1628,D1628,"")</f>
        <v/>
      </c>
      <c r="G1628" s="21" t="n">
        <f aca="false">IF(E1628,D1628^2,0)</f>
        <v>0</v>
      </c>
      <c r="H1628" s="3"/>
    </row>
    <row r="1629" customFormat="false" ht="15" hidden="false" customHeight="true" outlineLevel="0" collapsed="false">
      <c r="A1629" s="16"/>
      <c r="B1629" s="16"/>
      <c r="C1629" s="15"/>
      <c r="D1629" s="19"/>
      <c r="E1629" s="20" t="b">
        <f aca="false">AND(A1629&lt;&gt;"",C1629&lt;&gt;"",D1629&lt;&gt;"",C1629&gt;='Read Me'!$B$5)</f>
        <v>0</v>
      </c>
      <c r="F1629" s="23" t="str">
        <f aca="false">IF(E1629,D1629,"")</f>
        <v/>
      </c>
      <c r="G1629" s="21" t="n">
        <f aca="false">IF(E1629,D1629^2,0)</f>
        <v>0</v>
      </c>
      <c r="H1629" s="3"/>
    </row>
    <row r="1630" customFormat="false" ht="15" hidden="false" customHeight="true" outlineLevel="0" collapsed="false">
      <c r="A1630" s="16"/>
      <c r="B1630" s="16"/>
      <c r="C1630" s="15"/>
      <c r="D1630" s="19"/>
      <c r="E1630" s="20" t="b">
        <f aca="false">AND(A1630&lt;&gt;"",C1630&lt;&gt;"",D1630&lt;&gt;"",C1630&gt;='Read Me'!$B$5)</f>
        <v>0</v>
      </c>
      <c r="F1630" s="23" t="str">
        <f aca="false">IF(E1630,D1630,"")</f>
        <v/>
      </c>
      <c r="G1630" s="21" t="n">
        <f aca="false">IF(E1630,D1630^2,0)</f>
        <v>0</v>
      </c>
      <c r="H1630" s="3"/>
    </row>
    <row r="1631" customFormat="false" ht="15" hidden="false" customHeight="true" outlineLevel="0" collapsed="false">
      <c r="A1631" s="16"/>
      <c r="B1631" s="16"/>
      <c r="C1631" s="15"/>
      <c r="D1631" s="19"/>
      <c r="E1631" s="20" t="b">
        <f aca="false">AND(A1631&lt;&gt;"",C1631&lt;&gt;"",D1631&lt;&gt;"",C1631&gt;='Read Me'!$B$5)</f>
        <v>0</v>
      </c>
      <c r="F1631" s="23" t="str">
        <f aca="false">IF(E1631,D1631,"")</f>
        <v/>
      </c>
      <c r="G1631" s="21" t="n">
        <f aca="false">IF(E1631,D1631^2,0)</f>
        <v>0</v>
      </c>
      <c r="H1631" s="3"/>
    </row>
    <row r="1632" customFormat="false" ht="15" hidden="false" customHeight="true" outlineLevel="0" collapsed="false">
      <c r="A1632" s="16"/>
      <c r="B1632" s="16"/>
      <c r="C1632" s="15"/>
      <c r="D1632" s="19"/>
      <c r="E1632" s="20" t="b">
        <f aca="false">AND(A1632&lt;&gt;"",C1632&lt;&gt;"",D1632&lt;&gt;"",C1632&gt;='Read Me'!$B$5)</f>
        <v>0</v>
      </c>
      <c r="F1632" s="23" t="str">
        <f aca="false">IF(E1632,D1632,"")</f>
        <v/>
      </c>
      <c r="G1632" s="21" t="n">
        <f aca="false">IF(E1632,D1632^2,0)</f>
        <v>0</v>
      </c>
      <c r="H1632" s="3"/>
    </row>
    <row r="1633" customFormat="false" ht="15" hidden="false" customHeight="true" outlineLevel="0" collapsed="false">
      <c r="A1633" s="16"/>
      <c r="B1633" s="16"/>
      <c r="C1633" s="15"/>
      <c r="D1633" s="19"/>
      <c r="E1633" s="20" t="b">
        <f aca="false">AND(A1633&lt;&gt;"",C1633&lt;&gt;"",D1633&lt;&gt;"",C1633&gt;='Read Me'!$B$5)</f>
        <v>0</v>
      </c>
      <c r="F1633" s="23" t="str">
        <f aca="false">IF(E1633,D1633,"")</f>
        <v/>
      </c>
      <c r="G1633" s="21" t="n">
        <f aca="false">IF(E1633,D1633^2,0)</f>
        <v>0</v>
      </c>
      <c r="H1633" s="3"/>
    </row>
    <row r="1634" customFormat="false" ht="15" hidden="false" customHeight="true" outlineLevel="0" collapsed="false">
      <c r="A1634" s="16"/>
      <c r="B1634" s="16"/>
      <c r="C1634" s="15"/>
      <c r="D1634" s="19"/>
      <c r="E1634" s="20" t="b">
        <f aca="false">AND(A1634&lt;&gt;"",C1634&lt;&gt;"",D1634&lt;&gt;"",C1634&gt;='Read Me'!$B$5)</f>
        <v>0</v>
      </c>
      <c r="F1634" s="23" t="str">
        <f aca="false">IF(E1634,D1634,"")</f>
        <v/>
      </c>
      <c r="G1634" s="21" t="n">
        <f aca="false">IF(E1634,D1634^2,0)</f>
        <v>0</v>
      </c>
      <c r="H1634" s="3"/>
    </row>
    <row r="1635" customFormat="false" ht="15" hidden="false" customHeight="true" outlineLevel="0" collapsed="false">
      <c r="A1635" s="16"/>
      <c r="B1635" s="16"/>
      <c r="C1635" s="15"/>
      <c r="D1635" s="19"/>
      <c r="E1635" s="20" t="b">
        <f aca="false">AND(A1635&lt;&gt;"",C1635&lt;&gt;"",D1635&lt;&gt;"",C1635&gt;='Read Me'!$B$5)</f>
        <v>0</v>
      </c>
      <c r="F1635" s="23" t="str">
        <f aca="false">IF(E1635,D1635,"")</f>
        <v/>
      </c>
      <c r="G1635" s="21" t="n">
        <f aca="false">IF(E1635,D1635^2,0)</f>
        <v>0</v>
      </c>
      <c r="H1635" s="3"/>
    </row>
    <row r="1636" customFormat="false" ht="15" hidden="false" customHeight="true" outlineLevel="0" collapsed="false">
      <c r="A1636" s="16"/>
      <c r="B1636" s="16"/>
      <c r="C1636" s="15"/>
      <c r="D1636" s="19"/>
      <c r="E1636" s="20" t="b">
        <f aca="false">AND(A1636&lt;&gt;"",C1636&lt;&gt;"",D1636&lt;&gt;"",C1636&gt;='Read Me'!$B$5)</f>
        <v>0</v>
      </c>
      <c r="F1636" s="23" t="str">
        <f aca="false">IF(E1636,D1636,"")</f>
        <v/>
      </c>
      <c r="G1636" s="21" t="n">
        <f aca="false">IF(E1636,D1636^2,0)</f>
        <v>0</v>
      </c>
      <c r="H1636" s="3"/>
    </row>
    <row r="1637" customFormat="false" ht="15" hidden="false" customHeight="true" outlineLevel="0" collapsed="false">
      <c r="A1637" s="16"/>
      <c r="B1637" s="16"/>
      <c r="C1637" s="15"/>
      <c r="D1637" s="19"/>
      <c r="E1637" s="20" t="b">
        <f aca="false">AND(A1637&lt;&gt;"",C1637&lt;&gt;"",D1637&lt;&gt;"",C1637&gt;='Read Me'!$B$5)</f>
        <v>0</v>
      </c>
      <c r="F1637" s="23" t="str">
        <f aca="false">IF(E1637,D1637,"")</f>
        <v/>
      </c>
      <c r="G1637" s="21" t="n">
        <f aca="false">IF(E1637,D1637^2,0)</f>
        <v>0</v>
      </c>
      <c r="H1637" s="3"/>
    </row>
    <row r="1638" customFormat="false" ht="15" hidden="false" customHeight="true" outlineLevel="0" collapsed="false">
      <c r="A1638" s="16"/>
      <c r="B1638" s="16"/>
      <c r="C1638" s="15"/>
      <c r="D1638" s="19"/>
      <c r="E1638" s="20" t="b">
        <f aca="false">AND(A1638&lt;&gt;"",C1638&lt;&gt;"",D1638&lt;&gt;"",C1638&gt;='Read Me'!$B$5)</f>
        <v>0</v>
      </c>
      <c r="F1638" s="23" t="str">
        <f aca="false">IF(E1638,D1638,"")</f>
        <v/>
      </c>
      <c r="G1638" s="21" t="n">
        <f aca="false">IF(E1638,D1638^2,0)</f>
        <v>0</v>
      </c>
      <c r="H1638" s="3"/>
    </row>
    <row r="1639" customFormat="false" ht="15" hidden="false" customHeight="true" outlineLevel="0" collapsed="false">
      <c r="A1639" s="16"/>
      <c r="B1639" s="16"/>
      <c r="C1639" s="15"/>
      <c r="D1639" s="19"/>
      <c r="E1639" s="20" t="b">
        <f aca="false">AND(A1639&lt;&gt;"",C1639&lt;&gt;"",D1639&lt;&gt;"",C1639&gt;='Read Me'!$B$5)</f>
        <v>0</v>
      </c>
      <c r="F1639" s="23" t="str">
        <f aca="false">IF(E1639,D1639,"")</f>
        <v/>
      </c>
      <c r="G1639" s="21" t="n">
        <f aca="false">IF(E1639,D1639^2,0)</f>
        <v>0</v>
      </c>
      <c r="H1639" s="3"/>
    </row>
    <row r="1640" customFormat="false" ht="15" hidden="false" customHeight="true" outlineLevel="0" collapsed="false">
      <c r="A1640" s="16"/>
      <c r="B1640" s="16"/>
      <c r="C1640" s="15"/>
      <c r="D1640" s="19"/>
      <c r="E1640" s="20" t="b">
        <f aca="false">AND(A1640&lt;&gt;"",C1640&lt;&gt;"",D1640&lt;&gt;"",C1640&gt;='Read Me'!$B$5)</f>
        <v>0</v>
      </c>
      <c r="F1640" s="23" t="str">
        <f aca="false">IF(E1640,D1640,"")</f>
        <v/>
      </c>
      <c r="G1640" s="21" t="n">
        <f aca="false">IF(E1640,D1640^2,0)</f>
        <v>0</v>
      </c>
      <c r="H1640" s="3"/>
    </row>
    <row r="1641" customFormat="false" ht="15" hidden="false" customHeight="true" outlineLevel="0" collapsed="false">
      <c r="A1641" s="16"/>
      <c r="B1641" s="16"/>
      <c r="C1641" s="15"/>
      <c r="D1641" s="19"/>
      <c r="E1641" s="20" t="b">
        <f aca="false">AND(A1641&lt;&gt;"",C1641&lt;&gt;"",D1641&lt;&gt;"",C1641&gt;='Read Me'!$B$5)</f>
        <v>0</v>
      </c>
      <c r="F1641" s="23" t="str">
        <f aca="false">IF(E1641,D1641,"")</f>
        <v/>
      </c>
      <c r="G1641" s="21" t="n">
        <f aca="false">IF(E1641,D1641^2,0)</f>
        <v>0</v>
      </c>
      <c r="H1641" s="3"/>
    </row>
    <row r="1642" customFormat="false" ht="15" hidden="false" customHeight="true" outlineLevel="0" collapsed="false">
      <c r="A1642" s="16"/>
      <c r="B1642" s="16"/>
      <c r="C1642" s="15"/>
      <c r="D1642" s="19"/>
      <c r="E1642" s="20" t="b">
        <f aca="false">AND(A1642&lt;&gt;"",C1642&lt;&gt;"",D1642&lt;&gt;"",C1642&gt;='Read Me'!$B$5)</f>
        <v>0</v>
      </c>
      <c r="F1642" s="23" t="str">
        <f aca="false">IF(E1642,D1642,"")</f>
        <v/>
      </c>
      <c r="G1642" s="21" t="n">
        <f aca="false">IF(E1642,D1642^2,0)</f>
        <v>0</v>
      </c>
      <c r="H1642" s="3"/>
    </row>
    <row r="1643" customFormat="false" ht="15" hidden="false" customHeight="true" outlineLevel="0" collapsed="false">
      <c r="A1643" s="16"/>
      <c r="B1643" s="16"/>
      <c r="C1643" s="15"/>
      <c r="D1643" s="19"/>
      <c r="E1643" s="20" t="b">
        <f aca="false">AND(A1643&lt;&gt;"",C1643&lt;&gt;"",D1643&lt;&gt;"",C1643&gt;='Read Me'!$B$5)</f>
        <v>0</v>
      </c>
      <c r="F1643" s="23" t="str">
        <f aca="false">IF(E1643,D1643,"")</f>
        <v/>
      </c>
      <c r="G1643" s="21" t="n">
        <f aca="false">IF(E1643,D1643^2,0)</f>
        <v>0</v>
      </c>
      <c r="H1643" s="3"/>
    </row>
    <row r="1644" customFormat="false" ht="15" hidden="false" customHeight="true" outlineLevel="0" collapsed="false">
      <c r="A1644" s="16"/>
      <c r="B1644" s="16"/>
      <c r="C1644" s="15"/>
      <c r="D1644" s="19"/>
      <c r="E1644" s="20" t="b">
        <f aca="false">AND(A1644&lt;&gt;"",C1644&lt;&gt;"",D1644&lt;&gt;"",C1644&gt;='Read Me'!$B$5)</f>
        <v>0</v>
      </c>
      <c r="F1644" s="23" t="str">
        <f aca="false">IF(E1644,D1644,"")</f>
        <v/>
      </c>
      <c r="G1644" s="21" t="n">
        <f aca="false">IF(E1644,D1644^2,0)</f>
        <v>0</v>
      </c>
      <c r="H1644" s="3"/>
    </row>
    <row r="1645" customFormat="false" ht="15" hidden="false" customHeight="true" outlineLevel="0" collapsed="false">
      <c r="A1645" s="16"/>
      <c r="B1645" s="16"/>
      <c r="C1645" s="15"/>
      <c r="D1645" s="19"/>
      <c r="E1645" s="20" t="b">
        <f aca="false">AND(A1645&lt;&gt;"",C1645&lt;&gt;"",D1645&lt;&gt;"",C1645&gt;='Read Me'!$B$5)</f>
        <v>0</v>
      </c>
      <c r="F1645" s="23" t="str">
        <f aca="false">IF(E1645,D1645,"")</f>
        <v/>
      </c>
      <c r="G1645" s="21" t="n">
        <f aca="false">IF(E1645,D1645^2,0)</f>
        <v>0</v>
      </c>
      <c r="H1645" s="3"/>
    </row>
    <row r="1646" customFormat="false" ht="15" hidden="false" customHeight="true" outlineLevel="0" collapsed="false">
      <c r="A1646" s="16"/>
      <c r="B1646" s="16"/>
      <c r="C1646" s="15"/>
      <c r="D1646" s="19"/>
      <c r="E1646" s="20" t="b">
        <f aca="false">AND(A1646&lt;&gt;"",C1646&lt;&gt;"",D1646&lt;&gt;"",C1646&gt;='Read Me'!$B$5)</f>
        <v>0</v>
      </c>
      <c r="F1646" s="23" t="str">
        <f aca="false">IF(E1646,D1646,"")</f>
        <v/>
      </c>
      <c r="G1646" s="21" t="n">
        <f aca="false">IF(E1646,D1646^2,0)</f>
        <v>0</v>
      </c>
      <c r="H1646" s="3"/>
    </row>
    <row r="1647" customFormat="false" ht="15" hidden="false" customHeight="true" outlineLevel="0" collapsed="false">
      <c r="A1647" s="16"/>
      <c r="B1647" s="16"/>
      <c r="C1647" s="15"/>
      <c r="D1647" s="19"/>
      <c r="E1647" s="20" t="b">
        <f aca="false">AND(A1647&lt;&gt;"",C1647&lt;&gt;"",D1647&lt;&gt;"",C1647&gt;='Read Me'!$B$5)</f>
        <v>0</v>
      </c>
      <c r="F1647" s="23" t="str">
        <f aca="false">IF(E1647,D1647,"")</f>
        <v/>
      </c>
      <c r="G1647" s="21" t="n">
        <f aca="false">IF(E1647,D1647^2,0)</f>
        <v>0</v>
      </c>
      <c r="H1647" s="3"/>
    </row>
    <row r="1648" customFormat="false" ht="15" hidden="false" customHeight="true" outlineLevel="0" collapsed="false">
      <c r="A1648" s="16"/>
      <c r="B1648" s="16"/>
      <c r="C1648" s="15"/>
      <c r="D1648" s="19"/>
      <c r="E1648" s="20" t="b">
        <f aca="false">AND(A1648&lt;&gt;"",C1648&lt;&gt;"",D1648&lt;&gt;"",C1648&gt;='Read Me'!$B$5)</f>
        <v>0</v>
      </c>
      <c r="F1648" s="23" t="str">
        <f aca="false">IF(E1648,D1648,"")</f>
        <v/>
      </c>
      <c r="G1648" s="21" t="n">
        <f aca="false">IF(E1648,D1648^2,0)</f>
        <v>0</v>
      </c>
      <c r="H1648" s="3"/>
    </row>
    <row r="1649" customFormat="false" ht="15" hidden="false" customHeight="true" outlineLevel="0" collapsed="false">
      <c r="A1649" s="16"/>
      <c r="B1649" s="16"/>
      <c r="C1649" s="15"/>
      <c r="D1649" s="19"/>
      <c r="E1649" s="20" t="b">
        <f aca="false">AND(A1649&lt;&gt;"",C1649&lt;&gt;"",D1649&lt;&gt;"",C1649&gt;='Read Me'!$B$5)</f>
        <v>0</v>
      </c>
      <c r="F1649" s="23" t="str">
        <f aca="false">IF(E1649,D1649,"")</f>
        <v/>
      </c>
      <c r="G1649" s="21" t="n">
        <f aca="false">IF(E1649,D1649^2,0)</f>
        <v>0</v>
      </c>
      <c r="H1649" s="3"/>
    </row>
    <row r="1650" customFormat="false" ht="15" hidden="false" customHeight="true" outlineLevel="0" collapsed="false">
      <c r="A1650" s="16"/>
      <c r="B1650" s="16"/>
      <c r="C1650" s="15"/>
      <c r="D1650" s="19"/>
      <c r="E1650" s="20" t="b">
        <f aca="false">AND(A1650&lt;&gt;"",C1650&lt;&gt;"",D1650&lt;&gt;"",C1650&gt;='Read Me'!$B$5)</f>
        <v>0</v>
      </c>
      <c r="F1650" s="23" t="str">
        <f aca="false">IF(E1650,D1650,"")</f>
        <v/>
      </c>
      <c r="G1650" s="21" t="n">
        <f aca="false">IF(E1650,D1650^2,0)</f>
        <v>0</v>
      </c>
      <c r="H1650" s="3"/>
    </row>
    <row r="1651" customFormat="false" ht="15" hidden="false" customHeight="true" outlineLevel="0" collapsed="false">
      <c r="A1651" s="16"/>
      <c r="B1651" s="16"/>
      <c r="C1651" s="15"/>
      <c r="D1651" s="19"/>
      <c r="E1651" s="20" t="b">
        <f aca="false">AND(A1651&lt;&gt;"",C1651&lt;&gt;"",D1651&lt;&gt;"",C1651&gt;='Read Me'!$B$5)</f>
        <v>0</v>
      </c>
      <c r="F1651" s="23" t="str">
        <f aca="false">IF(E1651,D1651,"")</f>
        <v/>
      </c>
      <c r="G1651" s="21" t="n">
        <f aca="false">IF(E1651,D1651^2,0)</f>
        <v>0</v>
      </c>
      <c r="H1651" s="3"/>
    </row>
    <row r="1652" customFormat="false" ht="15" hidden="false" customHeight="true" outlineLevel="0" collapsed="false">
      <c r="A1652" s="16"/>
      <c r="B1652" s="16"/>
      <c r="C1652" s="15"/>
      <c r="D1652" s="19"/>
      <c r="E1652" s="20" t="b">
        <f aca="false">AND(A1652&lt;&gt;"",C1652&lt;&gt;"",D1652&lt;&gt;"",C1652&gt;='Read Me'!$B$5)</f>
        <v>0</v>
      </c>
      <c r="F1652" s="23" t="str">
        <f aca="false">IF(E1652,D1652,"")</f>
        <v/>
      </c>
      <c r="G1652" s="21" t="n">
        <f aca="false">IF(E1652,D1652^2,0)</f>
        <v>0</v>
      </c>
      <c r="H1652" s="3"/>
    </row>
    <row r="1653" customFormat="false" ht="15" hidden="false" customHeight="true" outlineLevel="0" collapsed="false">
      <c r="A1653" s="16"/>
      <c r="B1653" s="16"/>
      <c r="C1653" s="15"/>
      <c r="D1653" s="19"/>
      <c r="E1653" s="20" t="b">
        <f aca="false">AND(A1653&lt;&gt;"",C1653&lt;&gt;"",D1653&lt;&gt;"",C1653&gt;='Read Me'!$B$5)</f>
        <v>0</v>
      </c>
      <c r="F1653" s="23" t="str">
        <f aca="false">IF(E1653,D1653,"")</f>
        <v/>
      </c>
      <c r="G1653" s="21" t="n">
        <f aca="false">IF(E1653,D1653^2,0)</f>
        <v>0</v>
      </c>
      <c r="H1653" s="3"/>
    </row>
    <row r="1654" customFormat="false" ht="15" hidden="false" customHeight="true" outlineLevel="0" collapsed="false">
      <c r="A1654" s="16"/>
      <c r="B1654" s="16"/>
      <c r="C1654" s="15"/>
      <c r="D1654" s="19"/>
      <c r="E1654" s="20" t="b">
        <f aca="false">AND(A1654&lt;&gt;"",C1654&lt;&gt;"",D1654&lt;&gt;"",C1654&gt;='Read Me'!$B$5)</f>
        <v>0</v>
      </c>
      <c r="F1654" s="23" t="str">
        <f aca="false">IF(E1654,D1654,"")</f>
        <v/>
      </c>
      <c r="G1654" s="21" t="n">
        <f aca="false">IF(E1654,D1654^2,0)</f>
        <v>0</v>
      </c>
      <c r="H1654" s="3"/>
    </row>
    <row r="1655" customFormat="false" ht="15" hidden="false" customHeight="true" outlineLevel="0" collapsed="false">
      <c r="A1655" s="16"/>
      <c r="B1655" s="16"/>
      <c r="C1655" s="15"/>
      <c r="D1655" s="19"/>
      <c r="E1655" s="20" t="b">
        <f aca="false">AND(A1655&lt;&gt;"",C1655&lt;&gt;"",D1655&lt;&gt;"",C1655&gt;='Read Me'!$B$5)</f>
        <v>0</v>
      </c>
      <c r="F1655" s="23" t="str">
        <f aca="false">IF(E1655,D1655,"")</f>
        <v/>
      </c>
      <c r="G1655" s="21" t="n">
        <f aca="false">IF(E1655,D1655^2,0)</f>
        <v>0</v>
      </c>
      <c r="H1655" s="3"/>
    </row>
    <row r="1656" customFormat="false" ht="15" hidden="false" customHeight="true" outlineLevel="0" collapsed="false">
      <c r="A1656" s="16"/>
      <c r="B1656" s="16"/>
      <c r="C1656" s="15"/>
      <c r="D1656" s="19"/>
      <c r="E1656" s="20" t="b">
        <f aca="false">AND(A1656&lt;&gt;"",C1656&lt;&gt;"",D1656&lt;&gt;"",C1656&gt;='Read Me'!$B$5)</f>
        <v>0</v>
      </c>
      <c r="F1656" s="23" t="str">
        <f aca="false">IF(E1656,D1656,"")</f>
        <v/>
      </c>
      <c r="G1656" s="21" t="n">
        <f aca="false">IF(E1656,D1656^2,0)</f>
        <v>0</v>
      </c>
      <c r="H1656" s="3"/>
    </row>
    <row r="1657" customFormat="false" ht="15" hidden="false" customHeight="true" outlineLevel="0" collapsed="false">
      <c r="A1657" s="16"/>
      <c r="B1657" s="16"/>
      <c r="C1657" s="15"/>
      <c r="D1657" s="19"/>
      <c r="E1657" s="20" t="b">
        <f aca="false">AND(A1657&lt;&gt;"",C1657&lt;&gt;"",D1657&lt;&gt;"",C1657&gt;='Read Me'!$B$5)</f>
        <v>0</v>
      </c>
      <c r="F1657" s="23" t="str">
        <f aca="false">IF(E1657,D1657,"")</f>
        <v/>
      </c>
      <c r="G1657" s="21" t="n">
        <f aca="false">IF(E1657,D1657^2,0)</f>
        <v>0</v>
      </c>
      <c r="H1657" s="3"/>
    </row>
    <row r="1658" customFormat="false" ht="15" hidden="false" customHeight="true" outlineLevel="0" collapsed="false">
      <c r="A1658" s="16"/>
      <c r="B1658" s="16"/>
      <c r="C1658" s="15"/>
      <c r="D1658" s="19"/>
      <c r="E1658" s="20" t="b">
        <f aca="false">AND(A1658&lt;&gt;"",C1658&lt;&gt;"",D1658&lt;&gt;"",C1658&gt;='Read Me'!$B$5)</f>
        <v>0</v>
      </c>
      <c r="F1658" s="23" t="str">
        <f aca="false">IF(E1658,D1658,"")</f>
        <v/>
      </c>
      <c r="G1658" s="21" t="n">
        <f aca="false">IF(E1658,D1658^2,0)</f>
        <v>0</v>
      </c>
      <c r="H1658" s="3"/>
    </row>
    <row r="1659" customFormat="false" ht="15" hidden="false" customHeight="true" outlineLevel="0" collapsed="false">
      <c r="A1659" s="16"/>
      <c r="B1659" s="16"/>
      <c r="C1659" s="15"/>
      <c r="D1659" s="19"/>
      <c r="E1659" s="20" t="b">
        <f aca="false">AND(A1659&lt;&gt;"",C1659&lt;&gt;"",D1659&lt;&gt;"",C1659&gt;='Read Me'!$B$5)</f>
        <v>0</v>
      </c>
      <c r="F1659" s="23" t="str">
        <f aca="false">IF(E1659,D1659,"")</f>
        <v/>
      </c>
      <c r="G1659" s="21" t="n">
        <f aca="false">IF(E1659,D1659^2,0)</f>
        <v>0</v>
      </c>
      <c r="H1659" s="3"/>
    </row>
    <row r="1660" customFormat="false" ht="15" hidden="false" customHeight="true" outlineLevel="0" collapsed="false">
      <c r="A1660" s="16"/>
      <c r="B1660" s="16"/>
      <c r="C1660" s="15"/>
      <c r="D1660" s="19"/>
      <c r="E1660" s="20" t="b">
        <f aca="false">AND(A1660&lt;&gt;"",C1660&lt;&gt;"",D1660&lt;&gt;"",C1660&gt;='Read Me'!$B$5)</f>
        <v>0</v>
      </c>
      <c r="F1660" s="23" t="str">
        <f aca="false">IF(E1660,D1660,"")</f>
        <v/>
      </c>
      <c r="G1660" s="21" t="n">
        <f aca="false">IF(E1660,D1660^2,0)</f>
        <v>0</v>
      </c>
      <c r="H1660" s="3"/>
    </row>
    <row r="1661" customFormat="false" ht="15" hidden="false" customHeight="true" outlineLevel="0" collapsed="false">
      <c r="A1661" s="16"/>
      <c r="B1661" s="16"/>
      <c r="C1661" s="15"/>
      <c r="D1661" s="19"/>
      <c r="E1661" s="20" t="b">
        <f aca="false">AND(A1661&lt;&gt;"",C1661&lt;&gt;"",D1661&lt;&gt;"",C1661&gt;='Read Me'!$B$5)</f>
        <v>0</v>
      </c>
      <c r="F1661" s="23" t="str">
        <f aca="false">IF(E1661,D1661,"")</f>
        <v/>
      </c>
      <c r="G1661" s="21" t="n">
        <f aca="false">IF(E1661,D1661^2,0)</f>
        <v>0</v>
      </c>
      <c r="H1661" s="3"/>
    </row>
    <row r="1662" customFormat="false" ht="15" hidden="false" customHeight="true" outlineLevel="0" collapsed="false">
      <c r="A1662" s="16"/>
      <c r="B1662" s="16"/>
      <c r="C1662" s="15"/>
      <c r="D1662" s="19"/>
      <c r="E1662" s="20" t="b">
        <f aca="false">AND(A1662&lt;&gt;"",C1662&lt;&gt;"",D1662&lt;&gt;"",C1662&gt;='Read Me'!$B$5)</f>
        <v>0</v>
      </c>
      <c r="F1662" s="23" t="str">
        <f aca="false">IF(E1662,D1662,"")</f>
        <v/>
      </c>
      <c r="G1662" s="21" t="n">
        <f aca="false">IF(E1662,D1662^2,0)</f>
        <v>0</v>
      </c>
      <c r="H1662" s="3"/>
    </row>
    <row r="1663" customFormat="false" ht="15" hidden="false" customHeight="true" outlineLevel="0" collapsed="false">
      <c r="A1663" s="16"/>
      <c r="B1663" s="16"/>
      <c r="C1663" s="15"/>
      <c r="D1663" s="19"/>
      <c r="E1663" s="20" t="b">
        <f aca="false">AND(A1663&lt;&gt;"",C1663&lt;&gt;"",D1663&lt;&gt;"",C1663&gt;='Read Me'!$B$5)</f>
        <v>0</v>
      </c>
      <c r="F1663" s="23" t="str">
        <f aca="false">IF(E1663,D1663,"")</f>
        <v/>
      </c>
      <c r="G1663" s="21" t="n">
        <f aca="false">IF(E1663,D1663^2,0)</f>
        <v>0</v>
      </c>
      <c r="H1663" s="3"/>
    </row>
    <row r="1664" customFormat="false" ht="15" hidden="false" customHeight="true" outlineLevel="0" collapsed="false">
      <c r="A1664" s="16"/>
      <c r="B1664" s="16"/>
      <c r="C1664" s="15"/>
      <c r="D1664" s="19"/>
      <c r="E1664" s="20" t="b">
        <f aca="false">AND(A1664&lt;&gt;"",C1664&lt;&gt;"",D1664&lt;&gt;"",C1664&gt;='Read Me'!$B$5)</f>
        <v>0</v>
      </c>
      <c r="F1664" s="23" t="str">
        <f aca="false">IF(E1664,D1664,"")</f>
        <v/>
      </c>
      <c r="G1664" s="21" t="n">
        <f aca="false">IF(E1664,D1664^2,0)</f>
        <v>0</v>
      </c>
      <c r="H1664" s="3"/>
    </row>
    <row r="1665" customFormat="false" ht="15" hidden="false" customHeight="true" outlineLevel="0" collapsed="false">
      <c r="A1665" s="16"/>
      <c r="B1665" s="16"/>
      <c r="C1665" s="15"/>
      <c r="D1665" s="19"/>
      <c r="E1665" s="20" t="b">
        <f aca="false">AND(A1665&lt;&gt;"",C1665&lt;&gt;"",D1665&lt;&gt;"",C1665&gt;='Read Me'!$B$5)</f>
        <v>0</v>
      </c>
      <c r="F1665" s="23" t="str">
        <f aca="false">IF(E1665,D1665,"")</f>
        <v/>
      </c>
      <c r="G1665" s="21" t="n">
        <f aca="false">IF(E1665,D1665^2,0)</f>
        <v>0</v>
      </c>
      <c r="H1665" s="3"/>
    </row>
    <row r="1666" customFormat="false" ht="15" hidden="false" customHeight="true" outlineLevel="0" collapsed="false">
      <c r="A1666" s="16"/>
      <c r="B1666" s="16"/>
      <c r="C1666" s="15"/>
      <c r="D1666" s="19"/>
      <c r="E1666" s="20" t="b">
        <f aca="false">AND(A1666&lt;&gt;"",C1666&lt;&gt;"",D1666&lt;&gt;"",C1666&gt;='Read Me'!$B$5)</f>
        <v>0</v>
      </c>
      <c r="F1666" s="23" t="str">
        <f aca="false">IF(E1666,D1666,"")</f>
        <v/>
      </c>
      <c r="G1666" s="21" t="n">
        <f aca="false">IF(E1666,D1666^2,0)</f>
        <v>0</v>
      </c>
      <c r="H1666" s="3"/>
    </row>
    <row r="1667" customFormat="false" ht="15" hidden="false" customHeight="true" outlineLevel="0" collapsed="false">
      <c r="A1667" s="16"/>
      <c r="B1667" s="16"/>
      <c r="C1667" s="15"/>
      <c r="D1667" s="19"/>
      <c r="E1667" s="20" t="b">
        <f aca="false">AND(A1667&lt;&gt;"",C1667&lt;&gt;"",D1667&lt;&gt;"",C1667&gt;='Read Me'!$B$5)</f>
        <v>0</v>
      </c>
      <c r="F1667" s="23" t="str">
        <f aca="false">IF(E1667,D1667,"")</f>
        <v/>
      </c>
      <c r="G1667" s="21" t="n">
        <f aca="false">IF(E1667,D1667^2,0)</f>
        <v>0</v>
      </c>
      <c r="H1667" s="3"/>
    </row>
    <row r="1668" customFormat="false" ht="15" hidden="false" customHeight="true" outlineLevel="0" collapsed="false">
      <c r="A1668" s="16"/>
      <c r="B1668" s="16"/>
      <c r="C1668" s="15"/>
      <c r="D1668" s="19"/>
      <c r="E1668" s="20" t="b">
        <f aca="false">AND(A1668&lt;&gt;"",C1668&lt;&gt;"",D1668&lt;&gt;"",C1668&gt;='Read Me'!$B$5)</f>
        <v>0</v>
      </c>
      <c r="F1668" s="23" t="str">
        <f aca="false">IF(E1668,D1668,"")</f>
        <v/>
      </c>
      <c r="G1668" s="21" t="n">
        <f aca="false">IF(E1668,D1668^2,0)</f>
        <v>0</v>
      </c>
      <c r="H1668" s="3"/>
    </row>
    <row r="1669" customFormat="false" ht="15" hidden="false" customHeight="true" outlineLevel="0" collapsed="false">
      <c r="A1669" s="16"/>
      <c r="B1669" s="16"/>
      <c r="C1669" s="15"/>
      <c r="D1669" s="19"/>
      <c r="E1669" s="20" t="b">
        <f aca="false">AND(A1669&lt;&gt;"",C1669&lt;&gt;"",D1669&lt;&gt;"",C1669&gt;='Read Me'!$B$5)</f>
        <v>0</v>
      </c>
      <c r="F1669" s="23" t="str">
        <f aca="false">IF(E1669,D1669,"")</f>
        <v/>
      </c>
      <c r="G1669" s="21" t="n">
        <f aca="false">IF(E1669,D1669^2,0)</f>
        <v>0</v>
      </c>
      <c r="H1669" s="3"/>
    </row>
    <row r="1670" customFormat="false" ht="15" hidden="false" customHeight="true" outlineLevel="0" collapsed="false">
      <c r="A1670" s="16"/>
      <c r="B1670" s="16"/>
      <c r="C1670" s="15"/>
      <c r="D1670" s="19"/>
      <c r="E1670" s="20" t="b">
        <f aca="false">AND(A1670&lt;&gt;"",C1670&lt;&gt;"",D1670&lt;&gt;"",C1670&gt;='Read Me'!$B$5)</f>
        <v>0</v>
      </c>
      <c r="F1670" s="23" t="str">
        <f aca="false">IF(E1670,D1670,"")</f>
        <v/>
      </c>
      <c r="G1670" s="21" t="n">
        <f aca="false">IF(E1670,D1670^2,0)</f>
        <v>0</v>
      </c>
      <c r="H1670" s="3"/>
    </row>
    <row r="1671" customFormat="false" ht="15" hidden="false" customHeight="true" outlineLevel="0" collapsed="false">
      <c r="A1671" s="16"/>
      <c r="B1671" s="16"/>
      <c r="C1671" s="15"/>
      <c r="D1671" s="19"/>
      <c r="E1671" s="20" t="b">
        <f aca="false">AND(A1671&lt;&gt;"",C1671&lt;&gt;"",D1671&lt;&gt;"",C1671&gt;='Read Me'!$B$5)</f>
        <v>0</v>
      </c>
      <c r="F1671" s="23" t="str">
        <f aca="false">IF(E1671,D1671,"")</f>
        <v/>
      </c>
      <c r="G1671" s="21" t="n">
        <f aca="false">IF(E1671,D1671^2,0)</f>
        <v>0</v>
      </c>
      <c r="H1671" s="3"/>
    </row>
    <row r="1672" customFormat="false" ht="15" hidden="false" customHeight="true" outlineLevel="0" collapsed="false">
      <c r="A1672" s="16"/>
      <c r="B1672" s="16"/>
      <c r="C1672" s="15"/>
      <c r="D1672" s="19"/>
      <c r="E1672" s="20" t="b">
        <f aca="false">AND(A1672&lt;&gt;"",C1672&lt;&gt;"",D1672&lt;&gt;"",C1672&gt;='Read Me'!$B$5)</f>
        <v>0</v>
      </c>
      <c r="F1672" s="23" t="str">
        <f aca="false">IF(E1672,D1672,"")</f>
        <v/>
      </c>
      <c r="G1672" s="21" t="n">
        <f aca="false">IF(E1672,D1672^2,0)</f>
        <v>0</v>
      </c>
      <c r="H1672" s="3"/>
    </row>
    <row r="1673" customFormat="false" ht="15" hidden="false" customHeight="true" outlineLevel="0" collapsed="false">
      <c r="A1673" s="16"/>
      <c r="B1673" s="16"/>
      <c r="C1673" s="15"/>
      <c r="D1673" s="19"/>
      <c r="E1673" s="20" t="b">
        <f aca="false">AND(A1673&lt;&gt;"",C1673&lt;&gt;"",D1673&lt;&gt;"",C1673&gt;='Read Me'!$B$5)</f>
        <v>0</v>
      </c>
      <c r="F1673" s="23" t="str">
        <f aca="false">IF(E1673,D1673,"")</f>
        <v/>
      </c>
      <c r="G1673" s="21" t="n">
        <f aca="false">IF(E1673,D1673^2,0)</f>
        <v>0</v>
      </c>
      <c r="H1673" s="3"/>
    </row>
    <row r="1674" customFormat="false" ht="15" hidden="false" customHeight="true" outlineLevel="0" collapsed="false">
      <c r="A1674" s="16"/>
      <c r="B1674" s="16"/>
      <c r="C1674" s="15"/>
      <c r="D1674" s="19"/>
      <c r="E1674" s="20" t="b">
        <f aca="false">AND(A1674&lt;&gt;"",C1674&lt;&gt;"",D1674&lt;&gt;"",C1674&gt;='Read Me'!$B$5)</f>
        <v>0</v>
      </c>
      <c r="F1674" s="23" t="str">
        <f aca="false">IF(E1674,D1674,"")</f>
        <v/>
      </c>
      <c r="G1674" s="21" t="n">
        <f aca="false">IF(E1674,D1674^2,0)</f>
        <v>0</v>
      </c>
      <c r="H1674" s="3"/>
    </row>
    <row r="1675" customFormat="false" ht="15" hidden="false" customHeight="true" outlineLevel="0" collapsed="false">
      <c r="A1675" s="16"/>
      <c r="B1675" s="16"/>
      <c r="C1675" s="15"/>
      <c r="D1675" s="19"/>
      <c r="E1675" s="20" t="b">
        <f aca="false">AND(A1675&lt;&gt;"",C1675&lt;&gt;"",D1675&lt;&gt;"",C1675&gt;='Read Me'!$B$5)</f>
        <v>0</v>
      </c>
      <c r="F1675" s="23" t="str">
        <f aca="false">IF(E1675,D1675,"")</f>
        <v/>
      </c>
      <c r="G1675" s="21" t="n">
        <f aca="false">IF(E1675,D1675^2,0)</f>
        <v>0</v>
      </c>
      <c r="H1675" s="3"/>
    </row>
    <row r="1676" customFormat="false" ht="15" hidden="false" customHeight="true" outlineLevel="0" collapsed="false">
      <c r="A1676" s="16"/>
      <c r="B1676" s="16"/>
      <c r="C1676" s="15"/>
      <c r="D1676" s="19"/>
      <c r="E1676" s="20" t="b">
        <f aca="false">AND(A1676&lt;&gt;"",C1676&lt;&gt;"",D1676&lt;&gt;"",C1676&gt;='Read Me'!$B$5)</f>
        <v>0</v>
      </c>
      <c r="F1676" s="23" t="str">
        <f aca="false">IF(E1676,D1676,"")</f>
        <v/>
      </c>
      <c r="G1676" s="21" t="n">
        <f aca="false">IF(E1676,D1676^2,0)</f>
        <v>0</v>
      </c>
      <c r="H1676" s="3"/>
    </row>
    <row r="1677" customFormat="false" ht="15" hidden="false" customHeight="true" outlineLevel="0" collapsed="false">
      <c r="A1677" s="16"/>
      <c r="B1677" s="16"/>
      <c r="C1677" s="15"/>
      <c r="D1677" s="19"/>
      <c r="E1677" s="20" t="b">
        <f aca="false">AND(A1677&lt;&gt;"",C1677&lt;&gt;"",D1677&lt;&gt;"",C1677&gt;='Read Me'!$B$5)</f>
        <v>0</v>
      </c>
      <c r="F1677" s="23" t="str">
        <f aca="false">IF(E1677,D1677,"")</f>
        <v/>
      </c>
      <c r="G1677" s="21" t="n">
        <f aca="false">IF(E1677,D1677^2,0)</f>
        <v>0</v>
      </c>
      <c r="H1677" s="3"/>
    </row>
    <row r="1678" customFormat="false" ht="15" hidden="false" customHeight="true" outlineLevel="0" collapsed="false">
      <c r="A1678" s="16"/>
      <c r="B1678" s="16"/>
      <c r="C1678" s="15"/>
      <c r="D1678" s="19"/>
      <c r="E1678" s="20" t="b">
        <f aca="false">AND(A1678&lt;&gt;"",C1678&lt;&gt;"",D1678&lt;&gt;"",C1678&gt;='Read Me'!$B$5)</f>
        <v>0</v>
      </c>
      <c r="F1678" s="23" t="str">
        <f aca="false">IF(E1678,D1678,"")</f>
        <v/>
      </c>
      <c r="G1678" s="21" t="n">
        <f aca="false">IF(E1678,D1678^2,0)</f>
        <v>0</v>
      </c>
      <c r="H1678" s="3"/>
    </row>
    <row r="1679" customFormat="false" ht="15" hidden="false" customHeight="true" outlineLevel="0" collapsed="false">
      <c r="A1679" s="16"/>
      <c r="B1679" s="16"/>
      <c r="C1679" s="15"/>
      <c r="D1679" s="19"/>
      <c r="E1679" s="20" t="b">
        <f aca="false">AND(A1679&lt;&gt;"",C1679&lt;&gt;"",D1679&lt;&gt;"",C1679&gt;='Read Me'!$B$5)</f>
        <v>0</v>
      </c>
      <c r="F1679" s="23" t="str">
        <f aca="false">IF(E1679,D1679,"")</f>
        <v/>
      </c>
      <c r="G1679" s="21" t="n">
        <f aca="false">IF(E1679,D1679^2,0)</f>
        <v>0</v>
      </c>
      <c r="H1679" s="3"/>
    </row>
    <row r="1680" customFormat="false" ht="15" hidden="false" customHeight="true" outlineLevel="0" collapsed="false">
      <c r="A1680" s="16"/>
      <c r="B1680" s="16"/>
      <c r="C1680" s="15"/>
      <c r="D1680" s="19"/>
      <c r="E1680" s="20" t="b">
        <f aca="false">AND(A1680&lt;&gt;"",C1680&lt;&gt;"",D1680&lt;&gt;"",C1680&gt;='Read Me'!$B$5)</f>
        <v>0</v>
      </c>
      <c r="F1680" s="23" t="str">
        <f aca="false">IF(E1680,D1680,"")</f>
        <v/>
      </c>
      <c r="G1680" s="21" t="n">
        <f aca="false">IF(E1680,D1680^2,0)</f>
        <v>0</v>
      </c>
      <c r="H1680" s="3"/>
    </row>
    <row r="1681" customFormat="false" ht="15" hidden="false" customHeight="true" outlineLevel="0" collapsed="false">
      <c r="A1681" s="16"/>
      <c r="B1681" s="16"/>
      <c r="C1681" s="15"/>
      <c r="D1681" s="19"/>
      <c r="E1681" s="20" t="b">
        <f aca="false">AND(A1681&lt;&gt;"",C1681&lt;&gt;"",D1681&lt;&gt;"",C1681&gt;='Read Me'!$B$5)</f>
        <v>0</v>
      </c>
      <c r="F1681" s="23" t="str">
        <f aca="false">IF(E1681,D1681,"")</f>
        <v/>
      </c>
      <c r="G1681" s="21" t="n">
        <f aca="false">IF(E1681,D1681^2,0)</f>
        <v>0</v>
      </c>
      <c r="H1681" s="3"/>
    </row>
    <row r="1682" customFormat="false" ht="15" hidden="false" customHeight="true" outlineLevel="0" collapsed="false">
      <c r="A1682" s="16"/>
      <c r="B1682" s="16"/>
      <c r="C1682" s="15"/>
      <c r="D1682" s="19"/>
      <c r="E1682" s="20" t="b">
        <f aca="false">AND(A1682&lt;&gt;"",C1682&lt;&gt;"",D1682&lt;&gt;"",C1682&gt;='Read Me'!$B$5)</f>
        <v>0</v>
      </c>
      <c r="F1682" s="23" t="str">
        <f aca="false">IF(E1682,D1682,"")</f>
        <v/>
      </c>
      <c r="G1682" s="21" t="n">
        <f aca="false">IF(E1682,D1682^2,0)</f>
        <v>0</v>
      </c>
      <c r="H1682" s="3"/>
    </row>
    <row r="1683" customFormat="false" ht="15" hidden="false" customHeight="true" outlineLevel="0" collapsed="false">
      <c r="A1683" s="16"/>
      <c r="B1683" s="16"/>
      <c r="C1683" s="15"/>
      <c r="D1683" s="19"/>
      <c r="E1683" s="20" t="b">
        <f aca="false">AND(A1683&lt;&gt;"",C1683&lt;&gt;"",D1683&lt;&gt;"",C1683&gt;='Read Me'!$B$5)</f>
        <v>0</v>
      </c>
      <c r="F1683" s="23" t="str">
        <f aca="false">IF(E1683,D1683,"")</f>
        <v/>
      </c>
      <c r="G1683" s="21" t="n">
        <f aca="false">IF(E1683,D1683^2,0)</f>
        <v>0</v>
      </c>
      <c r="H1683" s="3"/>
    </row>
    <row r="1684" customFormat="false" ht="15" hidden="false" customHeight="true" outlineLevel="0" collapsed="false">
      <c r="A1684" s="16"/>
      <c r="B1684" s="16"/>
      <c r="C1684" s="15"/>
      <c r="D1684" s="19"/>
      <c r="E1684" s="20" t="b">
        <f aca="false">AND(A1684&lt;&gt;"",C1684&lt;&gt;"",D1684&lt;&gt;"",C1684&gt;='Read Me'!$B$5)</f>
        <v>0</v>
      </c>
      <c r="F1684" s="23" t="str">
        <f aca="false">IF(E1684,D1684,"")</f>
        <v/>
      </c>
      <c r="G1684" s="21" t="n">
        <f aca="false">IF(E1684,D1684^2,0)</f>
        <v>0</v>
      </c>
      <c r="H1684" s="3"/>
    </row>
    <row r="1685" customFormat="false" ht="15" hidden="false" customHeight="true" outlineLevel="0" collapsed="false">
      <c r="A1685" s="16"/>
      <c r="B1685" s="16"/>
      <c r="C1685" s="15"/>
      <c r="D1685" s="19"/>
      <c r="E1685" s="20" t="b">
        <f aca="false">AND(A1685&lt;&gt;"",C1685&lt;&gt;"",D1685&lt;&gt;"",C1685&gt;='Read Me'!$B$5)</f>
        <v>0</v>
      </c>
      <c r="F1685" s="23" t="str">
        <f aca="false">IF(E1685,D1685,"")</f>
        <v/>
      </c>
      <c r="G1685" s="21" t="n">
        <f aca="false">IF(E1685,D1685^2,0)</f>
        <v>0</v>
      </c>
      <c r="H1685" s="3"/>
    </row>
    <row r="1686" customFormat="false" ht="15" hidden="false" customHeight="true" outlineLevel="0" collapsed="false">
      <c r="A1686" s="16"/>
      <c r="B1686" s="16"/>
      <c r="C1686" s="15"/>
      <c r="D1686" s="19"/>
      <c r="E1686" s="20" t="b">
        <f aca="false">AND(A1686&lt;&gt;"",C1686&lt;&gt;"",D1686&lt;&gt;"",C1686&gt;='Read Me'!$B$5)</f>
        <v>0</v>
      </c>
      <c r="F1686" s="23" t="str">
        <f aca="false">IF(E1686,D1686,"")</f>
        <v/>
      </c>
      <c r="G1686" s="21" t="n">
        <f aca="false">IF(E1686,D1686^2,0)</f>
        <v>0</v>
      </c>
      <c r="H1686" s="3"/>
    </row>
    <row r="1687" customFormat="false" ht="15" hidden="false" customHeight="true" outlineLevel="0" collapsed="false">
      <c r="A1687" s="16"/>
      <c r="B1687" s="16"/>
      <c r="C1687" s="15"/>
      <c r="D1687" s="19"/>
      <c r="E1687" s="20" t="b">
        <f aca="false">AND(A1687&lt;&gt;"",C1687&lt;&gt;"",D1687&lt;&gt;"",C1687&gt;='Read Me'!$B$5)</f>
        <v>0</v>
      </c>
      <c r="F1687" s="23" t="str">
        <f aca="false">IF(E1687,D1687,"")</f>
        <v/>
      </c>
      <c r="G1687" s="21" t="n">
        <f aca="false">IF(E1687,D1687^2,0)</f>
        <v>0</v>
      </c>
      <c r="H1687" s="3"/>
    </row>
    <row r="1688" customFormat="false" ht="15" hidden="false" customHeight="true" outlineLevel="0" collapsed="false">
      <c r="A1688" s="16"/>
      <c r="B1688" s="16"/>
      <c r="C1688" s="15"/>
      <c r="D1688" s="19"/>
      <c r="E1688" s="20" t="b">
        <f aca="false">AND(A1688&lt;&gt;"",C1688&lt;&gt;"",D1688&lt;&gt;"",C1688&gt;='Read Me'!$B$5)</f>
        <v>0</v>
      </c>
      <c r="F1688" s="23" t="str">
        <f aca="false">IF(E1688,D1688,"")</f>
        <v/>
      </c>
      <c r="G1688" s="21" t="n">
        <f aca="false">IF(E1688,D1688^2,0)</f>
        <v>0</v>
      </c>
      <c r="H1688" s="3"/>
    </row>
    <row r="1689" customFormat="false" ht="15" hidden="false" customHeight="true" outlineLevel="0" collapsed="false">
      <c r="A1689" s="16"/>
      <c r="B1689" s="16"/>
      <c r="C1689" s="15"/>
      <c r="D1689" s="19"/>
      <c r="E1689" s="20" t="b">
        <f aca="false">AND(A1689&lt;&gt;"",C1689&lt;&gt;"",D1689&lt;&gt;"",C1689&gt;='Read Me'!$B$5)</f>
        <v>0</v>
      </c>
      <c r="F1689" s="23" t="str">
        <f aca="false">IF(E1689,D1689,"")</f>
        <v/>
      </c>
      <c r="G1689" s="21" t="n">
        <f aca="false">IF(E1689,D1689^2,0)</f>
        <v>0</v>
      </c>
      <c r="H1689" s="3"/>
    </row>
    <row r="1690" customFormat="false" ht="15" hidden="false" customHeight="true" outlineLevel="0" collapsed="false">
      <c r="A1690" s="16"/>
      <c r="B1690" s="16"/>
      <c r="C1690" s="15"/>
      <c r="D1690" s="19"/>
      <c r="E1690" s="20" t="b">
        <f aca="false">AND(A1690&lt;&gt;"",C1690&lt;&gt;"",D1690&lt;&gt;"",C1690&gt;='Read Me'!$B$5)</f>
        <v>0</v>
      </c>
      <c r="F1690" s="23" t="str">
        <f aca="false">IF(E1690,D1690,"")</f>
        <v/>
      </c>
      <c r="G1690" s="21" t="n">
        <f aca="false">IF(E1690,D1690^2,0)</f>
        <v>0</v>
      </c>
      <c r="H1690" s="3"/>
    </row>
    <row r="1691" customFormat="false" ht="15" hidden="false" customHeight="true" outlineLevel="0" collapsed="false">
      <c r="A1691" s="16"/>
      <c r="B1691" s="16"/>
      <c r="C1691" s="15"/>
      <c r="D1691" s="19"/>
      <c r="E1691" s="20" t="b">
        <f aca="false">AND(A1691&lt;&gt;"",C1691&lt;&gt;"",D1691&lt;&gt;"",C1691&gt;='Read Me'!$B$5)</f>
        <v>0</v>
      </c>
      <c r="F1691" s="23" t="str">
        <f aca="false">IF(E1691,D1691,"")</f>
        <v/>
      </c>
      <c r="G1691" s="21" t="n">
        <f aca="false">IF(E1691,D1691^2,0)</f>
        <v>0</v>
      </c>
      <c r="H1691" s="3"/>
    </row>
    <row r="1692" customFormat="false" ht="15" hidden="false" customHeight="true" outlineLevel="0" collapsed="false">
      <c r="A1692" s="16"/>
      <c r="B1692" s="16"/>
      <c r="C1692" s="15"/>
      <c r="D1692" s="19"/>
      <c r="E1692" s="20" t="b">
        <f aca="false">AND(A1692&lt;&gt;"",C1692&lt;&gt;"",D1692&lt;&gt;"",C1692&gt;='Read Me'!$B$5)</f>
        <v>0</v>
      </c>
      <c r="F1692" s="23" t="str">
        <f aca="false">IF(E1692,D1692,"")</f>
        <v/>
      </c>
      <c r="G1692" s="21" t="n">
        <f aca="false">IF(E1692,D1692^2,0)</f>
        <v>0</v>
      </c>
      <c r="H1692" s="3"/>
    </row>
    <row r="1693" customFormat="false" ht="15" hidden="false" customHeight="true" outlineLevel="0" collapsed="false">
      <c r="A1693" s="16"/>
      <c r="B1693" s="16"/>
      <c r="C1693" s="15"/>
      <c r="D1693" s="19"/>
      <c r="E1693" s="20" t="b">
        <f aca="false">AND(A1693&lt;&gt;"",C1693&lt;&gt;"",D1693&lt;&gt;"",C1693&gt;='Read Me'!$B$5)</f>
        <v>0</v>
      </c>
      <c r="F1693" s="23" t="str">
        <f aca="false">IF(E1693,D1693,"")</f>
        <v/>
      </c>
      <c r="G1693" s="21" t="n">
        <f aca="false">IF(E1693,D1693^2,0)</f>
        <v>0</v>
      </c>
      <c r="H1693" s="3"/>
    </row>
    <row r="1694" customFormat="false" ht="15" hidden="false" customHeight="true" outlineLevel="0" collapsed="false">
      <c r="A1694" s="16"/>
      <c r="B1694" s="16"/>
      <c r="C1694" s="15"/>
      <c r="D1694" s="19"/>
      <c r="E1694" s="20" t="b">
        <f aca="false">AND(A1694&lt;&gt;"",C1694&lt;&gt;"",D1694&lt;&gt;"",C1694&gt;='Read Me'!$B$5)</f>
        <v>0</v>
      </c>
      <c r="F1694" s="23" t="str">
        <f aca="false">IF(E1694,D1694,"")</f>
        <v/>
      </c>
      <c r="G1694" s="21" t="n">
        <f aca="false">IF(E1694,D1694^2,0)</f>
        <v>0</v>
      </c>
      <c r="H1694" s="3"/>
    </row>
    <row r="1695" customFormat="false" ht="15" hidden="false" customHeight="true" outlineLevel="0" collapsed="false">
      <c r="A1695" s="16"/>
      <c r="B1695" s="16"/>
      <c r="C1695" s="15"/>
      <c r="D1695" s="19"/>
      <c r="E1695" s="20" t="b">
        <f aca="false">AND(A1695&lt;&gt;"",C1695&lt;&gt;"",D1695&lt;&gt;"",C1695&gt;='Read Me'!$B$5)</f>
        <v>0</v>
      </c>
      <c r="F1695" s="23" t="str">
        <f aca="false">IF(E1695,D1695,"")</f>
        <v/>
      </c>
      <c r="G1695" s="21" t="n">
        <f aca="false">IF(E1695,D1695^2,0)</f>
        <v>0</v>
      </c>
      <c r="H1695" s="3"/>
    </row>
    <row r="1696" customFormat="false" ht="15" hidden="false" customHeight="true" outlineLevel="0" collapsed="false">
      <c r="A1696" s="16"/>
      <c r="B1696" s="16"/>
      <c r="C1696" s="15"/>
      <c r="D1696" s="19"/>
      <c r="E1696" s="20" t="b">
        <f aca="false">AND(A1696&lt;&gt;"",C1696&lt;&gt;"",D1696&lt;&gt;"",C1696&gt;='Read Me'!$B$5)</f>
        <v>0</v>
      </c>
      <c r="F1696" s="23" t="str">
        <f aca="false">IF(E1696,D1696,"")</f>
        <v/>
      </c>
      <c r="G1696" s="21" t="n">
        <f aca="false">IF(E1696,D1696^2,0)</f>
        <v>0</v>
      </c>
      <c r="H1696" s="3"/>
    </row>
    <row r="1697" customFormat="false" ht="15" hidden="false" customHeight="true" outlineLevel="0" collapsed="false">
      <c r="A1697" s="16"/>
      <c r="B1697" s="16"/>
      <c r="C1697" s="15"/>
      <c r="D1697" s="19"/>
      <c r="E1697" s="20" t="b">
        <f aca="false">AND(A1697&lt;&gt;"",C1697&lt;&gt;"",D1697&lt;&gt;"",C1697&gt;='Read Me'!$B$5)</f>
        <v>0</v>
      </c>
      <c r="F1697" s="23" t="str">
        <f aca="false">IF(E1697,D1697,"")</f>
        <v/>
      </c>
      <c r="G1697" s="21" t="n">
        <f aca="false">IF(E1697,D1697^2,0)</f>
        <v>0</v>
      </c>
      <c r="H1697" s="3"/>
    </row>
    <row r="1698" customFormat="false" ht="15" hidden="false" customHeight="true" outlineLevel="0" collapsed="false">
      <c r="A1698" s="16"/>
      <c r="B1698" s="16"/>
      <c r="C1698" s="15"/>
      <c r="D1698" s="19"/>
      <c r="E1698" s="20" t="b">
        <f aca="false">AND(A1698&lt;&gt;"",C1698&lt;&gt;"",D1698&lt;&gt;"",C1698&gt;='Read Me'!$B$5)</f>
        <v>0</v>
      </c>
      <c r="F1698" s="23" t="str">
        <f aca="false">IF(E1698,D1698,"")</f>
        <v/>
      </c>
      <c r="G1698" s="21" t="n">
        <f aca="false">IF(E1698,D1698^2,0)</f>
        <v>0</v>
      </c>
      <c r="H1698" s="3"/>
    </row>
    <row r="1699" customFormat="false" ht="15" hidden="false" customHeight="true" outlineLevel="0" collapsed="false">
      <c r="A1699" s="16"/>
      <c r="B1699" s="16"/>
      <c r="C1699" s="15"/>
      <c r="D1699" s="19"/>
      <c r="E1699" s="20" t="b">
        <f aca="false">AND(A1699&lt;&gt;"",C1699&lt;&gt;"",D1699&lt;&gt;"",C1699&gt;='Read Me'!$B$5)</f>
        <v>0</v>
      </c>
      <c r="F1699" s="23" t="str">
        <f aca="false">IF(E1699,D1699,"")</f>
        <v/>
      </c>
      <c r="G1699" s="21" t="n">
        <f aca="false">IF(E1699,D1699^2,0)</f>
        <v>0</v>
      </c>
      <c r="H1699" s="3"/>
    </row>
    <row r="1700" customFormat="false" ht="15" hidden="false" customHeight="true" outlineLevel="0" collapsed="false">
      <c r="A1700" s="16"/>
      <c r="B1700" s="16"/>
      <c r="C1700" s="15"/>
      <c r="D1700" s="19"/>
      <c r="E1700" s="20" t="b">
        <f aca="false">AND(A1700&lt;&gt;"",C1700&lt;&gt;"",D1700&lt;&gt;"",C1700&gt;='Read Me'!$B$5)</f>
        <v>0</v>
      </c>
      <c r="F1700" s="23" t="str">
        <f aca="false">IF(E1700,D1700,"")</f>
        <v/>
      </c>
      <c r="G1700" s="21" t="n">
        <f aca="false">IF(E1700,D1700^2,0)</f>
        <v>0</v>
      </c>
      <c r="H1700" s="3"/>
    </row>
    <row r="1701" customFormat="false" ht="15" hidden="false" customHeight="true" outlineLevel="0" collapsed="false">
      <c r="A1701" s="16"/>
      <c r="B1701" s="16"/>
      <c r="C1701" s="15"/>
      <c r="D1701" s="19"/>
      <c r="E1701" s="20" t="b">
        <f aca="false">AND(A1701&lt;&gt;"",C1701&lt;&gt;"",D1701&lt;&gt;"",C1701&gt;='Read Me'!$B$5)</f>
        <v>0</v>
      </c>
      <c r="F1701" s="23" t="str">
        <f aca="false">IF(E1701,D1701,"")</f>
        <v/>
      </c>
      <c r="G1701" s="21" t="n">
        <f aca="false">IF(E1701,D1701^2,0)</f>
        <v>0</v>
      </c>
      <c r="H1701" s="3"/>
    </row>
    <row r="1702" customFormat="false" ht="15" hidden="false" customHeight="true" outlineLevel="0" collapsed="false">
      <c r="A1702" s="16"/>
      <c r="B1702" s="16"/>
      <c r="C1702" s="15"/>
      <c r="D1702" s="19"/>
      <c r="E1702" s="20" t="b">
        <f aca="false">AND(A1702&lt;&gt;"",C1702&lt;&gt;"",D1702&lt;&gt;"",C1702&gt;='Read Me'!$B$5)</f>
        <v>0</v>
      </c>
      <c r="F1702" s="23" t="str">
        <f aca="false">IF(E1702,D1702,"")</f>
        <v/>
      </c>
      <c r="G1702" s="21" t="n">
        <f aca="false">IF(E1702,D1702^2,0)</f>
        <v>0</v>
      </c>
      <c r="H1702" s="3"/>
    </row>
    <row r="1703" customFormat="false" ht="15" hidden="false" customHeight="true" outlineLevel="0" collapsed="false">
      <c r="A1703" s="16"/>
      <c r="B1703" s="16"/>
      <c r="C1703" s="15"/>
      <c r="D1703" s="19"/>
      <c r="E1703" s="20" t="b">
        <f aca="false">AND(A1703&lt;&gt;"",C1703&lt;&gt;"",D1703&lt;&gt;"",C1703&gt;='Read Me'!$B$5)</f>
        <v>0</v>
      </c>
      <c r="F1703" s="23" t="str">
        <f aca="false">IF(E1703,D1703,"")</f>
        <v/>
      </c>
      <c r="G1703" s="21" t="n">
        <f aca="false">IF(E1703,D1703^2,0)</f>
        <v>0</v>
      </c>
      <c r="H1703" s="3"/>
    </row>
    <row r="1704" customFormat="false" ht="15" hidden="false" customHeight="true" outlineLevel="0" collapsed="false">
      <c r="A1704" s="16"/>
      <c r="B1704" s="16"/>
      <c r="C1704" s="15"/>
      <c r="D1704" s="19"/>
      <c r="E1704" s="20" t="b">
        <f aca="false">AND(A1704&lt;&gt;"",C1704&lt;&gt;"",D1704&lt;&gt;"",C1704&gt;='Read Me'!$B$5)</f>
        <v>0</v>
      </c>
      <c r="F1704" s="23" t="str">
        <f aca="false">IF(E1704,D1704,"")</f>
        <v/>
      </c>
      <c r="G1704" s="21" t="n">
        <f aca="false">IF(E1704,D1704^2,0)</f>
        <v>0</v>
      </c>
      <c r="H1704" s="3"/>
    </row>
    <row r="1705" customFormat="false" ht="15" hidden="false" customHeight="true" outlineLevel="0" collapsed="false">
      <c r="A1705" s="16"/>
      <c r="B1705" s="16"/>
      <c r="C1705" s="15"/>
      <c r="D1705" s="19"/>
      <c r="E1705" s="20" t="b">
        <f aca="false">AND(A1705&lt;&gt;"",C1705&lt;&gt;"",D1705&lt;&gt;"",C1705&gt;='Read Me'!$B$5)</f>
        <v>0</v>
      </c>
      <c r="F1705" s="23" t="str">
        <f aca="false">IF(E1705,D1705,"")</f>
        <v/>
      </c>
      <c r="G1705" s="21" t="n">
        <f aca="false">IF(E1705,D1705^2,0)</f>
        <v>0</v>
      </c>
      <c r="H1705" s="3"/>
    </row>
    <row r="1706" customFormat="false" ht="15" hidden="false" customHeight="true" outlineLevel="0" collapsed="false">
      <c r="A1706" s="16"/>
      <c r="B1706" s="16"/>
      <c r="C1706" s="15"/>
      <c r="D1706" s="19"/>
      <c r="E1706" s="20" t="b">
        <f aca="false">AND(A1706&lt;&gt;"",C1706&lt;&gt;"",D1706&lt;&gt;"",C1706&gt;='Read Me'!$B$5)</f>
        <v>0</v>
      </c>
      <c r="F1706" s="23" t="str">
        <f aca="false">IF(E1706,D1706,"")</f>
        <v/>
      </c>
      <c r="G1706" s="21" t="n">
        <f aca="false">IF(E1706,D1706^2,0)</f>
        <v>0</v>
      </c>
      <c r="H1706" s="3"/>
    </row>
    <row r="1707" customFormat="false" ht="15" hidden="false" customHeight="true" outlineLevel="0" collapsed="false">
      <c r="A1707" s="16"/>
      <c r="B1707" s="16"/>
      <c r="C1707" s="15"/>
      <c r="D1707" s="19"/>
      <c r="E1707" s="20" t="b">
        <f aca="false">AND(A1707&lt;&gt;"",C1707&lt;&gt;"",D1707&lt;&gt;"",C1707&gt;='Read Me'!$B$5)</f>
        <v>0</v>
      </c>
      <c r="F1707" s="23" t="str">
        <f aca="false">IF(E1707,D1707,"")</f>
        <v/>
      </c>
      <c r="G1707" s="21" t="n">
        <f aca="false">IF(E1707,D1707^2,0)</f>
        <v>0</v>
      </c>
      <c r="H1707" s="3"/>
    </row>
    <row r="1708" customFormat="false" ht="15" hidden="false" customHeight="true" outlineLevel="0" collapsed="false">
      <c r="A1708" s="16"/>
      <c r="B1708" s="16"/>
      <c r="C1708" s="15"/>
      <c r="D1708" s="19"/>
      <c r="E1708" s="20" t="b">
        <f aca="false">AND(A1708&lt;&gt;"",C1708&lt;&gt;"",D1708&lt;&gt;"",C1708&gt;='Read Me'!$B$5)</f>
        <v>0</v>
      </c>
      <c r="F1708" s="23" t="str">
        <f aca="false">IF(E1708,D1708,"")</f>
        <v/>
      </c>
      <c r="G1708" s="21" t="n">
        <f aca="false">IF(E1708,D1708^2,0)</f>
        <v>0</v>
      </c>
      <c r="H1708" s="3"/>
    </row>
    <row r="1709" customFormat="false" ht="15" hidden="false" customHeight="true" outlineLevel="0" collapsed="false">
      <c r="A1709" s="16"/>
      <c r="B1709" s="16"/>
      <c r="C1709" s="15"/>
      <c r="D1709" s="19"/>
      <c r="E1709" s="20" t="b">
        <f aca="false">AND(A1709&lt;&gt;"",C1709&lt;&gt;"",D1709&lt;&gt;"",C1709&gt;='Read Me'!$B$5)</f>
        <v>0</v>
      </c>
      <c r="F1709" s="23" t="str">
        <f aca="false">IF(E1709,D1709,"")</f>
        <v/>
      </c>
      <c r="G1709" s="21" t="n">
        <f aca="false">IF(E1709,D1709^2,0)</f>
        <v>0</v>
      </c>
      <c r="H1709" s="3"/>
    </row>
    <row r="1710" customFormat="false" ht="15" hidden="false" customHeight="true" outlineLevel="0" collapsed="false">
      <c r="A1710" s="16"/>
      <c r="B1710" s="16"/>
      <c r="C1710" s="15"/>
      <c r="D1710" s="19"/>
      <c r="E1710" s="20" t="b">
        <f aca="false">AND(A1710&lt;&gt;"",C1710&lt;&gt;"",D1710&lt;&gt;"",C1710&gt;='Read Me'!$B$5)</f>
        <v>0</v>
      </c>
      <c r="F1710" s="23" t="str">
        <f aca="false">IF(E1710,D1710,"")</f>
        <v/>
      </c>
      <c r="G1710" s="21" t="n">
        <f aca="false">IF(E1710,D1710^2,0)</f>
        <v>0</v>
      </c>
      <c r="H1710" s="3"/>
    </row>
    <row r="1711" customFormat="false" ht="15" hidden="false" customHeight="true" outlineLevel="0" collapsed="false">
      <c r="A1711" s="16"/>
      <c r="B1711" s="16"/>
      <c r="C1711" s="15"/>
      <c r="D1711" s="19"/>
      <c r="E1711" s="20" t="b">
        <f aca="false">AND(A1711&lt;&gt;"",C1711&lt;&gt;"",D1711&lt;&gt;"",C1711&gt;='Read Me'!$B$5)</f>
        <v>0</v>
      </c>
      <c r="F1711" s="23" t="str">
        <f aca="false">IF(E1711,D1711,"")</f>
        <v/>
      </c>
      <c r="G1711" s="21" t="n">
        <f aca="false">IF(E1711,D1711^2,0)</f>
        <v>0</v>
      </c>
      <c r="H1711" s="3"/>
    </row>
    <row r="1712" customFormat="false" ht="15" hidden="false" customHeight="true" outlineLevel="0" collapsed="false">
      <c r="A1712" s="16"/>
      <c r="B1712" s="16"/>
      <c r="C1712" s="15"/>
      <c r="D1712" s="19"/>
      <c r="E1712" s="20" t="b">
        <f aca="false">AND(A1712&lt;&gt;"",C1712&lt;&gt;"",D1712&lt;&gt;"",C1712&gt;='Read Me'!$B$5)</f>
        <v>0</v>
      </c>
      <c r="F1712" s="23" t="str">
        <f aca="false">IF(E1712,D1712,"")</f>
        <v/>
      </c>
      <c r="G1712" s="21" t="n">
        <f aca="false">IF(E1712,D1712^2,0)</f>
        <v>0</v>
      </c>
      <c r="H1712" s="3"/>
    </row>
    <row r="1713" customFormat="false" ht="15" hidden="false" customHeight="true" outlineLevel="0" collapsed="false">
      <c r="A1713" s="16"/>
      <c r="B1713" s="16"/>
      <c r="C1713" s="15"/>
      <c r="D1713" s="19"/>
      <c r="E1713" s="20" t="b">
        <f aca="false">AND(A1713&lt;&gt;"",C1713&lt;&gt;"",D1713&lt;&gt;"",C1713&gt;='Read Me'!$B$5)</f>
        <v>0</v>
      </c>
      <c r="F1713" s="23" t="str">
        <f aca="false">IF(E1713,D1713,"")</f>
        <v/>
      </c>
      <c r="G1713" s="21" t="n">
        <f aca="false">IF(E1713,D1713^2,0)</f>
        <v>0</v>
      </c>
      <c r="H1713" s="3"/>
    </row>
    <row r="1714" customFormat="false" ht="15" hidden="false" customHeight="true" outlineLevel="0" collapsed="false">
      <c r="A1714" s="16"/>
      <c r="B1714" s="16"/>
      <c r="C1714" s="15"/>
      <c r="D1714" s="19"/>
      <c r="E1714" s="20" t="b">
        <f aca="false">AND(A1714&lt;&gt;"",C1714&lt;&gt;"",D1714&lt;&gt;"",C1714&gt;='Read Me'!$B$5)</f>
        <v>0</v>
      </c>
      <c r="F1714" s="23" t="str">
        <f aca="false">IF(E1714,D1714,"")</f>
        <v/>
      </c>
      <c r="G1714" s="21" t="n">
        <f aca="false">IF(E1714,D1714^2,0)</f>
        <v>0</v>
      </c>
      <c r="H1714" s="3"/>
    </row>
    <row r="1715" customFormat="false" ht="15" hidden="false" customHeight="true" outlineLevel="0" collapsed="false">
      <c r="A1715" s="16"/>
      <c r="B1715" s="16"/>
      <c r="C1715" s="15"/>
      <c r="D1715" s="19"/>
      <c r="E1715" s="20" t="b">
        <f aca="false">AND(A1715&lt;&gt;"",C1715&lt;&gt;"",D1715&lt;&gt;"",C1715&gt;='Read Me'!$B$5)</f>
        <v>0</v>
      </c>
      <c r="F1715" s="23" t="str">
        <f aca="false">IF(E1715,D1715,"")</f>
        <v/>
      </c>
      <c r="G1715" s="21" t="n">
        <f aca="false">IF(E1715,D1715^2,0)</f>
        <v>0</v>
      </c>
      <c r="H1715" s="3"/>
    </row>
    <row r="1716" customFormat="false" ht="15" hidden="false" customHeight="true" outlineLevel="0" collapsed="false">
      <c r="A1716" s="16"/>
      <c r="B1716" s="16"/>
      <c r="C1716" s="15"/>
      <c r="D1716" s="19"/>
      <c r="E1716" s="20" t="b">
        <f aca="false">AND(A1716&lt;&gt;"",C1716&lt;&gt;"",D1716&lt;&gt;"",C1716&gt;='Read Me'!$B$5)</f>
        <v>0</v>
      </c>
      <c r="F1716" s="23" t="str">
        <f aca="false">IF(E1716,D1716,"")</f>
        <v/>
      </c>
      <c r="G1716" s="21" t="n">
        <f aca="false">IF(E1716,D1716^2,0)</f>
        <v>0</v>
      </c>
      <c r="H1716" s="3"/>
    </row>
    <row r="1717" customFormat="false" ht="15" hidden="false" customHeight="true" outlineLevel="0" collapsed="false">
      <c r="A1717" s="16"/>
      <c r="B1717" s="16"/>
      <c r="C1717" s="15"/>
      <c r="D1717" s="19"/>
      <c r="E1717" s="20" t="b">
        <f aca="false">AND(A1717&lt;&gt;"",C1717&lt;&gt;"",D1717&lt;&gt;"",C1717&gt;='Read Me'!$B$5)</f>
        <v>0</v>
      </c>
      <c r="F1717" s="23" t="str">
        <f aca="false">IF(E1717,D1717,"")</f>
        <v/>
      </c>
      <c r="G1717" s="21" t="n">
        <f aca="false">IF(E1717,D1717^2,0)</f>
        <v>0</v>
      </c>
      <c r="H1717" s="3"/>
    </row>
    <row r="1718" customFormat="false" ht="15" hidden="false" customHeight="true" outlineLevel="0" collapsed="false">
      <c r="A1718" s="16"/>
      <c r="B1718" s="16"/>
      <c r="C1718" s="15"/>
      <c r="D1718" s="19"/>
      <c r="E1718" s="20" t="b">
        <f aca="false">AND(A1718&lt;&gt;"",C1718&lt;&gt;"",D1718&lt;&gt;"",C1718&gt;='Read Me'!$B$5)</f>
        <v>0</v>
      </c>
      <c r="F1718" s="23" t="str">
        <f aca="false">IF(E1718,D1718,"")</f>
        <v/>
      </c>
      <c r="G1718" s="21" t="n">
        <f aca="false">IF(E1718,D1718^2,0)</f>
        <v>0</v>
      </c>
      <c r="H1718" s="3"/>
    </row>
    <row r="1719" customFormat="false" ht="15" hidden="false" customHeight="true" outlineLevel="0" collapsed="false">
      <c r="A1719" s="16"/>
      <c r="B1719" s="16"/>
      <c r="C1719" s="15"/>
      <c r="D1719" s="19"/>
      <c r="E1719" s="20" t="b">
        <f aca="false">AND(A1719&lt;&gt;"",C1719&lt;&gt;"",D1719&lt;&gt;"",C1719&gt;='Read Me'!$B$5)</f>
        <v>0</v>
      </c>
      <c r="F1719" s="23" t="str">
        <f aca="false">IF(E1719,D1719,"")</f>
        <v/>
      </c>
      <c r="G1719" s="21" t="n">
        <f aca="false">IF(E1719,D1719^2,0)</f>
        <v>0</v>
      </c>
      <c r="H1719" s="3"/>
    </row>
    <row r="1720" customFormat="false" ht="15" hidden="false" customHeight="true" outlineLevel="0" collapsed="false">
      <c r="A1720" s="16"/>
      <c r="B1720" s="16"/>
      <c r="C1720" s="15"/>
      <c r="D1720" s="19"/>
      <c r="E1720" s="20" t="b">
        <f aca="false">AND(A1720&lt;&gt;"",C1720&lt;&gt;"",D1720&lt;&gt;"",C1720&gt;='Read Me'!$B$5)</f>
        <v>0</v>
      </c>
      <c r="F1720" s="23" t="str">
        <f aca="false">IF(E1720,D1720,"")</f>
        <v/>
      </c>
      <c r="G1720" s="21" t="n">
        <f aca="false">IF(E1720,D1720^2,0)</f>
        <v>0</v>
      </c>
      <c r="H1720" s="3"/>
    </row>
    <row r="1721" customFormat="false" ht="15" hidden="false" customHeight="true" outlineLevel="0" collapsed="false">
      <c r="A1721" s="16"/>
      <c r="B1721" s="16"/>
      <c r="C1721" s="15"/>
      <c r="D1721" s="19"/>
      <c r="E1721" s="20" t="b">
        <f aca="false">AND(A1721&lt;&gt;"",C1721&lt;&gt;"",D1721&lt;&gt;"",C1721&gt;='Read Me'!$B$5)</f>
        <v>0</v>
      </c>
      <c r="F1721" s="23" t="str">
        <f aca="false">IF(E1721,D1721,"")</f>
        <v/>
      </c>
      <c r="G1721" s="21" t="n">
        <f aca="false">IF(E1721,D1721^2,0)</f>
        <v>0</v>
      </c>
      <c r="H1721" s="3"/>
    </row>
    <row r="1722" customFormat="false" ht="15" hidden="false" customHeight="true" outlineLevel="0" collapsed="false">
      <c r="A1722" s="16"/>
      <c r="B1722" s="16"/>
      <c r="C1722" s="15"/>
      <c r="D1722" s="19"/>
      <c r="E1722" s="20" t="b">
        <f aca="false">AND(A1722&lt;&gt;"",C1722&lt;&gt;"",D1722&lt;&gt;"",C1722&gt;='Read Me'!$B$5)</f>
        <v>0</v>
      </c>
      <c r="F1722" s="23" t="str">
        <f aca="false">IF(E1722,D1722,"")</f>
        <v/>
      </c>
      <c r="G1722" s="21" t="n">
        <f aca="false">IF(E1722,D1722^2,0)</f>
        <v>0</v>
      </c>
      <c r="H1722" s="3"/>
    </row>
    <row r="1723" customFormat="false" ht="15" hidden="false" customHeight="true" outlineLevel="0" collapsed="false">
      <c r="A1723" s="16"/>
      <c r="B1723" s="16"/>
      <c r="C1723" s="15"/>
      <c r="D1723" s="19"/>
      <c r="E1723" s="20" t="b">
        <f aca="false">AND(A1723&lt;&gt;"",C1723&lt;&gt;"",D1723&lt;&gt;"",C1723&gt;='Read Me'!$B$5)</f>
        <v>0</v>
      </c>
      <c r="F1723" s="23" t="str">
        <f aca="false">IF(E1723,D1723,"")</f>
        <v/>
      </c>
      <c r="G1723" s="21" t="n">
        <f aca="false">IF(E1723,D1723^2,0)</f>
        <v>0</v>
      </c>
      <c r="H1723" s="3"/>
    </row>
    <row r="1724" customFormat="false" ht="15" hidden="false" customHeight="true" outlineLevel="0" collapsed="false">
      <c r="A1724" s="16"/>
      <c r="B1724" s="16"/>
      <c r="C1724" s="15"/>
      <c r="D1724" s="19"/>
      <c r="E1724" s="20" t="b">
        <f aca="false">AND(A1724&lt;&gt;"",C1724&lt;&gt;"",D1724&lt;&gt;"",C1724&gt;='Read Me'!$B$5)</f>
        <v>0</v>
      </c>
      <c r="F1724" s="23" t="str">
        <f aca="false">IF(E1724,D1724,"")</f>
        <v/>
      </c>
      <c r="G1724" s="21" t="n">
        <f aca="false">IF(E1724,D1724^2,0)</f>
        <v>0</v>
      </c>
      <c r="H1724" s="3"/>
    </row>
    <row r="1725" customFormat="false" ht="15" hidden="false" customHeight="true" outlineLevel="0" collapsed="false">
      <c r="A1725" s="16"/>
      <c r="B1725" s="16"/>
      <c r="C1725" s="15"/>
      <c r="D1725" s="19"/>
      <c r="E1725" s="20" t="b">
        <f aca="false">AND(A1725&lt;&gt;"",C1725&lt;&gt;"",D1725&lt;&gt;"",C1725&gt;='Read Me'!$B$5)</f>
        <v>0</v>
      </c>
      <c r="F1725" s="23" t="str">
        <f aca="false">IF(E1725,D1725,"")</f>
        <v/>
      </c>
      <c r="G1725" s="21" t="n">
        <f aca="false">IF(E1725,D1725^2,0)</f>
        <v>0</v>
      </c>
      <c r="H1725" s="3"/>
    </row>
    <row r="1726" customFormat="false" ht="15" hidden="false" customHeight="true" outlineLevel="0" collapsed="false">
      <c r="A1726" s="16"/>
      <c r="B1726" s="16"/>
      <c r="C1726" s="15"/>
      <c r="D1726" s="19"/>
      <c r="E1726" s="20" t="b">
        <f aca="false">AND(A1726&lt;&gt;"",C1726&lt;&gt;"",D1726&lt;&gt;"",C1726&gt;='Read Me'!$B$5)</f>
        <v>0</v>
      </c>
      <c r="F1726" s="23" t="str">
        <f aca="false">IF(E1726,D1726,"")</f>
        <v/>
      </c>
      <c r="G1726" s="21" t="n">
        <f aca="false">IF(E1726,D1726^2,0)</f>
        <v>0</v>
      </c>
      <c r="H1726" s="3"/>
    </row>
    <row r="1727" customFormat="false" ht="15" hidden="false" customHeight="true" outlineLevel="0" collapsed="false">
      <c r="A1727" s="16"/>
      <c r="B1727" s="16"/>
      <c r="C1727" s="15"/>
      <c r="D1727" s="19"/>
      <c r="E1727" s="20" t="b">
        <f aca="false">AND(A1727&lt;&gt;"",C1727&lt;&gt;"",D1727&lt;&gt;"",C1727&gt;='Read Me'!$B$5)</f>
        <v>0</v>
      </c>
      <c r="F1727" s="23" t="str">
        <f aca="false">IF(E1727,D1727,"")</f>
        <v/>
      </c>
      <c r="G1727" s="21" t="n">
        <f aca="false">IF(E1727,D1727^2,0)</f>
        <v>0</v>
      </c>
      <c r="H1727" s="3"/>
    </row>
    <row r="1728" customFormat="false" ht="15" hidden="false" customHeight="true" outlineLevel="0" collapsed="false">
      <c r="A1728" s="16"/>
      <c r="B1728" s="16"/>
      <c r="C1728" s="15"/>
      <c r="D1728" s="19"/>
      <c r="E1728" s="20" t="b">
        <f aca="false">AND(A1728&lt;&gt;"",C1728&lt;&gt;"",D1728&lt;&gt;"",C1728&gt;='Read Me'!$B$5)</f>
        <v>0</v>
      </c>
      <c r="F1728" s="23" t="str">
        <f aca="false">IF(E1728,D1728,"")</f>
        <v/>
      </c>
      <c r="G1728" s="21" t="n">
        <f aca="false">IF(E1728,D1728^2,0)</f>
        <v>0</v>
      </c>
      <c r="H1728" s="3"/>
    </row>
    <row r="1729" customFormat="false" ht="15" hidden="false" customHeight="true" outlineLevel="0" collapsed="false">
      <c r="A1729" s="16"/>
      <c r="B1729" s="16"/>
      <c r="C1729" s="15"/>
      <c r="D1729" s="19"/>
      <c r="E1729" s="20" t="b">
        <f aca="false">AND(A1729&lt;&gt;"",C1729&lt;&gt;"",D1729&lt;&gt;"",C1729&gt;='Read Me'!$B$5)</f>
        <v>0</v>
      </c>
      <c r="F1729" s="23" t="str">
        <f aca="false">IF(E1729,D1729,"")</f>
        <v/>
      </c>
      <c r="G1729" s="21" t="n">
        <f aca="false">IF(E1729,D1729^2,0)</f>
        <v>0</v>
      </c>
      <c r="H1729" s="3"/>
    </row>
    <row r="1730" customFormat="false" ht="15" hidden="false" customHeight="true" outlineLevel="0" collapsed="false">
      <c r="A1730" s="16"/>
      <c r="B1730" s="16"/>
      <c r="C1730" s="15"/>
      <c r="D1730" s="19"/>
      <c r="E1730" s="20" t="b">
        <f aca="false">AND(A1730&lt;&gt;"",C1730&lt;&gt;"",D1730&lt;&gt;"",C1730&gt;='Read Me'!$B$5)</f>
        <v>0</v>
      </c>
      <c r="F1730" s="23" t="str">
        <f aca="false">IF(E1730,D1730,"")</f>
        <v/>
      </c>
      <c r="G1730" s="21" t="n">
        <f aca="false">IF(E1730,D1730^2,0)</f>
        <v>0</v>
      </c>
      <c r="H1730" s="3"/>
    </row>
    <row r="1731" customFormat="false" ht="15" hidden="false" customHeight="true" outlineLevel="0" collapsed="false">
      <c r="A1731" s="16"/>
      <c r="B1731" s="16"/>
      <c r="C1731" s="15"/>
      <c r="D1731" s="19"/>
      <c r="E1731" s="20" t="b">
        <f aca="false">AND(A1731&lt;&gt;"",C1731&lt;&gt;"",D1731&lt;&gt;"",C1731&gt;='Read Me'!$B$5)</f>
        <v>0</v>
      </c>
      <c r="F1731" s="23" t="str">
        <f aca="false">IF(E1731,D1731,"")</f>
        <v/>
      </c>
      <c r="G1731" s="21" t="n">
        <f aca="false">IF(E1731,D1731^2,0)</f>
        <v>0</v>
      </c>
      <c r="H1731" s="3"/>
    </row>
    <row r="1732" customFormat="false" ht="15" hidden="false" customHeight="true" outlineLevel="0" collapsed="false">
      <c r="A1732" s="16"/>
      <c r="B1732" s="16"/>
      <c r="C1732" s="15"/>
      <c r="D1732" s="19"/>
      <c r="E1732" s="20" t="b">
        <f aca="false">AND(A1732&lt;&gt;"",C1732&lt;&gt;"",D1732&lt;&gt;"",C1732&gt;='Read Me'!$B$5)</f>
        <v>0</v>
      </c>
      <c r="F1732" s="23" t="str">
        <f aca="false">IF(E1732,D1732,"")</f>
        <v/>
      </c>
      <c r="G1732" s="21" t="n">
        <f aca="false">IF(E1732,D1732^2,0)</f>
        <v>0</v>
      </c>
      <c r="H1732" s="3"/>
    </row>
    <row r="1733" customFormat="false" ht="15" hidden="false" customHeight="true" outlineLevel="0" collapsed="false">
      <c r="A1733" s="16"/>
      <c r="B1733" s="16"/>
      <c r="C1733" s="15"/>
      <c r="D1733" s="19"/>
      <c r="E1733" s="20" t="b">
        <f aca="false">AND(A1733&lt;&gt;"",C1733&lt;&gt;"",D1733&lt;&gt;"",C1733&gt;='Read Me'!$B$5)</f>
        <v>0</v>
      </c>
      <c r="F1733" s="23" t="str">
        <f aca="false">IF(E1733,D1733,"")</f>
        <v/>
      </c>
      <c r="G1733" s="21" t="n">
        <f aca="false">IF(E1733,D1733^2,0)</f>
        <v>0</v>
      </c>
      <c r="H1733" s="3"/>
    </row>
    <row r="1734" customFormat="false" ht="15" hidden="false" customHeight="true" outlineLevel="0" collapsed="false">
      <c r="A1734" s="16"/>
      <c r="B1734" s="16"/>
      <c r="C1734" s="15"/>
      <c r="D1734" s="19"/>
      <c r="E1734" s="20" t="b">
        <f aca="false">AND(A1734&lt;&gt;"",C1734&lt;&gt;"",D1734&lt;&gt;"",C1734&gt;='Read Me'!$B$5)</f>
        <v>0</v>
      </c>
      <c r="F1734" s="23" t="str">
        <f aca="false">IF(E1734,D1734,"")</f>
        <v/>
      </c>
      <c r="G1734" s="21" t="n">
        <f aca="false">IF(E1734,D1734^2,0)</f>
        <v>0</v>
      </c>
      <c r="H1734" s="3"/>
    </row>
    <row r="1735" customFormat="false" ht="15" hidden="false" customHeight="true" outlineLevel="0" collapsed="false">
      <c r="A1735" s="16"/>
      <c r="B1735" s="16"/>
      <c r="C1735" s="15"/>
      <c r="D1735" s="19"/>
      <c r="E1735" s="20" t="b">
        <f aca="false">AND(A1735&lt;&gt;"",C1735&lt;&gt;"",D1735&lt;&gt;"",C1735&gt;='Read Me'!$B$5)</f>
        <v>0</v>
      </c>
      <c r="F1735" s="23" t="str">
        <f aca="false">IF(E1735,D1735,"")</f>
        <v/>
      </c>
      <c r="G1735" s="21" t="n">
        <f aca="false">IF(E1735,D1735^2,0)</f>
        <v>0</v>
      </c>
      <c r="H1735" s="3"/>
    </row>
    <row r="1736" customFormat="false" ht="15" hidden="false" customHeight="true" outlineLevel="0" collapsed="false">
      <c r="A1736" s="16"/>
      <c r="B1736" s="16"/>
      <c r="C1736" s="15"/>
      <c r="D1736" s="19"/>
      <c r="E1736" s="20" t="b">
        <f aca="false">AND(A1736&lt;&gt;"",C1736&lt;&gt;"",D1736&lt;&gt;"",C1736&gt;='Read Me'!$B$5)</f>
        <v>0</v>
      </c>
      <c r="F1736" s="23" t="str">
        <f aca="false">IF(E1736,D1736,"")</f>
        <v/>
      </c>
      <c r="G1736" s="21" t="n">
        <f aca="false">IF(E1736,D1736^2,0)</f>
        <v>0</v>
      </c>
      <c r="H1736" s="3"/>
    </row>
    <row r="1737" customFormat="false" ht="15" hidden="false" customHeight="true" outlineLevel="0" collapsed="false">
      <c r="A1737" s="16"/>
      <c r="B1737" s="16"/>
      <c r="C1737" s="15"/>
      <c r="D1737" s="19"/>
      <c r="E1737" s="20" t="b">
        <f aca="false">AND(A1737&lt;&gt;"",C1737&lt;&gt;"",D1737&lt;&gt;"",C1737&gt;='Read Me'!$B$5)</f>
        <v>0</v>
      </c>
      <c r="F1737" s="23" t="str">
        <f aca="false">IF(E1737,D1737,"")</f>
        <v/>
      </c>
      <c r="G1737" s="21" t="n">
        <f aca="false">IF(E1737,D1737^2,0)</f>
        <v>0</v>
      </c>
      <c r="H1737" s="3"/>
    </row>
    <row r="1738" customFormat="false" ht="15" hidden="false" customHeight="true" outlineLevel="0" collapsed="false">
      <c r="A1738" s="16"/>
      <c r="B1738" s="16"/>
      <c r="C1738" s="15"/>
      <c r="D1738" s="19"/>
      <c r="E1738" s="20" t="b">
        <f aca="false">AND(A1738&lt;&gt;"",C1738&lt;&gt;"",D1738&lt;&gt;"",C1738&gt;='Read Me'!$B$5)</f>
        <v>0</v>
      </c>
      <c r="F1738" s="23" t="str">
        <f aca="false">IF(E1738,D1738,"")</f>
        <v/>
      </c>
      <c r="G1738" s="21" t="n">
        <f aca="false">IF(E1738,D1738^2,0)</f>
        <v>0</v>
      </c>
      <c r="H1738" s="3"/>
    </row>
    <row r="1739" customFormat="false" ht="15" hidden="false" customHeight="true" outlineLevel="0" collapsed="false">
      <c r="A1739" s="16"/>
      <c r="B1739" s="16"/>
      <c r="C1739" s="15"/>
      <c r="D1739" s="19"/>
      <c r="E1739" s="20" t="b">
        <f aca="false">AND(A1739&lt;&gt;"",C1739&lt;&gt;"",D1739&lt;&gt;"",C1739&gt;='Read Me'!$B$5)</f>
        <v>0</v>
      </c>
      <c r="F1739" s="23" t="str">
        <f aca="false">IF(E1739,D1739,"")</f>
        <v/>
      </c>
      <c r="G1739" s="21" t="n">
        <f aca="false">IF(E1739,D1739^2,0)</f>
        <v>0</v>
      </c>
      <c r="H1739" s="3"/>
    </row>
    <row r="1740" customFormat="false" ht="15" hidden="false" customHeight="true" outlineLevel="0" collapsed="false">
      <c r="A1740" s="16"/>
      <c r="B1740" s="16"/>
      <c r="C1740" s="15"/>
      <c r="D1740" s="19"/>
      <c r="E1740" s="20" t="b">
        <f aca="false">AND(A1740&lt;&gt;"",C1740&lt;&gt;"",D1740&lt;&gt;"",C1740&gt;='Read Me'!$B$5)</f>
        <v>0</v>
      </c>
      <c r="F1740" s="23" t="str">
        <f aca="false">IF(E1740,D1740,"")</f>
        <v/>
      </c>
      <c r="G1740" s="21" t="n">
        <f aca="false">IF(E1740,D1740^2,0)</f>
        <v>0</v>
      </c>
      <c r="H1740" s="3"/>
    </row>
    <row r="1741" customFormat="false" ht="15" hidden="false" customHeight="true" outlineLevel="0" collapsed="false">
      <c r="A1741" s="16"/>
      <c r="B1741" s="16"/>
      <c r="C1741" s="15"/>
      <c r="D1741" s="19"/>
      <c r="E1741" s="20" t="b">
        <f aca="false">AND(A1741&lt;&gt;"",C1741&lt;&gt;"",D1741&lt;&gt;"",C1741&gt;='Read Me'!$B$5)</f>
        <v>0</v>
      </c>
      <c r="F1741" s="23" t="str">
        <f aca="false">IF(E1741,D1741,"")</f>
        <v/>
      </c>
      <c r="G1741" s="21" t="n">
        <f aca="false">IF(E1741,D1741^2,0)</f>
        <v>0</v>
      </c>
      <c r="H1741" s="3"/>
    </row>
    <row r="1742" customFormat="false" ht="15" hidden="false" customHeight="true" outlineLevel="0" collapsed="false">
      <c r="A1742" s="16"/>
      <c r="B1742" s="16"/>
      <c r="C1742" s="15"/>
      <c r="D1742" s="19"/>
      <c r="E1742" s="20" t="b">
        <f aca="false">AND(A1742&lt;&gt;"",C1742&lt;&gt;"",D1742&lt;&gt;"",C1742&gt;='Read Me'!$B$5)</f>
        <v>0</v>
      </c>
      <c r="F1742" s="23" t="str">
        <f aca="false">IF(E1742,D1742,"")</f>
        <v/>
      </c>
      <c r="G1742" s="21" t="n">
        <f aca="false">IF(E1742,D1742^2,0)</f>
        <v>0</v>
      </c>
      <c r="H1742" s="3"/>
    </row>
    <row r="1743" customFormat="false" ht="15" hidden="false" customHeight="true" outlineLevel="0" collapsed="false">
      <c r="A1743" s="16"/>
      <c r="B1743" s="16"/>
      <c r="C1743" s="15"/>
      <c r="D1743" s="19"/>
      <c r="E1743" s="20" t="b">
        <f aca="false">AND(A1743&lt;&gt;"",C1743&lt;&gt;"",D1743&lt;&gt;"",C1743&gt;='Read Me'!$B$5)</f>
        <v>0</v>
      </c>
      <c r="F1743" s="23" t="str">
        <f aca="false">IF(E1743,D1743,"")</f>
        <v/>
      </c>
      <c r="G1743" s="21" t="n">
        <f aca="false">IF(E1743,D1743^2,0)</f>
        <v>0</v>
      </c>
      <c r="H1743" s="3"/>
    </row>
    <row r="1744" customFormat="false" ht="15" hidden="false" customHeight="true" outlineLevel="0" collapsed="false">
      <c r="A1744" s="16"/>
      <c r="B1744" s="16"/>
      <c r="C1744" s="15"/>
      <c r="D1744" s="19"/>
      <c r="E1744" s="20" t="b">
        <f aca="false">AND(A1744&lt;&gt;"",C1744&lt;&gt;"",D1744&lt;&gt;"",C1744&gt;='Read Me'!$B$5)</f>
        <v>0</v>
      </c>
      <c r="F1744" s="23" t="str">
        <f aca="false">IF(E1744,D1744,"")</f>
        <v/>
      </c>
      <c r="G1744" s="21" t="n">
        <f aca="false">IF(E1744,D1744^2,0)</f>
        <v>0</v>
      </c>
      <c r="H1744" s="3"/>
    </row>
    <row r="1745" customFormat="false" ht="15" hidden="false" customHeight="true" outlineLevel="0" collapsed="false">
      <c r="A1745" s="16"/>
      <c r="B1745" s="16"/>
      <c r="C1745" s="15"/>
      <c r="D1745" s="19"/>
      <c r="E1745" s="20" t="b">
        <f aca="false">AND(A1745&lt;&gt;"",C1745&lt;&gt;"",D1745&lt;&gt;"",C1745&gt;='Read Me'!$B$5)</f>
        <v>0</v>
      </c>
      <c r="F1745" s="23" t="str">
        <f aca="false">IF(E1745,D1745,"")</f>
        <v/>
      </c>
      <c r="G1745" s="21" t="n">
        <f aca="false">IF(E1745,D1745^2,0)</f>
        <v>0</v>
      </c>
      <c r="H1745" s="3"/>
    </row>
    <row r="1746" customFormat="false" ht="15" hidden="false" customHeight="true" outlineLevel="0" collapsed="false">
      <c r="A1746" s="16"/>
      <c r="B1746" s="16"/>
      <c r="C1746" s="15"/>
      <c r="D1746" s="19"/>
      <c r="E1746" s="20" t="b">
        <f aca="false">AND(A1746&lt;&gt;"",C1746&lt;&gt;"",D1746&lt;&gt;"",C1746&gt;='Read Me'!$B$5)</f>
        <v>0</v>
      </c>
      <c r="F1746" s="23" t="str">
        <f aca="false">IF(E1746,D1746,"")</f>
        <v/>
      </c>
      <c r="G1746" s="21" t="n">
        <f aca="false">IF(E1746,D1746^2,0)</f>
        <v>0</v>
      </c>
      <c r="H1746" s="3"/>
    </row>
    <row r="1747" customFormat="false" ht="15" hidden="false" customHeight="true" outlineLevel="0" collapsed="false">
      <c r="A1747" s="16"/>
      <c r="B1747" s="16"/>
      <c r="C1747" s="15"/>
      <c r="D1747" s="19"/>
      <c r="E1747" s="20" t="b">
        <f aca="false">AND(A1747&lt;&gt;"",C1747&lt;&gt;"",D1747&lt;&gt;"",C1747&gt;='Read Me'!$B$5)</f>
        <v>0</v>
      </c>
      <c r="F1747" s="23" t="str">
        <f aca="false">IF(E1747,D1747,"")</f>
        <v/>
      </c>
      <c r="G1747" s="21" t="n">
        <f aca="false">IF(E1747,D1747^2,0)</f>
        <v>0</v>
      </c>
      <c r="H1747" s="3"/>
    </row>
    <row r="1748" customFormat="false" ht="15" hidden="false" customHeight="true" outlineLevel="0" collapsed="false">
      <c r="A1748" s="16"/>
      <c r="B1748" s="16"/>
      <c r="C1748" s="15"/>
      <c r="D1748" s="19"/>
      <c r="E1748" s="20" t="b">
        <f aca="false">AND(A1748&lt;&gt;"",C1748&lt;&gt;"",D1748&lt;&gt;"",C1748&gt;='Read Me'!$B$5)</f>
        <v>0</v>
      </c>
      <c r="F1748" s="23" t="str">
        <f aca="false">IF(E1748,D1748,"")</f>
        <v/>
      </c>
      <c r="G1748" s="21" t="n">
        <f aca="false">IF(E1748,D1748^2,0)</f>
        <v>0</v>
      </c>
      <c r="H1748" s="3"/>
    </row>
    <row r="1749" customFormat="false" ht="15" hidden="false" customHeight="true" outlineLevel="0" collapsed="false">
      <c r="A1749" s="16"/>
      <c r="B1749" s="16"/>
      <c r="C1749" s="15"/>
      <c r="D1749" s="19"/>
      <c r="E1749" s="20" t="b">
        <f aca="false">AND(A1749&lt;&gt;"",C1749&lt;&gt;"",D1749&lt;&gt;"",C1749&gt;='Read Me'!$B$5)</f>
        <v>0</v>
      </c>
      <c r="F1749" s="23" t="str">
        <f aca="false">IF(E1749,D1749,"")</f>
        <v/>
      </c>
      <c r="G1749" s="21" t="n">
        <f aca="false">IF(E1749,D1749^2,0)</f>
        <v>0</v>
      </c>
      <c r="H1749" s="3"/>
    </row>
    <row r="1750" customFormat="false" ht="15" hidden="false" customHeight="true" outlineLevel="0" collapsed="false">
      <c r="A1750" s="16"/>
      <c r="B1750" s="16"/>
      <c r="C1750" s="15"/>
      <c r="D1750" s="19"/>
      <c r="E1750" s="20" t="b">
        <f aca="false">AND(A1750&lt;&gt;"",C1750&lt;&gt;"",D1750&lt;&gt;"",C1750&gt;='Read Me'!$B$5)</f>
        <v>0</v>
      </c>
      <c r="F1750" s="23" t="str">
        <f aca="false">IF(E1750,D1750,"")</f>
        <v/>
      </c>
      <c r="G1750" s="21" t="n">
        <f aca="false">IF(E1750,D1750^2,0)</f>
        <v>0</v>
      </c>
      <c r="H1750" s="3"/>
    </row>
    <row r="1751" customFormat="false" ht="15" hidden="false" customHeight="true" outlineLevel="0" collapsed="false">
      <c r="A1751" s="16"/>
      <c r="B1751" s="16"/>
      <c r="C1751" s="15"/>
      <c r="D1751" s="19"/>
      <c r="E1751" s="20" t="b">
        <f aca="false">AND(A1751&lt;&gt;"",C1751&lt;&gt;"",D1751&lt;&gt;"",C1751&gt;='Read Me'!$B$5)</f>
        <v>0</v>
      </c>
      <c r="F1751" s="23" t="str">
        <f aca="false">IF(E1751,D1751,"")</f>
        <v/>
      </c>
      <c r="G1751" s="21" t="n">
        <f aca="false">IF(E1751,D1751^2,0)</f>
        <v>0</v>
      </c>
      <c r="H1751" s="3"/>
    </row>
    <row r="1752" customFormat="false" ht="15" hidden="false" customHeight="true" outlineLevel="0" collapsed="false">
      <c r="A1752" s="16"/>
      <c r="B1752" s="16"/>
      <c r="C1752" s="15"/>
      <c r="D1752" s="19"/>
      <c r="E1752" s="20" t="b">
        <f aca="false">AND(A1752&lt;&gt;"",C1752&lt;&gt;"",D1752&lt;&gt;"",C1752&gt;='Read Me'!$B$5)</f>
        <v>0</v>
      </c>
      <c r="F1752" s="23" t="str">
        <f aca="false">IF(E1752,D1752,"")</f>
        <v/>
      </c>
      <c r="G1752" s="21" t="n">
        <f aca="false">IF(E1752,D1752^2,0)</f>
        <v>0</v>
      </c>
      <c r="H1752" s="3"/>
    </row>
    <row r="1753" customFormat="false" ht="15" hidden="false" customHeight="true" outlineLevel="0" collapsed="false">
      <c r="A1753" s="16"/>
      <c r="B1753" s="16"/>
      <c r="C1753" s="15"/>
      <c r="D1753" s="19"/>
      <c r="E1753" s="20" t="b">
        <f aca="false">AND(A1753&lt;&gt;"",C1753&lt;&gt;"",D1753&lt;&gt;"",C1753&gt;='Read Me'!$B$5)</f>
        <v>0</v>
      </c>
      <c r="F1753" s="23" t="str">
        <f aca="false">IF(E1753,D1753,"")</f>
        <v/>
      </c>
      <c r="G1753" s="21" t="n">
        <f aca="false">IF(E1753,D1753^2,0)</f>
        <v>0</v>
      </c>
      <c r="H1753" s="3"/>
    </row>
    <row r="1754" customFormat="false" ht="15" hidden="false" customHeight="true" outlineLevel="0" collapsed="false">
      <c r="A1754" s="16"/>
      <c r="B1754" s="16"/>
      <c r="C1754" s="15"/>
      <c r="D1754" s="19"/>
      <c r="E1754" s="20" t="b">
        <f aca="false">AND(A1754&lt;&gt;"",C1754&lt;&gt;"",D1754&lt;&gt;"",C1754&gt;='Read Me'!$B$5)</f>
        <v>0</v>
      </c>
      <c r="F1754" s="23" t="str">
        <f aca="false">IF(E1754,D1754,"")</f>
        <v/>
      </c>
      <c r="G1754" s="21" t="n">
        <f aca="false">IF(E1754,D1754^2,0)</f>
        <v>0</v>
      </c>
      <c r="H1754" s="3"/>
    </row>
    <row r="1755" customFormat="false" ht="15" hidden="false" customHeight="true" outlineLevel="0" collapsed="false">
      <c r="A1755" s="16"/>
      <c r="B1755" s="16"/>
      <c r="C1755" s="15"/>
      <c r="D1755" s="19"/>
      <c r="E1755" s="20" t="b">
        <f aca="false">AND(A1755&lt;&gt;"",C1755&lt;&gt;"",D1755&lt;&gt;"",C1755&gt;='Read Me'!$B$5)</f>
        <v>0</v>
      </c>
      <c r="F1755" s="23" t="str">
        <f aca="false">IF(E1755,D1755,"")</f>
        <v/>
      </c>
      <c r="G1755" s="21" t="n">
        <f aca="false">IF(E1755,D1755^2,0)</f>
        <v>0</v>
      </c>
      <c r="H1755" s="3"/>
    </row>
    <row r="1756" customFormat="false" ht="15" hidden="false" customHeight="true" outlineLevel="0" collapsed="false">
      <c r="A1756" s="16"/>
      <c r="B1756" s="16"/>
      <c r="C1756" s="15"/>
      <c r="D1756" s="19"/>
      <c r="E1756" s="20" t="b">
        <f aca="false">AND(A1756&lt;&gt;"",C1756&lt;&gt;"",D1756&lt;&gt;"",C1756&gt;='Read Me'!$B$5)</f>
        <v>0</v>
      </c>
      <c r="F1756" s="23" t="str">
        <f aca="false">IF(E1756,D1756,"")</f>
        <v/>
      </c>
      <c r="G1756" s="21" t="n">
        <f aca="false">IF(E1756,D1756^2,0)</f>
        <v>0</v>
      </c>
      <c r="H1756" s="3"/>
    </row>
    <row r="1757" customFormat="false" ht="15" hidden="false" customHeight="true" outlineLevel="0" collapsed="false">
      <c r="A1757" s="16"/>
      <c r="B1757" s="16"/>
      <c r="C1757" s="15"/>
      <c r="D1757" s="19"/>
      <c r="E1757" s="20" t="b">
        <f aca="false">AND(A1757&lt;&gt;"",C1757&lt;&gt;"",D1757&lt;&gt;"",C1757&gt;='Read Me'!$B$5)</f>
        <v>0</v>
      </c>
      <c r="F1757" s="23" t="str">
        <f aca="false">IF(E1757,D1757,"")</f>
        <v/>
      </c>
      <c r="G1757" s="21" t="n">
        <f aca="false">IF(E1757,D1757^2,0)</f>
        <v>0</v>
      </c>
      <c r="H1757" s="3"/>
    </row>
    <row r="1758" customFormat="false" ht="15" hidden="false" customHeight="true" outlineLevel="0" collapsed="false">
      <c r="A1758" s="16"/>
      <c r="B1758" s="16"/>
      <c r="C1758" s="15"/>
      <c r="D1758" s="19"/>
      <c r="E1758" s="20" t="b">
        <f aca="false">AND(A1758&lt;&gt;"",C1758&lt;&gt;"",D1758&lt;&gt;"",C1758&gt;='Read Me'!$B$5)</f>
        <v>0</v>
      </c>
      <c r="F1758" s="23" t="str">
        <f aca="false">IF(E1758,D1758,"")</f>
        <v/>
      </c>
      <c r="G1758" s="21" t="n">
        <f aca="false">IF(E1758,D1758^2,0)</f>
        <v>0</v>
      </c>
      <c r="H1758" s="3"/>
    </row>
    <row r="1759" customFormat="false" ht="15" hidden="false" customHeight="true" outlineLevel="0" collapsed="false">
      <c r="A1759" s="16"/>
      <c r="B1759" s="16"/>
      <c r="C1759" s="15"/>
      <c r="D1759" s="19"/>
      <c r="E1759" s="20" t="b">
        <f aca="false">AND(A1759&lt;&gt;"",C1759&lt;&gt;"",D1759&lt;&gt;"",C1759&gt;='Read Me'!$B$5)</f>
        <v>0</v>
      </c>
      <c r="F1759" s="23" t="str">
        <f aca="false">IF(E1759,D1759,"")</f>
        <v/>
      </c>
      <c r="G1759" s="21" t="n">
        <f aca="false">IF(E1759,D1759^2,0)</f>
        <v>0</v>
      </c>
      <c r="H1759" s="3"/>
    </row>
    <row r="1760" customFormat="false" ht="15" hidden="false" customHeight="true" outlineLevel="0" collapsed="false">
      <c r="A1760" s="16"/>
      <c r="B1760" s="16"/>
      <c r="C1760" s="15"/>
      <c r="D1760" s="19"/>
      <c r="E1760" s="20" t="b">
        <f aca="false">AND(A1760&lt;&gt;"",C1760&lt;&gt;"",D1760&lt;&gt;"",C1760&gt;='Read Me'!$B$5)</f>
        <v>0</v>
      </c>
      <c r="F1760" s="23" t="str">
        <f aca="false">IF(E1760,D1760,"")</f>
        <v/>
      </c>
      <c r="G1760" s="21" t="n">
        <f aca="false">IF(E1760,D1760^2,0)</f>
        <v>0</v>
      </c>
      <c r="H1760" s="3"/>
    </row>
    <row r="1761" customFormat="false" ht="15" hidden="false" customHeight="true" outlineLevel="0" collapsed="false">
      <c r="A1761" s="16"/>
      <c r="B1761" s="16"/>
      <c r="C1761" s="15"/>
      <c r="D1761" s="19"/>
      <c r="E1761" s="20" t="b">
        <f aca="false">AND(A1761&lt;&gt;"",C1761&lt;&gt;"",D1761&lt;&gt;"",C1761&gt;='Read Me'!$B$5)</f>
        <v>0</v>
      </c>
      <c r="F1761" s="23" t="str">
        <f aca="false">IF(E1761,D1761,"")</f>
        <v/>
      </c>
      <c r="G1761" s="21" t="n">
        <f aca="false">IF(E1761,D1761^2,0)</f>
        <v>0</v>
      </c>
      <c r="H1761" s="3"/>
    </row>
    <row r="1762" customFormat="false" ht="15" hidden="false" customHeight="true" outlineLevel="0" collapsed="false">
      <c r="A1762" s="16"/>
      <c r="B1762" s="16"/>
      <c r="C1762" s="15"/>
      <c r="D1762" s="19"/>
      <c r="E1762" s="20" t="b">
        <f aca="false">AND(A1762&lt;&gt;"",C1762&lt;&gt;"",D1762&lt;&gt;"",C1762&gt;='Read Me'!$B$5)</f>
        <v>0</v>
      </c>
      <c r="F1762" s="23" t="str">
        <f aca="false">IF(E1762,D1762,"")</f>
        <v/>
      </c>
      <c r="G1762" s="21" t="n">
        <f aca="false">IF(E1762,D1762^2,0)</f>
        <v>0</v>
      </c>
      <c r="H1762" s="3"/>
    </row>
    <row r="1763" customFormat="false" ht="15" hidden="false" customHeight="true" outlineLevel="0" collapsed="false">
      <c r="A1763" s="16"/>
      <c r="B1763" s="16"/>
      <c r="C1763" s="15"/>
      <c r="D1763" s="19"/>
      <c r="E1763" s="20" t="b">
        <f aca="false">AND(A1763&lt;&gt;"",C1763&lt;&gt;"",D1763&lt;&gt;"",C1763&gt;='Read Me'!$B$5)</f>
        <v>0</v>
      </c>
      <c r="F1763" s="23" t="str">
        <f aca="false">IF(E1763,D1763,"")</f>
        <v/>
      </c>
      <c r="G1763" s="21" t="n">
        <f aca="false">IF(E1763,D1763^2,0)</f>
        <v>0</v>
      </c>
      <c r="H1763" s="3"/>
    </row>
    <row r="1764" customFormat="false" ht="15" hidden="false" customHeight="true" outlineLevel="0" collapsed="false">
      <c r="A1764" s="16"/>
      <c r="B1764" s="16"/>
      <c r="C1764" s="15"/>
      <c r="D1764" s="19"/>
      <c r="E1764" s="20" t="b">
        <f aca="false">AND(A1764&lt;&gt;"",C1764&lt;&gt;"",D1764&lt;&gt;"",C1764&gt;='Read Me'!$B$5)</f>
        <v>0</v>
      </c>
      <c r="F1764" s="23" t="str">
        <f aca="false">IF(E1764,D1764,"")</f>
        <v/>
      </c>
      <c r="G1764" s="21" t="n">
        <f aca="false">IF(E1764,D1764^2,0)</f>
        <v>0</v>
      </c>
      <c r="H1764" s="3"/>
    </row>
    <row r="1765" customFormat="false" ht="15" hidden="false" customHeight="true" outlineLevel="0" collapsed="false">
      <c r="A1765" s="16"/>
      <c r="B1765" s="16"/>
      <c r="C1765" s="15"/>
      <c r="D1765" s="19"/>
      <c r="E1765" s="20" t="b">
        <f aca="false">AND(A1765&lt;&gt;"",C1765&lt;&gt;"",D1765&lt;&gt;"",C1765&gt;='Read Me'!$B$5)</f>
        <v>0</v>
      </c>
      <c r="F1765" s="23" t="str">
        <f aca="false">IF(E1765,D1765,"")</f>
        <v/>
      </c>
      <c r="G1765" s="21" t="n">
        <f aca="false">IF(E1765,D1765^2,0)</f>
        <v>0</v>
      </c>
      <c r="H1765" s="3"/>
    </row>
    <row r="1766" customFormat="false" ht="15" hidden="false" customHeight="true" outlineLevel="0" collapsed="false">
      <c r="A1766" s="16"/>
      <c r="B1766" s="16"/>
      <c r="C1766" s="15"/>
      <c r="D1766" s="19"/>
      <c r="E1766" s="20" t="b">
        <f aca="false">AND(A1766&lt;&gt;"",C1766&lt;&gt;"",D1766&lt;&gt;"",C1766&gt;='Read Me'!$B$5)</f>
        <v>0</v>
      </c>
      <c r="F1766" s="23" t="str">
        <f aca="false">IF(E1766,D1766,"")</f>
        <v/>
      </c>
      <c r="G1766" s="21" t="n">
        <f aca="false">IF(E1766,D1766^2,0)</f>
        <v>0</v>
      </c>
      <c r="H1766" s="3"/>
    </row>
    <row r="1767" customFormat="false" ht="15" hidden="false" customHeight="true" outlineLevel="0" collapsed="false">
      <c r="A1767" s="16"/>
      <c r="B1767" s="16"/>
      <c r="C1767" s="15"/>
      <c r="D1767" s="19"/>
      <c r="E1767" s="20" t="b">
        <f aca="false">AND(A1767&lt;&gt;"",C1767&lt;&gt;"",D1767&lt;&gt;"",C1767&gt;='Read Me'!$B$5)</f>
        <v>0</v>
      </c>
      <c r="F1767" s="23" t="str">
        <f aca="false">IF(E1767,D1767,"")</f>
        <v/>
      </c>
      <c r="G1767" s="21" t="n">
        <f aca="false">IF(E1767,D1767^2,0)</f>
        <v>0</v>
      </c>
      <c r="H1767" s="3"/>
    </row>
    <row r="1768" customFormat="false" ht="15" hidden="false" customHeight="true" outlineLevel="0" collapsed="false">
      <c r="A1768" s="16"/>
      <c r="B1768" s="16"/>
      <c r="C1768" s="15"/>
      <c r="D1768" s="19"/>
      <c r="E1768" s="20" t="b">
        <f aca="false">AND(A1768&lt;&gt;"",C1768&lt;&gt;"",D1768&lt;&gt;"",C1768&gt;='Read Me'!$B$5)</f>
        <v>0</v>
      </c>
      <c r="F1768" s="23" t="str">
        <f aca="false">IF(E1768,D1768,"")</f>
        <v/>
      </c>
      <c r="G1768" s="21" t="n">
        <f aca="false">IF(E1768,D1768^2,0)</f>
        <v>0</v>
      </c>
      <c r="H1768" s="3"/>
    </row>
    <row r="1769" customFormat="false" ht="15" hidden="false" customHeight="true" outlineLevel="0" collapsed="false">
      <c r="A1769" s="16"/>
      <c r="B1769" s="16"/>
      <c r="C1769" s="15"/>
      <c r="D1769" s="19"/>
      <c r="E1769" s="20" t="b">
        <f aca="false">AND(A1769&lt;&gt;"",C1769&lt;&gt;"",D1769&lt;&gt;"",C1769&gt;='Read Me'!$B$5)</f>
        <v>0</v>
      </c>
      <c r="F1769" s="23" t="str">
        <f aca="false">IF(E1769,D1769,"")</f>
        <v/>
      </c>
      <c r="G1769" s="21" t="n">
        <f aca="false">IF(E1769,D1769^2,0)</f>
        <v>0</v>
      </c>
      <c r="H1769" s="3"/>
    </row>
    <row r="1770" customFormat="false" ht="15" hidden="false" customHeight="true" outlineLevel="0" collapsed="false">
      <c r="A1770" s="16"/>
      <c r="B1770" s="16"/>
      <c r="C1770" s="15"/>
      <c r="D1770" s="19"/>
      <c r="E1770" s="20" t="b">
        <f aca="false">AND(A1770&lt;&gt;"",C1770&lt;&gt;"",D1770&lt;&gt;"",C1770&gt;='Read Me'!$B$5)</f>
        <v>0</v>
      </c>
      <c r="F1770" s="23" t="str">
        <f aca="false">IF(E1770,D1770,"")</f>
        <v/>
      </c>
      <c r="G1770" s="21" t="n">
        <f aca="false">IF(E1770,D1770^2,0)</f>
        <v>0</v>
      </c>
      <c r="H1770" s="3"/>
    </row>
    <row r="1771" customFormat="false" ht="15" hidden="false" customHeight="true" outlineLevel="0" collapsed="false">
      <c r="A1771" s="16"/>
      <c r="B1771" s="16"/>
      <c r="C1771" s="15"/>
      <c r="D1771" s="19"/>
      <c r="E1771" s="20" t="b">
        <f aca="false">AND(A1771&lt;&gt;"",C1771&lt;&gt;"",D1771&lt;&gt;"",C1771&gt;='Read Me'!$B$5)</f>
        <v>0</v>
      </c>
      <c r="F1771" s="23" t="str">
        <f aca="false">IF(E1771,D1771,"")</f>
        <v/>
      </c>
      <c r="G1771" s="21" t="n">
        <f aca="false">IF(E1771,D1771^2,0)</f>
        <v>0</v>
      </c>
      <c r="H1771" s="3"/>
    </row>
    <row r="1772" customFormat="false" ht="15" hidden="false" customHeight="true" outlineLevel="0" collapsed="false">
      <c r="A1772" s="16"/>
      <c r="B1772" s="16"/>
      <c r="C1772" s="15"/>
      <c r="D1772" s="19"/>
      <c r="E1772" s="20" t="b">
        <f aca="false">AND(A1772&lt;&gt;"",C1772&lt;&gt;"",D1772&lt;&gt;"",C1772&gt;='Read Me'!$B$5)</f>
        <v>0</v>
      </c>
      <c r="F1772" s="23" t="str">
        <f aca="false">IF(E1772,D1772,"")</f>
        <v/>
      </c>
      <c r="G1772" s="21" t="n">
        <f aca="false">IF(E1772,D1772^2,0)</f>
        <v>0</v>
      </c>
      <c r="H1772" s="3"/>
    </row>
    <row r="1773" customFormat="false" ht="15" hidden="false" customHeight="true" outlineLevel="0" collapsed="false">
      <c r="A1773" s="16"/>
      <c r="B1773" s="16"/>
      <c r="C1773" s="15"/>
      <c r="D1773" s="19"/>
      <c r="E1773" s="20" t="b">
        <f aca="false">AND(A1773&lt;&gt;"",C1773&lt;&gt;"",D1773&lt;&gt;"",C1773&gt;='Read Me'!$B$5)</f>
        <v>0</v>
      </c>
      <c r="F1773" s="23" t="str">
        <f aca="false">IF(E1773,D1773,"")</f>
        <v/>
      </c>
      <c r="G1773" s="21" t="n">
        <f aca="false">IF(E1773,D1773^2,0)</f>
        <v>0</v>
      </c>
      <c r="H1773" s="3"/>
    </row>
    <row r="1774" customFormat="false" ht="15" hidden="false" customHeight="true" outlineLevel="0" collapsed="false">
      <c r="A1774" s="16"/>
      <c r="B1774" s="16"/>
      <c r="C1774" s="15"/>
      <c r="D1774" s="19"/>
      <c r="E1774" s="20" t="b">
        <f aca="false">AND(A1774&lt;&gt;"",C1774&lt;&gt;"",D1774&lt;&gt;"",C1774&gt;='Read Me'!$B$5)</f>
        <v>0</v>
      </c>
      <c r="F1774" s="23" t="str">
        <f aca="false">IF(E1774,D1774,"")</f>
        <v/>
      </c>
      <c r="G1774" s="21" t="n">
        <f aca="false">IF(E1774,D1774^2,0)</f>
        <v>0</v>
      </c>
      <c r="H1774" s="3"/>
    </row>
    <row r="1775" customFormat="false" ht="15" hidden="false" customHeight="true" outlineLevel="0" collapsed="false">
      <c r="A1775" s="16"/>
      <c r="B1775" s="16"/>
      <c r="C1775" s="15"/>
      <c r="D1775" s="19"/>
      <c r="E1775" s="20" t="b">
        <f aca="false">AND(A1775&lt;&gt;"",C1775&lt;&gt;"",D1775&lt;&gt;"",C1775&gt;='Read Me'!$B$5)</f>
        <v>0</v>
      </c>
      <c r="F1775" s="23" t="str">
        <f aca="false">IF(E1775,D1775,"")</f>
        <v/>
      </c>
      <c r="G1775" s="21" t="n">
        <f aca="false">IF(E1775,D1775^2,0)</f>
        <v>0</v>
      </c>
      <c r="H1775" s="3"/>
    </row>
    <row r="1776" customFormat="false" ht="15" hidden="false" customHeight="true" outlineLevel="0" collapsed="false">
      <c r="A1776" s="16"/>
      <c r="B1776" s="16"/>
      <c r="C1776" s="15"/>
      <c r="D1776" s="19"/>
      <c r="E1776" s="20" t="b">
        <f aca="false">AND(A1776&lt;&gt;"",C1776&lt;&gt;"",D1776&lt;&gt;"",C1776&gt;='Read Me'!$B$5)</f>
        <v>0</v>
      </c>
      <c r="F1776" s="23" t="str">
        <f aca="false">IF(E1776,D1776,"")</f>
        <v/>
      </c>
      <c r="G1776" s="21" t="n">
        <f aca="false">IF(E1776,D1776^2,0)</f>
        <v>0</v>
      </c>
      <c r="H1776" s="3"/>
    </row>
    <row r="1777" customFormat="false" ht="15" hidden="false" customHeight="true" outlineLevel="0" collapsed="false">
      <c r="A1777" s="16"/>
      <c r="B1777" s="16"/>
      <c r="C1777" s="15"/>
      <c r="D1777" s="19"/>
      <c r="E1777" s="20" t="b">
        <f aca="false">AND(A1777&lt;&gt;"",C1777&lt;&gt;"",D1777&lt;&gt;"",C1777&gt;='Read Me'!$B$5)</f>
        <v>0</v>
      </c>
      <c r="F1777" s="23" t="str">
        <f aca="false">IF(E1777,D1777,"")</f>
        <v/>
      </c>
      <c r="G1777" s="21" t="n">
        <f aca="false">IF(E1777,D1777^2,0)</f>
        <v>0</v>
      </c>
      <c r="H1777" s="3"/>
    </row>
    <row r="1778" customFormat="false" ht="15" hidden="false" customHeight="true" outlineLevel="0" collapsed="false">
      <c r="A1778" s="16"/>
      <c r="B1778" s="16"/>
      <c r="C1778" s="15"/>
      <c r="D1778" s="19"/>
      <c r="E1778" s="20" t="b">
        <f aca="false">AND(A1778&lt;&gt;"",C1778&lt;&gt;"",D1778&lt;&gt;"",C1778&gt;='Read Me'!$B$5)</f>
        <v>0</v>
      </c>
      <c r="F1778" s="23" t="str">
        <f aca="false">IF(E1778,D1778,"")</f>
        <v/>
      </c>
      <c r="G1778" s="21" t="n">
        <f aca="false">IF(E1778,D1778^2,0)</f>
        <v>0</v>
      </c>
      <c r="H1778" s="3"/>
    </row>
    <row r="1779" customFormat="false" ht="15" hidden="false" customHeight="true" outlineLevel="0" collapsed="false">
      <c r="A1779" s="16"/>
      <c r="B1779" s="16"/>
      <c r="C1779" s="15"/>
      <c r="D1779" s="19"/>
      <c r="E1779" s="20" t="b">
        <f aca="false">AND(A1779&lt;&gt;"",C1779&lt;&gt;"",D1779&lt;&gt;"",C1779&gt;='Read Me'!$B$5)</f>
        <v>0</v>
      </c>
      <c r="F1779" s="23" t="str">
        <f aca="false">IF(E1779,D1779,"")</f>
        <v/>
      </c>
      <c r="G1779" s="21" t="n">
        <f aca="false">IF(E1779,D1779^2,0)</f>
        <v>0</v>
      </c>
      <c r="H1779" s="3"/>
    </row>
    <row r="1780" customFormat="false" ht="15" hidden="false" customHeight="true" outlineLevel="0" collapsed="false">
      <c r="A1780" s="16"/>
      <c r="B1780" s="16"/>
      <c r="C1780" s="15"/>
      <c r="D1780" s="19"/>
      <c r="E1780" s="20" t="b">
        <f aca="false">AND(A1780&lt;&gt;"",C1780&lt;&gt;"",D1780&lt;&gt;"",C1780&gt;='Read Me'!$B$5)</f>
        <v>0</v>
      </c>
      <c r="F1780" s="23" t="str">
        <f aca="false">IF(E1780,D1780,"")</f>
        <v/>
      </c>
      <c r="G1780" s="21" t="n">
        <f aca="false">IF(E1780,D1780^2,0)</f>
        <v>0</v>
      </c>
      <c r="H1780" s="3"/>
    </row>
    <row r="1781" customFormat="false" ht="15" hidden="false" customHeight="true" outlineLevel="0" collapsed="false">
      <c r="A1781" s="16"/>
      <c r="B1781" s="16"/>
      <c r="C1781" s="15"/>
      <c r="D1781" s="19"/>
      <c r="E1781" s="20" t="b">
        <f aca="false">AND(A1781&lt;&gt;"",C1781&lt;&gt;"",D1781&lt;&gt;"",C1781&gt;='Read Me'!$B$5)</f>
        <v>0</v>
      </c>
      <c r="F1781" s="23" t="str">
        <f aca="false">IF(E1781,D1781,"")</f>
        <v/>
      </c>
      <c r="G1781" s="21" t="n">
        <f aca="false">IF(E1781,D1781^2,0)</f>
        <v>0</v>
      </c>
      <c r="H1781" s="3"/>
    </row>
    <row r="1782" customFormat="false" ht="15" hidden="false" customHeight="true" outlineLevel="0" collapsed="false">
      <c r="A1782" s="16"/>
      <c r="B1782" s="16"/>
      <c r="C1782" s="15"/>
      <c r="D1782" s="19"/>
      <c r="E1782" s="20" t="b">
        <f aca="false">AND(A1782&lt;&gt;"",C1782&lt;&gt;"",D1782&lt;&gt;"",C1782&gt;='Read Me'!$B$5)</f>
        <v>0</v>
      </c>
      <c r="F1782" s="23" t="str">
        <f aca="false">IF(E1782,D1782,"")</f>
        <v/>
      </c>
      <c r="G1782" s="21" t="n">
        <f aca="false">IF(E1782,D1782^2,0)</f>
        <v>0</v>
      </c>
      <c r="H1782" s="3"/>
    </row>
    <row r="1783" customFormat="false" ht="15" hidden="false" customHeight="true" outlineLevel="0" collapsed="false">
      <c r="A1783" s="16"/>
      <c r="B1783" s="16"/>
      <c r="C1783" s="15"/>
      <c r="D1783" s="19"/>
      <c r="E1783" s="20" t="b">
        <f aca="false">AND(A1783&lt;&gt;"",C1783&lt;&gt;"",D1783&lt;&gt;"",C1783&gt;='Read Me'!$B$5)</f>
        <v>0</v>
      </c>
      <c r="F1783" s="23" t="str">
        <f aca="false">IF(E1783,D1783,"")</f>
        <v/>
      </c>
      <c r="G1783" s="21" t="n">
        <f aca="false">IF(E1783,D1783^2,0)</f>
        <v>0</v>
      </c>
      <c r="H1783" s="3"/>
    </row>
    <row r="1784" customFormat="false" ht="15" hidden="false" customHeight="true" outlineLevel="0" collapsed="false">
      <c r="A1784" s="16"/>
      <c r="B1784" s="16"/>
      <c r="C1784" s="15"/>
      <c r="D1784" s="19"/>
      <c r="E1784" s="20" t="b">
        <f aca="false">AND(A1784&lt;&gt;"",C1784&lt;&gt;"",D1784&lt;&gt;"",C1784&gt;='Read Me'!$B$5)</f>
        <v>0</v>
      </c>
      <c r="F1784" s="23" t="str">
        <f aca="false">IF(E1784,D1784,"")</f>
        <v/>
      </c>
      <c r="G1784" s="21" t="n">
        <f aca="false">IF(E1784,D1784^2,0)</f>
        <v>0</v>
      </c>
      <c r="H1784" s="3"/>
    </row>
    <row r="1785" customFormat="false" ht="15" hidden="false" customHeight="true" outlineLevel="0" collapsed="false">
      <c r="A1785" s="16"/>
      <c r="B1785" s="16"/>
      <c r="C1785" s="15"/>
      <c r="D1785" s="19"/>
      <c r="E1785" s="20" t="b">
        <f aca="false">AND(A1785&lt;&gt;"",C1785&lt;&gt;"",D1785&lt;&gt;"",C1785&gt;='Read Me'!$B$5)</f>
        <v>0</v>
      </c>
      <c r="F1785" s="23" t="str">
        <f aca="false">IF(E1785,D1785,"")</f>
        <v/>
      </c>
      <c r="G1785" s="21" t="n">
        <f aca="false">IF(E1785,D1785^2,0)</f>
        <v>0</v>
      </c>
      <c r="H1785" s="3"/>
    </row>
    <row r="1786" customFormat="false" ht="15" hidden="false" customHeight="true" outlineLevel="0" collapsed="false">
      <c r="A1786" s="16"/>
      <c r="B1786" s="16"/>
      <c r="C1786" s="15"/>
      <c r="D1786" s="19"/>
      <c r="E1786" s="20" t="b">
        <f aca="false">AND(A1786&lt;&gt;"",C1786&lt;&gt;"",D1786&lt;&gt;"",C1786&gt;='Read Me'!$B$5)</f>
        <v>0</v>
      </c>
      <c r="F1786" s="23" t="str">
        <f aca="false">IF(E1786,D1786,"")</f>
        <v/>
      </c>
      <c r="G1786" s="21" t="n">
        <f aca="false">IF(E1786,D1786^2,0)</f>
        <v>0</v>
      </c>
      <c r="H1786" s="3"/>
    </row>
    <row r="1787" customFormat="false" ht="15" hidden="false" customHeight="true" outlineLevel="0" collapsed="false">
      <c r="A1787" s="16"/>
      <c r="B1787" s="16"/>
      <c r="C1787" s="15"/>
      <c r="D1787" s="19"/>
      <c r="E1787" s="20" t="b">
        <f aca="false">AND(A1787&lt;&gt;"",C1787&lt;&gt;"",D1787&lt;&gt;"",C1787&gt;='Read Me'!$B$5)</f>
        <v>0</v>
      </c>
      <c r="F1787" s="23" t="str">
        <f aca="false">IF(E1787,D1787,"")</f>
        <v/>
      </c>
      <c r="G1787" s="21" t="n">
        <f aca="false">IF(E1787,D1787^2,0)</f>
        <v>0</v>
      </c>
      <c r="H1787" s="3"/>
    </row>
    <row r="1788" customFormat="false" ht="15" hidden="false" customHeight="true" outlineLevel="0" collapsed="false">
      <c r="A1788" s="16"/>
      <c r="B1788" s="16"/>
      <c r="C1788" s="15"/>
      <c r="D1788" s="19"/>
      <c r="E1788" s="20" t="b">
        <f aca="false">AND(A1788&lt;&gt;"",C1788&lt;&gt;"",D1788&lt;&gt;"",C1788&gt;='Read Me'!$B$5)</f>
        <v>0</v>
      </c>
      <c r="F1788" s="23" t="str">
        <f aca="false">IF(E1788,D1788,"")</f>
        <v/>
      </c>
      <c r="G1788" s="21" t="n">
        <f aca="false">IF(E1788,D1788^2,0)</f>
        <v>0</v>
      </c>
      <c r="H1788" s="3"/>
    </row>
    <row r="1789" customFormat="false" ht="15" hidden="false" customHeight="true" outlineLevel="0" collapsed="false">
      <c r="A1789" s="16"/>
      <c r="B1789" s="16"/>
      <c r="C1789" s="15"/>
      <c r="D1789" s="19"/>
      <c r="E1789" s="20" t="b">
        <f aca="false">AND(A1789&lt;&gt;"",C1789&lt;&gt;"",D1789&lt;&gt;"",C1789&gt;='Read Me'!$B$5)</f>
        <v>0</v>
      </c>
      <c r="F1789" s="23" t="str">
        <f aca="false">IF(E1789,D1789,"")</f>
        <v/>
      </c>
      <c r="G1789" s="21" t="n">
        <f aca="false">IF(E1789,D1789^2,0)</f>
        <v>0</v>
      </c>
      <c r="H1789" s="3"/>
    </row>
    <row r="1790" customFormat="false" ht="15" hidden="false" customHeight="true" outlineLevel="0" collapsed="false">
      <c r="A1790" s="16"/>
      <c r="B1790" s="16"/>
      <c r="C1790" s="15"/>
      <c r="D1790" s="19"/>
      <c r="E1790" s="20" t="b">
        <f aca="false">AND(A1790&lt;&gt;"",C1790&lt;&gt;"",D1790&lt;&gt;"",C1790&gt;='Read Me'!$B$5)</f>
        <v>0</v>
      </c>
      <c r="F1790" s="23" t="str">
        <f aca="false">IF(E1790,D1790,"")</f>
        <v/>
      </c>
      <c r="G1790" s="21" t="n">
        <f aca="false">IF(E1790,D1790^2,0)</f>
        <v>0</v>
      </c>
      <c r="H1790" s="3"/>
    </row>
    <row r="1791" customFormat="false" ht="15" hidden="false" customHeight="true" outlineLevel="0" collapsed="false">
      <c r="A1791" s="16"/>
      <c r="B1791" s="16"/>
      <c r="C1791" s="15"/>
      <c r="D1791" s="19"/>
      <c r="E1791" s="20" t="b">
        <f aca="false">AND(A1791&lt;&gt;"",C1791&lt;&gt;"",D1791&lt;&gt;"",C1791&gt;='Read Me'!$B$5)</f>
        <v>0</v>
      </c>
      <c r="F1791" s="23" t="str">
        <f aca="false">IF(E1791,D1791,"")</f>
        <v/>
      </c>
      <c r="G1791" s="21" t="n">
        <f aca="false">IF(E1791,D1791^2,0)</f>
        <v>0</v>
      </c>
      <c r="H1791" s="3"/>
    </row>
    <row r="1792" customFormat="false" ht="15" hidden="false" customHeight="true" outlineLevel="0" collapsed="false">
      <c r="A1792" s="16"/>
      <c r="B1792" s="16"/>
      <c r="C1792" s="15"/>
      <c r="D1792" s="19"/>
      <c r="E1792" s="20" t="b">
        <f aca="false">AND(A1792&lt;&gt;"",C1792&lt;&gt;"",D1792&lt;&gt;"",C1792&gt;='Read Me'!$B$5)</f>
        <v>0</v>
      </c>
      <c r="F1792" s="23" t="str">
        <f aca="false">IF(E1792,D1792,"")</f>
        <v/>
      </c>
      <c r="G1792" s="21" t="n">
        <f aca="false">IF(E1792,D1792^2,0)</f>
        <v>0</v>
      </c>
      <c r="H1792" s="3"/>
    </row>
    <row r="1793" customFormat="false" ht="15" hidden="false" customHeight="true" outlineLevel="0" collapsed="false">
      <c r="A1793" s="16"/>
      <c r="B1793" s="16"/>
      <c r="C1793" s="15"/>
      <c r="D1793" s="19"/>
      <c r="E1793" s="20" t="b">
        <f aca="false">AND(A1793&lt;&gt;"",C1793&lt;&gt;"",D1793&lt;&gt;"",C1793&gt;='Read Me'!$B$5)</f>
        <v>0</v>
      </c>
      <c r="F1793" s="23" t="str">
        <f aca="false">IF(E1793,D1793,"")</f>
        <v/>
      </c>
      <c r="G1793" s="21" t="n">
        <f aca="false">IF(E1793,D1793^2,0)</f>
        <v>0</v>
      </c>
      <c r="H1793" s="3"/>
    </row>
    <row r="1794" customFormat="false" ht="15" hidden="false" customHeight="true" outlineLevel="0" collapsed="false">
      <c r="A1794" s="16"/>
      <c r="B1794" s="16"/>
      <c r="C1794" s="15"/>
      <c r="D1794" s="19"/>
      <c r="E1794" s="20" t="b">
        <f aca="false">AND(A1794&lt;&gt;"",C1794&lt;&gt;"",D1794&lt;&gt;"",C1794&gt;='Read Me'!$B$5)</f>
        <v>0</v>
      </c>
      <c r="F1794" s="23" t="str">
        <f aca="false">IF(E1794,D1794,"")</f>
        <v/>
      </c>
      <c r="G1794" s="21" t="n">
        <f aca="false">IF(E1794,D1794^2,0)</f>
        <v>0</v>
      </c>
      <c r="H1794" s="3"/>
    </row>
    <row r="1795" customFormat="false" ht="15" hidden="false" customHeight="true" outlineLevel="0" collapsed="false">
      <c r="A1795" s="16"/>
      <c r="B1795" s="16"/>
      <c r="C1795" s="15"/>
      <c r="D1795" s="19"/>
      <c r="E1795" s="20" t="b">
        <f aca="false">AND(A1795&lt;&gt;"",C1795&lt;&gt;"",D1795&lt;&gt;"",C1795&gt;='Read Me'!$B$5)</f>
        <v>0</v>
      </c>
      <c r="F1795" s="23" t="str">
        <f aca="false">IF(E1795,D1795,"")</f>
        <v/>
      </c>
      <c r="G1795" s="21" t="n">
        <f aca="false">IF(E1795,D1795^2,0)</f>
        <v>0</v>
      </c>
      <c r="H1795" s="3"/>
    </row>
    <row r="1796" customFormat="false" ht="15" hidden="false" customHeight="true" outlineLevel="0" collapsed="false">
      <c r="A1796" s="16"/>
      <c r="B1796" s="16"/>
      <c r="C1796" s="15"/>
      <c r="D1796" s="19"/>
      <c r="E1796" s="20" t="b">
        <f aca="false">AND(A1796&lt;&gt;"",C1796&lt;&gt;"",D1796&lt;&gt;"",C1796&gt;='Read Me'!$B$5)</f>
        <v>0</v>
      </c>
      <c r="F1796" s="23" t="str">
        <f aca="false">IF(E1796,D1796,"")</f>
        <v/>
      </c>
      <c r="G1796" s="21" t="n">
        <f aca="false">IF(E1796,D1796^2,0)</f>
        <v>0</v>
      </c>
      <c r="H1796" s="3"/>
    </row>
    <row r="1797" customFormat="false" ht="15" hidden="false" customHeight="true" outlineLevel="0" collapsed="false">
      <c r="A1797" s="16"/>
      <c r="B1797" s="16"/>
      <c r="C1797" s="15"/>
      <c r="D1797" s="19"/>
      <c r="E1797" s="20" t="b">
        <f aca="false">AND(A1797&lt;&gt;"",C1797&lt;&gt;"",D1797&lt;&gt;"",C1797&gt;='Read Me'!$B$5)</f>
        <v>0</v>
      </c>
      <c r="F1797" s="23" t="str">
        <f aca="false">IF(E1797,D1797,"")</f>
        <v/>
      </c>
      <c r="G1797" s="21" t="n">
        <f aca="false">IF(E1797,D1797^2,0)</f>
        <v>0</v>
      </c>
      <c r="H1797" s="3"/>
    </row>
    <row r="1798" customFormat="false" ht="15" hidden="false" customHeight="true" outlineLevel="0" collapsed="false">
      <c r="A1798" s="16"/>
      <c r="B1798" s="16"/>
      <c r="C1798" s="15"/>
      <c r="D1798" s="19"/>
      <c r="E1798" s="20" t="b">
        <f aca="false">AND(A1798&lt;&gt;"",C1798&lt;&gt;"",D1798&lt;&gt;"",C1798&gt;='Read Me'!$B$5)</f>
        <v>0</v>
      </c>
      <c r="F1798" s="23" t="str">
        <f aca="false">IF(E1798,D1798,"")</f>
        <v/>
      </c>
      <c r="G1798" s="21" t="n">
        <f aca="false">IF(E1798,D1798^2,0)</f>
        <v>0</v>
      </c>
      <c r="H1798" s="3"/>
    </row>
    <row r="1799" customFormat="false" ht="15" hidden="false" customHeight="true" outlineLevel="0" collapsed="false">
      <c r="A1799" s="16"/>
      <c r="B1799" s="16"/>
      <c r="C1799" s="15"/>
      <c r="D1799" s="19"/>
      <c r="E1799" s="20" t="b">
        <f aca="false">AND(A1799&lt;&gt;"",C1799&lt;&gt;"",D1799&lt;&gt;"",C1799&gt;='Read Me'!$B$5)</f>
        <v>0</v>
      </c>
      <c r="F1799" s="23" t="str">
        <f aca="false">IF(E1799,D1799,"")</f>
        <v/>
      </c>
      <c r="G1799" s="21" t="n">
        <f aca="false">IF(E1799,D1799^2,0)</f>
        <v>0</v>
      </c>
      <c r="H1799" s="3"/>
    </row>
    <row r="1800" customFormat="false" ht="15" hidden="false" customHeight="true" outlineLevel="0" collapsed="false">
      <c r="A1800" s="16"/>
      <c r="B1800" s="16"/>
      <c r="C1800" s="15"/>
      <c r="D1800" s="19"/>
      <c r="E1800" s="20" t="b">
        <f aca="false">AND(A1800&lt;&gt;"",C1800&lt;&gt;"",D1800&lt;&gt;"",C1800&gt;='Read Me'!$B$5)</f>
        <v>0</v>
      </c>
      <c r="F1800" s="23" t="str">
        <f aca="false">IF(E1800,D1800,"")</f>
        <v/>
      </c>
      <c r="G1800" s="21" t="n">
        <f aca="false">IF(E1800,D1800^2,0)</f>
        <v>0</v>
      </c>
      <c r="H1800" s="3"/>
    </row>
    <row r="1801" customFormat="false" ht="15" hidden="false" customHeight="true" outlineLevel="0" collapsed="false">
      <c r="A1801" s="16"/>
      <c r="B1801" s="16"/>
      <c r="C1801" s="15"/>
      <c r="D1801" s="19"/>
      <c r="E1801" s="20" t="b">
        <f aca="false">AND(A1801&lt;&gt;"",C1801&lt;&gt;"",D1801&lt;&gt;"",C1801&gt;='Read Me'!$B$5)</f>
        <v>0</v>
      </c>
      <c r="F1801" s="23" t="str">
        <f aca="false">IF(E1801,D1801,"")</f>
        <v/>
      </c>
      <c r="G1801" s="21" t="n">
        <f aca="false">IF(E1801,D1801^2,0)</f>
        <v>0</v>
      </c>
      <c r="H1801" s="3"/>
    </row>
    <row r="1802" customFormat="false" ht="15" hidden="false" customHeight="true" outlineLevel="0" collapsed="false">
      <c r="A1802" s="16"/>
      <c r="B1802" s="16"/>
      <c r="C1802" s="15"/>
      <c r="D1802" s="19"/>
      <c r="E1802" s="20" t="b">
        <f aca="false">AND(A1802&lt;&gt;"",C1802&lt;&gt;"",D1802&lt;&gt;"",C1802&gt;='Read Me'!$B$5)</f>
        <v>0</v>
      </c>
      <c r="F1802" s="23" t="str">
        <f aca="false">IF(E1802,D1802,"")</f>
        <v/>
      </c>
      <c r="G1802" s="21" t="n">
        <f aca="false">IF(E1802,D1802^2,0)</f>
        <v>0</v>
      </c>
      <c r="H1802" s="3"/>
    </row>
    <row r="1803" customFormat="false" ht="15" hidden="false" customHeight="true" outlineLevel="0" collapsed="false">
      <c r="A1803" s="16"/>
      <c r="B1803" s="16"/>
      <c r="C1803" s="15"/>
      <c r="D1803" s="19"/>
      <c r="E1803" s="20" t="b">
        <f aca="false">AND(A1803&lt;&gt;"",C1803&lt;&gt;"",D1803&lt;&gt;"",C1803&gt;='Read Me'!$B$5)</f>
        <v>0</v>
      </c>
      <c r="F1803" s="23" t="str">
        <f aca="false">IF(E1803,D1803,"")</f>
        <v/>
      </c>
      <c r="G1803" s="21" t="n">
        <f aca="false">IF(E1803,D1803^2,0)</f>
        <v>0</v>
      </c>
      <c r="H1803" s="3"/>
    </row>
    <row r="1804" customFormat="false" ht="15" hidden="false" customHeight="true" outlineLevel="0" collapsed="false">
      <c r="A1804" s="16"/>
      <c r="B1804" s="16"/>
      <c r="C1804" s="15"/>
      <c r="D1804" s="19"/>
      <c r="E1804" s="20" t="b">
        <f aca="false">AND(A1804&lt;&gt;"",C1804&lt;&gt;"",D1804&lt;&gt;"",C1804&gt;='Read Me'!$B$5)</f>
        <v>0</v>
      </c>
      <c r="F1804" s="23" t="str">
        <f aca="false">IF(E1804,D1804,"")</f>
        <v/>
      </c>
      <c r="G1804" s="21" t="n">
        <f aca="false">IF(E1804,D1804^2,0)</f>
        <v>0</v>
      </c>
      <c r="H1804" s="3"/>
    </row>
    <row r="1805" customFormat="false" ht="15" hidden="false" customHeight="true" outlineLevel="0" collapsed="false">
      <c r="A1805" s="16"/>
      <c r="B1805" s="16"/>
      <c r="C1805" s="15"/>
      <c r="D1805" s="19"/>
      <c r="E1805" s="20" t="b">
        <f aca="false">AND(A1805&lt;&gt;"",C1805&lt;&gt;"",D1805&lt;&gt;"",C1805&gt;='Read Me'!$B$5)</f>
        <v>0</v>
      </c>
      <c r="F1805" s="23" t="str">
        <f aca="false">IF(E1805,D1805,"")</f>
        <v/>
      </c>
      <c r="G1805" s="21" t="n">
        <f aca="false">IF(E1805,D1805^2,0)</f>
        <v>0</v>
      </c>
      <c r="H1805" s="3"/>
    </row>
    <row r="1806" customFormat="false" ht="15" hidden="false" customHeight="true" outlineLevel="0" collapsed="false">
      <c r="A1806" s="16"/>
      <c r="B1806" s="16"/>
      <c r="C1806" s="15"/>
      <c r="D1806" s="19"/>
      <c r="E1806" s="20" t="b">
        <f aca="false">AND(A1806&lt;&gt;"",C1806&lt;&gt;"",D1806&lt;&gt;"",C1806&gt;='Read Me'!$B$5)</f>
        <v>0</v>
      </c>
      <c r="F1806" s="23" t="str">
        <f aca="false">IF(E1806,D1806,"")</f>
        <v/>
      </c>
      <c r="G1806" s="21" t="n">
        <f aca="false">IF(E1806,D1806^2,0)</f>
        <v>0</v>
      </c>
      <c r="H1806" s="3"/>
    </row>
    <row r="1807" customFormat="false" ht="15" hidden="false" customHeight="true" outlineLevel="0" collapsed="false">
      <c r="A1807" s="16"/>
      <c r="B1807" s="16"/>
      <c r="C1807" s="15"/>
      <c r="D1807" s="19"/>
      <c r="E1807" s="20" t="b">
        <f aca="false">AND(A1807&lt;&gt;"",C1807&lt;&gt;"",D1807&lt;&gt;"",C1807&gt;='Read Me'!$B$5)</f>
        <v>0</v>
      </c>
      <c r="F1807" s="23" t="str">
        <f aca="false">IF(E1807,D1807,"")</f>
        <v/>
      </c>
      <c r="G1807" s="21" t="n">
        <f aca="false">IF(E1807,D1807^2,0)</f>
        <v>0</v>
      </c>
      <c r="H1807" s="3"/>
    </row>
    <row r="1808" customFormat="false" ht="15" hidden="false" customHeight="true" outlineLevel="0" collapsed="false">
      <c r="A1808" s="16"/>
      <c r="B1808" s="16"/>
      <c r="C1808" s="15"/>
      <c r="D1808" s="19"/>
      <c r="E1808" s="20" t="b">
        <f aca="false">AND(A1808&lt;&gt;"",C1808&lt;&gt;"",D1808&lt;&gt;"",C1808&gt;='Read Me'!$B$5)</f>
        <v>0</v>
      </c>
      <c r="F1808" s="23" t="str">
        <f aca="false">IF(E1808,D1808,"")</f>
        <v/>
      </c>
      <c r="G1808" s="21" t="n">
        <f aca="false">IF(E1808,D1808^2,0)</f>
        <v>0</v>
      </c>
      <c r="H1808" s="3"/>
    </row>
    <row r="1809" customFormat="false" ht="15" hidden="false" customHeight="true" outlineLevel="0" collapsed="false">
      <c r="A1809" s="16"/>
      <c r="B1809" s="16"/>
      <c r="C1809" s="15"/>
      <c r="D1809" s="19"/>
      <c r="E1809" s="20" t="b">
        <f aca="false">AND(A1809&lt;&gt;"",C1809&lt;&gt;"",D1809&lt;&gt;"",C1809&gt;='Read Me'!$B$5)</f>
        <v>0</v>
      </c>
      <c r="F1809" s="23" t="str">
        <f aca="false">IF(E1809,D1809,"")</f>
        <v/>
      </c>
      <c r="G1809" s="21" t="n">
        <f aca="false">IF(E1809,D1809^2,0)</f>
        <v>0</v>
      </c>
      <c r="H1809" s="3"/>
    </row>
    <row r="1810" customFormat="false" ht="15" hidden="false" customHeight="true" outlineLevel="0" collapsed="false">
      <c r="A1810" s="16"/>
      <c r="B1810" s="16"/>
      <c r="C1810" s="15"/>
      <c r="D1810" s="19"/>
      <c r="E1810" s="20" t="b">
        <f aca="false">AND(A1810&lt;&gt;"",C1810&lt;&gt;"",D1810&lt;&gt;"",C1810&gt;='Read Me'!$B$5)</f>
        <v>0</v>
      </c>
      <c r="F1810" s="23" t="str">
        <f aca="false">IF(E1810,D1810,"")</f>
        <v/>
      </c>
      <c r="G1810" s="21" t="n">
        <f aca="false">IF(E1810,D1810^2,0)</f>
        <v>0</v>
      </c>
      <c r="H1810" s="3"/>
    </row>
    <row r="1811" customFormat="false" ht="15" hidden="false" customHeight="true" outlineLevel="0" collapsed="false">
      <c r="A1811" s="16"/>
      <c r="B1811" s="16"/>
      <c r="C1811" s="15"/>
      <c r="D1811" s="19"/>
      <c r="E1811" s="20" t="b">
        <f aca="false">AND(A1811&lt;&gt;"",C1811&lt;&gt;"",D1811&lt;&gt;"",C1811&gt;='Read Me'!$B$5)</f>
        <v>0</v>
      </c>
      <c r="F1811" s="23" t="str">
        <f aca="false">IF(E1811,D1811,"")</f>
        <v/>
      </c>
      <c r="G1811" s="21" t="n">
        <f aca="false">IF(E1811,D1811^2,0)</f>
        <v>0</v>
      </c>
      <c r="H1811" s="3"/>
    </row>
    <row r="1812" customFormat="false" ht="15" hidden="false" customHeight="true" outlineLevel="0" collapsed="false">
      <c r="A1812" s="16"/>
      <c r="B1812" s="16"/>
      <c r="C1812" s="15"/>
      <c r="D1812" s="19"/>
      <c r="E1812" s="20" t="b">
        <f aca="false">AND(A1812&lt;&gt;"",C1812&lt;&gt;"",D1812&lt;&gt;"",C1812&gt;='Read Me'!$B$5)</f>
        <v>0</v>
      </c>
      <c r="F1812" s="23" t="str">
        <f aca="false">IF(E1812,D1812,"")</f>
        <v/>
      </c>
      <c r="G1812" s="21" t="n">
        <f aca="false">IF(E1812,D1812^2,0)</f>
        <v>0</v>
      </c>
      <c r="H1812" s="3"/>
    </row>
    <row r="1813" customFormat="false" ht="15" hidden="false" customHeight="true" outlineLevel="0" collapsed="false">
      <c r="A1813" s="16"/>
      <c r="B1813" s="16"/>
      <c r="C1813" s="15"/>
      <c r="D1813" s="19"/>
      <c r="E1813" s="20" t="b">
        <f aca="false">AND(A1813&lt;&gt;"",C1813&lt;&gt;"",D1813&lt;&gt;"",C1813&gt;='Read Me'!$B$5)</f>
        <v>0</v>
      </c>
      <c r="F1813" s="23" t="str">
        <f aca="false">IF(E1813,D1813,"")</f>
        <v/>
      </c>
      <c r="G1813" s="21" t="n">
        <f aca="false">IF(E1813,D1813^2,0)</f>
        <v>0</v>
      </c>
      <c r="H1813" s="3"/>
    </row>
    <row r="1814" customFormat="false" ht="15" hidden="false" customHeight="true" outlineLevel="0" collapsed="false">
      <c r="A1814" s="16"/>
      <c r="B1814" s="16"/>
      <c r="C1814" s="15"/>
      <c r="D1814" s="19"/>
      <c r="E1814" s="20" t="b">
        <f aca="false">AND(A1814&lt;&gt;"",C1814&lt;&gt;"",D1814&lt;&gt;"",C1814&gt;='Read Me'!$B$5)</f>
        <v>0</v>
      </c>
      <c r="F1814" s="23" t="str">
        <f aca="false">IF(E1814,D1814,"")</f>
        <v/>
      </c>
      <c r="G1814" s="21" t="n">
        <f aca="false">IF(E1814,D1814^2,0)</f>
        <v>0</v>
      </c>
      <c r="H1814" s="3"/>
    </row>
    <row r="1815" customFormat="false" ht="15" hidden="false" customHeight="true" outlineLevel="0" collapsed="false">
      <c r="A1815" s="16"/>
      <c r="B1815" s="16"/>
      <c r="C1815" s="15"/>
      <c r="D1815" s="19"/>
      <c r="E1815" s="20" t="b">
        <f aca="false">AND(A1815&lt;&gt;"",C1815&lt;&gt;"",D1815&lt;&gt;"",C1815&gt;='Read Me'!$B$5)</f>
        <v>0</v>
      </c>
      <c r="F1815" s="23" t="str">
        <f aca="false">IF(E1815,D1815,"")</f>
        <v/>
      </c>
      <c r="G1815" s="21" t="n">
        <f aca="false">IF(E1815,D1815^2,0)</f>
        <v>0</v>
      </c>
      <c r="H1815" s="3"/>
    </row>
    <row r="1816" customFormat="false" ht="15" hidden="false" customHeight="true" outlineLevel="0" collapsed="false">
      <c r="A1816" s="16"/>
      <c r="B1816" s="16"/>
      <c r="C1816" s="15"/>
      <c r="D1816" s="19"/>
      <c r="E1816" s="20" t="b">
        <f aca="false">AND(A1816&lt;&gt;"",C1816&lt;&gt;"",D1816&lt;&gt;"",C1816&gt;='Read Me'!$B$5)</f>
        <v>0</v>
      </c>
      <c r="F1816" s="23" t="str">
        <f aca="false">IF(E1816,D1816,"")</f>
        <v/>
      </c>
      <c r="G1816" s="21" t="n">
        <f aca="false">IF(E1816,D1816^2,0)</f>
        <v>0</v>
      </c>
      <c r="H1816" s="3"/>
    </row>
    <row r="1817" customFormat="false" ht="15" hidden="false" customHeight="true" outlineLevel="0" collapsed="false">
      <c r="A1817" s="16"/>
      <c r="B1817" s="16"/>
      <c r="C1817" s="15"/>
      <c r="D1817" s="19"/>
      <c r="E1817" s="20" t="b">
        <f aca="false">AND(A1817&lt;&gt;"",C1817&lt;&gt;"",D1817&lt;&gt;"",C1817&gt;='Read Me'!$B$5)</f>
        <v>0</v>
      </c>
      <c r="F1817" s="23" t="str">
        <f aca="false">IF(E1817,D1817,"")</f>
        <v/>
      </c>
      <c r="G1817" s="21" t="n">
        <f aca="false">IF(E1817,D1817^2,0)</f>
        <v>0</v>
      </c>
      <c r="H1817" s="3"/>
    </row>
    <row r="1818" customFormat="false" ht="15" hidden="false" customHeight="true" outlineLevel="0" collapsed="false">
      <c r="A1818" s="16"/>
      <c r="B1818" s="16"/>
      <c r="C1818" s="15"/>
      <c r="D1818" s="19"/>
      <c r="E1818" s="20" t="b">
        <f aca="false">AND(A1818&lt;&gt;"",C1818&lt;&gt;"",D1818&lt;&gt;"",C1818&gt;='Read Me'!$B$5)</f>
        <v>0</v>
      </c>
      <c r="F1818" s="23" t="str">
        <f aca="false">IF(E1818,D1818,"")</f>
        <v/>
      </c>
      <c r="G1818" s="21" t="n">
        <f aca="false">IF(E1818,D1818^2,0)</f>
        <v>0</v>
      </c>
      <c r="H1818" s="3"/>
    </row>
    <row r="1819" customFormat="false" ht="15" hidden="false" customHeight="true" outlineLevel="0" collapsed="false">
      <c r="A1819" s="16"/>
      <c r="B1819" s="16"/>
      <c r="C1819" s="15"/>
      <c r="D1819" s="19"/>
      <c r="E1819" s="20" t="b">
        <f aca="false">AND(A1819&lt;&gt;"",C1819&lt;&gt;"",D1819&lt;&gt;"",C1819&gt;='Read Me'!$B$5)</f>
        <v>0</v>
      </c>
      <c r="F1819" s="23" t="str">
        <f aca="false">IF(E1819,D1819,"")</f>
        <v/>
      </c>
      <c r="G1819" s="21" t="n">
        <f aca="false">IF(E1819,D1819^2,0)</f>
        <v>0</v>
      </c>
      <c r="H1819" s="3"/>
    </row>
    <row r="1820" customFormat="false" ht="15" hidden="false" customHeight="true" outlineLevel="0" collapsed="false">
      <c r="A1820" s="16"/>
      <c r="B1820" s="16"/>
      <c r="C1820" s="15"/>
      <c r="D1820" s="19"/>
      <c r="E1820" s="20" t="b">
        <f aca="false">AND(A1820&lt;&gt;"",C1820&lt;&gt;"",D1820&lt;&gt;"",C1820&gt;='Read Me'!$B$5)</f>
        <v>0</v>
      </c>
      <c r="F1820" s="23" t="str">
        <f aca="false">IF(E1820,D1820,"")</f>
        <v/>
      </c>
      <c r="G1820" s="21" t="n">
        <f aca="false">IF(E1820,D1820^2,0)</f>
        <v>0</v>
      </c>
      <c r="H1820" s="3"/>
    </row>
    <row r="1821" customFormat="false" ht="15" hidden="false" customHeight="true" outlineLevel="0" collapsed="false">
      <c r="A1821" s="16"/>
      <c r="B1821" s="16"/>
      <c r="C1821" s="15"/>
      <c r="D1821" s="19"/>
      <c r="E1821" s="20" t="b">
        <f aca="false">AND(A1821&lt;&gt;"",C1821&lt;&gt;"",D1821&lt;&gt;"",C1821&gt;='Read Me'!$B$5)</f>
        <v>0</v>
      </c>
      <c r="F1821" s="23" t="str">
        <f aca="false">IF(E1821,D1821,"")</f>
        <v/>
      </c>
      <c r="G1821" s="21" t="n">
        <f aca="false">IF(E1821,D1821^2,0)</f>
        <v>0</v>
      </c>
      <c r="H1821" s="3"/>
    </row>
    <row r="1822" customFormat="false" ht="15" hidden="false" customHeight="true" outlineLevel="0" collapsed="false">
      <c r="A1822" s="16"/>
      <c r="B1822" s="16"/>
      <c r="C1822" s="15"/>
      <c r="D1822" s="19"/>
      <c r="E1822" s="20" t="b">
        <f aca="false">AND(A1822&lt;&gt;"",C1822&lt;&gt;"",D1822&lt;&gt;"",C1822&gt;='Read Me'!$B$5)</f>
        <v>0</v>
      </c>
      <c r="F1822" s="23" t="str">
        <f aca="false">IF(E1822,D1822,"")</f>
        <v/>
      </c>
      <c r="G1822" s="21" t="n">
        <f aca="false">IF(E1822,D1822^2,0)</f>
        <v>0</v>
      </c>
      <c r="H1822" s="3"/>
    </row>
    <row r="1823" customFormat="false" ht="15" hidden="false" customHeight="true" outlineLevel="0" collapsed="false">
      <c r="A1823" s="16"/>
      <c r="B1823" s="16"/>
      <c r="C1823" s="15"/>
      <c r="D1823" s="19"/>
      <c r="E1823" s="20" t="b">
        <f aca="false">AND(A1823&lt;&gt;"",C1823&lt;&gt;"",D1823&lt;&gt;"",C1823&gt;='Read Me'!$B$5)</f>
        <v>0</v>
      </c>
      <c r="F1823" s="23" t="str">
        <f aca="false">IF(E1823,D1823,"")</f>
        <v/>
      </c>
      <c r="G1823" s="21" t="n">
        <f aca="false">IF(E1823,D1823^2,0)</f>
        <v>0</v>
      </c>
      <c r="H1823" s="3"/>
    </row>
    <row r="1824" customFormat="false" ht="15" hidden="false" customHeight="true" outlineLevel="0" collapsed="false">
      <c r="A1824" s="16"/>
      <c r="B1824" s="16"/>
      <c r="C1824" s="15"/>
      <c r="D1824" s="19"/>
      <c r="E1824" s="20" t="b">
        <f aca="false">AND(A1824&lt;&gt;"",C1824&lt;&gt;"",D1824&lt;&gt;"",C1824&gt;='Read Me'!$B$5)</f>
        <v>0</v>
      </c>
      <c r="F1824" s="23" t="str">
        <f aca="false">IF(E1824,D1824,"")</f>
        <v/>
      </c>
      <c r="G1824" s="21" t="n">
        <f aca="false">IF(E1824,D1824^2,0)</f>
        <v>0</v>
      </c>
      <c r="H1824" s="3"/>
    </row>
    <row r="1825" customFormat="false" ht="15" hidden="false" customHeight="true" outlineLevel="0" collapsed="false">
      <c r="A1825" s="16"/>
      <c r="B1825" s="16"/>
      <c r="C1825" s="15"/>
      <c r="D1825" s="19"/>
      <c r="E1825" s="20" t="b">
        <f aca="false">AND(A1825&lt;&gt;"",C1825&lt;&gt;"",D1825&lt;&gt;"",C1825&gt;='Read Me'!$B$5)</f>
        <v>0</v>
      </c>
      <c r="F1825" s="23" t="str">
        <f aca="false">IF(E1825,D1825,"")</f>
        <v/>
      </c>
      <c r="G1825" s="21" t="n">
        <f aca="false">IF(E1825,D1825^2,0)</f>
        <v>0</v>
      </c>
      <c r="H1825" s="3"/>
    </row>
    <row r="1826" customFormat="false" ht="15" hidden="false" customHeight="true" outlineLevel="0" collapsed="false">
      <c r="A1826" s="16"/>
      <c r="B1826" s="16"/>
      <c r="C1826" s="15"/>
      <c r="D1826" s="19"/>
      <c r="E1826" s="20" t="b">
        <f aca="false">AND(A1826&lt;&gt;"",C1826&lt;&gt;"",D1826&lt;&gt;"",C1826&gt;='Read Me'!$B$5)</f>
        <v>0</v>
      </c>
      <c r="F1826" s="23" t="str">
        <f aca="false">IF(E1826,D1826,"")</f>
        <v/>
      </c>
      <c r="G1826" s="21" t="n">
        <f aca="false">IF(E1826,D1826^2,0)</f>
        <v>0</v>
      </c>
      <c r="H1826" s="3"/>
    </row>
    <row r="1827" customFormat="false" ht="15" hidden="false" customHeight="true" outlineLevel="0" collapsed="false">
      <c r="A1827" s="16"/>
      <c r="B1827" s="16"/>
      <c r="C1827" s="15"/>
      <c r="D1827" s="19"/>
      <c r="E1827" s="20" t="b">
        <f aca="false">AND(A1827&lt;&gt;"",C1827&lt;&gt;"",D1827&lt;&gt;"",C1827&gt;='Read Me'!$B$5)</f>
        <v>0</v>
      </c>
      <c r="F1827" s="23" t="str">
        <f aca="false">IF(E1827,D1827,"")</f>
        <v/>
      </c>
      <c r="G1827" s="21" t="n">
        <f aca="false">IF(E1827,D1827^2,0)</f>
        <v>0</v>
      </c>
      <c r="H1827" s="3"/>
    </row>
    <row r="1828" customFormat="false" ht="15" hidden="false" customHeight="true" outlineLevel="0" collapsed="false">
      <c r="A1828" s="16"/>
      <c r="B1828" s="16"/>
      <c r="C1828" s="15"/>
      <c r="D1828" s="19"/>
      <c r="E1828" s="20" t="b">
        <f aca="false">AND(A1828&lt;&gt;"",C1828&lt;&gt;"",D1828&lt;&gt;"",C1828&gt;='Read Me'!$B$5)</f>
        <v>0</v>
      </c>
      <c r="F1828" s="23" t="str">
        <f aca="false">IF(E1828,D1828,"")</f>
        <v/>
      </c>
      <c r="G1828" s="21" t="n">
        <f aca="false">IF(E1828,D1828^2,0)</f>
        <v>0</v>
      </c>
      <c r="H1828" s="3"/>
    </row>
    <row r="1829" customFormat="false" ht="15" hidden="false" customHeight="true" outlineLevel="0" collapsed="false">
      <c r="A1829" s="16"/>
      <c r="B1829" s="16"/>
      <c r="C1829" s="15"/>
      <c r="D1829" s="19"/>
      <c r="E1829" s="20" t="b">
        <f aca="false">AND(A1829&lt;&gt;"",C1829&lt;&gt;"",D1829&lt;&gt;"",C1829&gt;='Read Me'!$B$5)</f>
        <v>0</v>
      </c>
      <c r="F1829" s="23" t="str">
        <f aca="false">IF(E1829,D1829,"")</f>
        <v/>
      </c>
      <c r="G1829" s="21" t="n">
        <f aca="false">IF(E1829,D1829^2,0)</f>
        <v>0</v>
      </c>
      <c r="H1829" s="3"/>
    </row>
    <row r="1830" customFormat="false" ht="15" hidden="false" customHeight="true" outlineLevel="0" collapsed="false">
      <c r="A1830" s="16"/>
      <c r="B1830" s="16"/>
      <c r="C1830" s="15"/>
      <c r="D1830" s="19"/>
      <c r="E1830" s="20" t="b">
        <f aca="false">AND(A1830&lt;&gt;"",C1830&lt;&gt;"",D1830&lt;&gt;"",C1830&gt;='Read Me'!$B$5)</f>
        <v>0</v>
      </c>
      <c r="F1830" s="23" t="str">
        <f aca="false">IF(E1830,D1830,"")</f>
        <v/>
      </c>
      <c r="G1830" s="21" t="n">
        <f aca="false">IF(E1830,D1830^2,0)</f>
        <v>0</v>
      </c>
      <c r="H1830" s="3"/>
    </row>
    <row r="1831" customFormat="false" ht="15" hidden="false" customHeight="true" outlineLevel="0" collapsed="false">
      <c r="A1831" s="16"/>
      <c r="B1831" s="16"/>
      <c r="C1831" s="15"/>
      <c r="D1831" s="19"/>
      <c r="E1831" s="20" t="b">
        <f aca="false">AND(A1831&lt;&gt;"",C1831&lt;&gt;"",D1831&lt;&gt;"",C1831&gt;='Read Me'!$B$5)</f>
        <v>0</v>
      </c>
      <c r="F1831" s="23" t="str">
        <f aca="false">IF(E1831,D1831,"")</f>
        <v/>
      </c>
      <c r="G1831" s="21" t="n">
        <f aca="false">IF(E1831,D1831^2,0)</f>
        <v>0</v>
      </c>
      <c r="H1831" s="3"/>
    </row>
    <row r="1832" customFormat="false" ht="15" hidden="false" customHeight="true" outlineLevel="0" collapsed="false">
      <c r="A1832" s="16"/>
      <c r="B1832" s="16"/>
      <c r="C1832" s="15"/>
      <c r="D1832" s="19"/>
      <c r="E1832" s="20" t="b">
        <f aca="false">AND(A1832&lt;&gt;"",C1832&lt;&gt;"",D1832&lt;&gt;"",C1832&gt;='Read Me'!$B$5)</f>
        <v>0</v>
      </c>
      <c r="F1832" s="23" t="str">
        <f aca="false">IF(E1832,D1832,"")</f>
        <v/>
      </c>
      <c r="G1832" s="21" t="n">
        <f aca="false">IF(E1832,D1832^2,0)</f>
        <v>0</v>
      </c>
      <c r="H1832" s="3"/>
    </row>
    <row r="1833" customFormat="false" ht="15" hidden="false" customHeight="true" outlineLevel="0" collapsed="false">
      <c r="A1833" s="16"/>
      <c r="B1833" s="16"/>
      <c r="C1833" s="15"/>
      <c r="D1833" s="19"/>
      <c r="E1833" s="20" t="b">
        <f aca="false">AND(A1833&lt;&gt;"",C1833&lt;&gt;"",D1833&lt;&gt;"",C1833&gt;='Read Me'!$B$5)</f>
        <v>0</v>
      </c>
      <c r="F1833" s="23" t="str">
        <f aca="false">IF(E1833,D1833,"")</f>
        <v/>
      </c>
      <c r="G1833" s="21" t="n">
        <f aca="false">IF(E1833,D1833^2,0)</f>
        <v>0</v>
      </c>
      <c r="H1833" s="3"/>
    </row>
    <row r="1834" customFormat="false" ht="15" hidden="false" customHeight="true" outlineLevel="0" collapsed="false">
      <c r="A1834" s="16"/>
      <c r="B1834" s="16"/>
      <c r="C1834" s="15"/>
      <c r="D1834" s="19"/>
      <c r="E1834" s="20" t="b">
        <f aca="false">AND(A1834&lt;&gt;"",C1834&lt;&gt;"",D1834&lt;&gt;"",C1834&gt;='Read Me'!$B$5)</f>
        <v>0</v>
      </c>
      <c r="F1834" s="23" t="str">
        <f aca="false">IF(E1834,D1834,"")</f>
        <v/>
      </c>
      <c r="G1834" s="21" t="n">
        <f aca="false">IF(E1834,D1834^2,0)</f>
        <v>0</v>
      </c>
      <c r="H1834" s="3"/>
    </row>
    <row r="1835" customFormat="false" ht="15" hidden="false" customHeight="true" outlineLevel="0" collapsed="false">
      <c r="A1835" s="16"/>
      <c r="B1835" s="16"/>
      <c r="C1835" s="15"/>
      <c r="D1835" s="19"/>
      <c r="E1835" s="20" t="b">
        <f aca="false">AND(A1835&lt;&gt;"",C1835&lt;&gt;"",D1835&lt;&gt;"",C1835&gt;='Read Me'!$B$5)</f>
        <v>0</v>
      </c>
      <c r="F1835" s="23" t="str">
        <f aca="false">IF(E1835,D1835,"")</f>
        <v/>
      </c>
      <c r="G1835" s="21" t="n">
        <f aca="false">IF(E1835,D1835^2,0)</f>
        <v>0</v>
      </c>
      <c r="H1835" s="3"/>
    </row>
    <row r="1836" customFormat="false" ht="15" hidden="false" customHeight="true" outlineLevel="0" collapsed="false">
      <c r="A1836" s="16"/>
      <c r="B1836" s="16"/>
      <c r="C1836" s="15"/>
      <c r="D1836" s="19"/>
      <c r="E1836" s="20" t="b">
        <f aca="false">AND(A1836&lt;&gt;"",C1836&lt;&gt;"",D1836&lt;&gt;"",C1836&gt;='Read Me'!$B$5)</f>
        <v>0</v>
      </c>
      <c r="F1836" s="23" t="str">
        <f aca="false">IF(E1836,D1836,"")</f>
        <v/>
      </c>
      <c r="G1836" s="21" t="n">
        <f aca="false">IF(E1836,D1836^2,0)</f>
        <v>0</v>
      </c>
      <c r="H1836" s="3"/>
    </row>
    <row r="1837" customFormat="false" ht="15" hidden="false" customHeight="true" outlineLevel="0" collapsed="false">
      <c r="A1837" s="16"/>
      <c r="B1837" s="16"/>
      <c r="C1837" s="15"/>
      <c r="D1837" s="19"/>
      <c r="E1837" s="20" t="b">
        <f aca="false">AND(A1837&lt;&gt;"",C1837&lt;&gt;"",D1837&lt;&gt;"",C1837&gt;='Read Me'!$B$5)</f>
        <v>0</v>
      </c>
      <c r="F1837" s="23" t="str">
        <f aca="false">IF(E1837,D1837,"")</f>
        <v/>
      </c>
      <c r="G1837" s="21" t="n">
        <f aca="false">IF(E1837,D1837^2,0)</f>
        <v>0</v>
      </c>
      <c r="H1837" s="3"/>
    </row>
    <row r="1838" customFormat="false" ht="15" hidden="false" customHeight="true" outlineLevel="0" collapsed="false">
      <c r="A1838" s="16"/>
      <c r="B1838" s="16"/>
      <c r="C1838" s="15"/>
      <c r="D1838" s="19"/>
      <c r="E1838" s="20" t="b">
        <f aca="false">AND(A1838&lt;&gt;"",C1838&lt;&gt;"",D1838&lt;&gt;"",C1838&gt;='Read Me'!$B$5)</f>
        <v>0</v>
      </c>
      <c r="F1838" s="23" t="str">
        <f aca="false">IF(E1838,D1838,"")</f>
        <v/>
      </c>
      <c r="G1838" s="21" t="n">
        <f aca="false">IF(E1838,D1838^2,0)</f>
        <v>0</v>
      </c>
      <c r="H1838" s="3"/>
    </row>
    <row r="1839" customFormat="false" ht="15" hidden="false" customHeight="true" outlineLevel="0" collapsed="false">
      <c r="A1839" s="16"/>
      <c r="B1839" s="16"/>
      <c r="C1839" s="15"/>
      <c r="D1839" s="19"/>
      <c r="E1839" s="20" t="b">
        <f aca="false">AND(A1839&lt;&gt;"",C1839&lt;&gt;"",D1839&lt;&gt;"",C1839&gt;='Read Me'!$B$5)</f>
        <v>0</v>
      </c>
      <c r="F1839" s="23" t="str">
        <f aca="false">IF(E1839,D1839,"")</f>
        <v/>
      </c>
      <c r="G1839" s="21" t="n">
        <f aca="false">IF(E1839,D1839^2,0)</f>
        <v>0</v>
      </c>
      <c r="H1839" s="3"/>
    </row>
    <row r="1840" customFormat="false" ht="15" hidden="false" customHeight="true" outlineLevel="0" collapsed="false">
      <c r="A1840" s="16"/>
      <c r="B1840" s="16"/>
      <c r="C1840" s="15"/>
      <c r="D1840" s="19"/>
      <c r="E1840" s="20" t="b">
        <f aca="false">AND(A1840&lt;&gt;"",C1840&lt;&gt;"",D1840&lt;&gt;"",C1840&gt;='Read Me'!$B$5)</f>
        <v>0</v>
      </c>
      <c r="F1840" s="23" t="str">
        <f aca="false">IF(E1840,D1840,"")</f>
        <v/>
      </c>
      <c r="G1840" s="21" t="n">
        <f aca="false">IF(E1840,D1840^2,0)</f>
        <v>0</v>
      </c>
      <c r="H1840" s="3"/>
    </row>
    <row r="1841" customFormat="false" ht="15" hidden="false" customHeight="true" outlineLevel="0" collapsed="false">
      <c r="A1841" s="16"/>
      <c r="B1841" s="16"/>
      <c r="C1841" s="15"/>
      <c r="D1841" s="19"/>
      <c r="E1841" s="20" t="b">
        <f aca="false">AND(A1841&lt;&gt;"",C1841&lt;&gt;"",D1841&lt;&gt;"",C1841&gt;='Read Me'!$B$5)</f>
        <v>0</v>
      </c>
      <c r="F1841" s="23" t="str">
        <f aca="false">IF(E1841,D1841,"")</f>
        <v/>
      </c>
      <c r="G1841" s="21" t="n">
        <f aca="false">IF(E1841,D1841^2,0)</f>
        <v>0</v>
      </c>
      <c r="H1841" s="3"/>
    </row>
    <row r="1842" customFormat="false" ht="15" hidden="false" customHeight="true" outlineLevel="0" collapsed="false">
      <c r="A1842" s="16"/>
      <c r="B1842" s="16"/>
      <c r="C1842" s="15"/>
      <c r="D1842" s="19"/>
      <c r="E1842" s="20" t="b">
        <f aca="false">AND(A1842&lt;&gt;"",C1842&lt;&gt;"",D1842&lt;&gt;"",C1842&gt;='Read Me'!$B$5)</f>
        <v>0</v>
      </c>
      <c r="F1842" s="23" t="str">
        <f aca="false">IF(E1842,D1842,"")</f>
        <v/>
      </c>
      <c r="G1842" s="21" t="n">
        <f aca="false">IF(E1842,D1842^2,0)</f>
        <v>0</v>
      </c>
      <c r="H1842" s="3"/>
    </row>
    <row r="1843" customFormat="false" ht="15" hidden="false" customHeight="true" outlineLevel="0" collapsed="false">
      <c r="A1843" s="16"/>
      <c r="B1843" s="16"/>
      <c r="C1843" s="15"/>
      <c r="D1843" s="19"/>
      <c r="E1843" s="20" t="b">
        <f aca="false">AND(A1843&lt;&gt;"",C1843&lt;&gt;"",D1843&lt;&gt;"",C1843&gt;='Read Me'!$B$5)</f>
        <v>0</v>
      </c>
      <c r="F1843" s="23" t="str">
        <f aca="false">IF(E1843,D1843,"")</f>
        <v/>
      </c>
      <c r="G1843" s="21" t="n">
        <f aca="false">IF(E1843,D1843^2,0)</f>
        <v>0</v>
      </c>
      <c r="H1843" s="3"/>
    </row>
    <row r="1844" customFormat="false" ht="15" hidden="false" customHeight="true" outlineLevel="0" collapsed="false">
      <c r="A1844" s="16"/>
      <c r="B1844" s="16"/>
      <c r="C1844" s="15"/>
      <c r="D1844" s="19"/>
      <c r="E1844" s="20" t="b">
        <f aca="false">AND(A1844&lt;&gt;"",C1844&lt;&gt;"",D1844&lt;&gt;"",C1844&gt;='Read Me'!$B$5)</f>
        <v>0</v>
      </c>
      <c r="F1844" s="23" t="str">
        <f aca="false">IF(E1844,D1844,"")</f>
        <v/>
      </c>
      <c r="G1844" s="21" t="n">
        <f aca="false">IF(E1844,D1844^2,0)</f>
        <v>0</v>
      </c>
      <c r="H1844" s="3"/>
    </row>
    <row r="1845" customFormat="false" ht="15" hidden="false" customHeight="true" outlineLevel="0" collapsed="false">
      <c r="A1845" s="16"/>
      <c r="B1845" s="16"/>
      <c r="C1845" s="15"/>
      <c r="D1845" s="19"/>
      <c r="E1845" s="20" t="b">
        <f aca="false">AND(A1845&lt;&gt;"",C1845&lt;&gt;"",D1845&lt;&gt;"",C1845&gt;='Read Me'!$B$5)</f>
        <v>0</v>
      </c>
      <c r="F1845" s="23" t="str">
        <f aca="false">IF(E1845,D1845,"")</f>
        <v/>
      </c>
      <c r="G1845" s="21" t="n">
        <f aca="false">IF(E1845,D1845^2,0)</f>
        <v>0</v>
      </c>
      <c r="H1845" s="3"/>
    </row>
    <row r="1846" customFormat="false" ht="15" hidden="false" customHeight="true" outlineLevel="0" collapsed="false">
      <c r="A1846" s="16"/>
      <c r="B1846" s="16"/>
      <c r="C1846" s="15"/>
      <c r="D1846" s="19"/>
      <c r="E1846" s="20" t="b">
        <f aca="false">AND(A1846&lt;&gt;"",C1846&lt;&gt;"",D1846&lt;&gt;"",C1846&gt;='Read Me'!$B$5)</f>
        <v>0</v>
      </c>
      <c r="F1846" s="23" t="str">
        <f aca="false">IF(E1846,D1846,"")</f>
        <v/>
      </c>
      <c r="G1846" s="21" t="n">
        <f aca="false">IF(E1846,D1846^2,0)</f>
        <v>0</v>
      </c>
      <c r="H1846" s="3"/>
    </row>
    <row r="1847" customFormat="false" ht="15" hidden="false" customHeight="true" outlineLevel="0" collapsed="false">
      <c r="A1847" s="16"/>
      <c r="B1847" s="16"/>
      <c r="C1847" s="15"/>
      <c r="D1847" s="19"/>
      <c r="E1847" s="20" t="b">
        <f aca="false">AND(A1847&lt;&gt;"",C1847&lt;&gt;"",D1847&lt;&gt;"",C1847&gt;='Read Me'!$B$5)</f>
        <v>0</v>
      </c>
      <c r="F1847" s="23" t="str">
        <f aca="false">IF(E1847,D1847,"")</f>
        <v/>
      </c>
      <c r="G1847" s="21" t="n">
        <f aca="false">IF(E1847,D1847^2,0)</f>
        <v>0</v>
      </c>
      <c r="H1847" s="3"/>
    </row>
    <row r="1848" customFormat="false" ht="15" hidden="false" customHeight="true" outlineLevel="0" collapsed="false">
      <c r="A1848" s="16"/>
      <c r="B1848" s="16"/>
      <c r="C1848" s="15"/>
      <c r="D1848" s="19"/>
      <c r="E1848" s="20" t="b">
        <f aca="false">AND(A1848&lt;&gt;"",C1848&lt;&gt;"",D1848&lt;&gt;"",C1848&gt;='Read Me'!$B$5)</f>
        <v>0</v>
      </c>
      <c r="F1848" s="23" t="str">
        <f aca="false">IF(E1848,D1848,"")</f>
        <v/>
      </c>
      <c r="G1848" s="21" t="n">
        <f aca="false">IF(E1848,D1848^2,0)</f>
        <v>0</v>
      </c>
      <c r="H1848" s="3"/>
    </row>
    <row r="1849" customFormat="false" ht="15" hidden="false" customHeight="true" outlineLevel="0" collapsed="false">
      <c r="A1849" s="16"/>
      <c r="B1849" s="16"/>
      <c r="C1849" s="15"/>
      <c r="D1849" s="19"/>
      <c r="E1849" s="20" t="b">
        <f aca="false">AND(A1849&lt;&gt;"",C1849&lt;&gt;"",D1849&lt;&gt;"",C1849&gt;='Read Me'!$B$5)</f>
        <v>0</v>
      </c>
      <c r="F1849" s="23" t="str">
        <f aca="false">IF(E1849,D1849,"")</f>
        <v/>
      </c>
      <c r="G1849" s="21" t="n">
        <f aca="false">IF(E1849,D1849^2,0)</f>
        <v>0</v>
      </c>
      <c r="H1849" s="3"/>
    </row>
    <row r="1850" customFormat="false" ht="15" hidden="false" customHeight="true" outlineLevel="0" collapsed="false">
      <c r="A1850" s="16"/>
      <c r="B1850" s="16"/>
      <c r="C1850" s="15"/>
      <c r="D1850" s="19"/>
      <c r="E1850" s="20" t="b">
        <f aca="false">AND(A1850&lt;&gt;"",C1850&lt;&gt;"",D1850&lt;&gt;"",C1850&gt;='Read Me'!$B$5)</f>
        <v>0</v>
      </c>
      <c r="F1850" s="23" t="str">
        <f aca="false">IF(E1850,D1850,"")</f>
        <v/>
      </c>
      <c r="G1850" s="21" t="n">
        <f aca="false">IF(E1850,D1850^2,0)</f>
        <v>0</v>
      </c>
      <c r="H1850" s="3"/>
    </row>
    <row r="1851" customFormat="false" ht="15" hidden="false" customHeight="true" outlineLevel="0" collapsed="false">
      <c r="A1851" s="16"/>
      <c r="B1851" s="16"/>
      <c r="C1851" s="15"/>
      <c r="D1851" s="19"/>
      <c r="E1851" s="20" t="b">
        <f aca="false">AND(A1851&lt;&gt;"",C1851&lt;&gt;"",D1851&lt;&gt;"",C1851&gt;='Read Me'!$B$5)</f>
        <v>0</v>
      </c>
      <c r="F1851" s="23" t="str">
        <f aca="false">IF(E1851,D1851,"")</f>
        <v/>
      </c>
      <c r="G1851" s="21" t="n">
        <f aca="false">IF(E1851,D1851^2,0)</f>
        <v>0</v>
      </c>
      <c r="H1851" s="3"/>
    </row>
    <row r="1852" customFormat="false" ht="15" hidden="false" customHeight="true" outlineLevel="0" collapsed="false">
      <c r="A1852" s="16"/>
      <c r="B1852" s="16"/>
      <c r="C1852" s="15"/>
      <c r="D1852" s="19"/>
      <c r="E1852" s="20" t="b">
        <f aca="false">AND(A1852&lt;&gt;"",C1852&lt;&gt;"",D1852&lt;&gt;"",C1852&gt;='Read Me'!$B$5)</f>
        <v>0</v>
      </c>
      <c r="F1852" s="23" t="str">
        <f aca="false">IF(E1852,D1852,"")</f>
        <v/>
      </c>
      <c r="G1852" s="21" t="n">
        <f aca="false">IF(E1852,D1852^2,0)</f>
        <v>0</v>
      </c>
      <c r="H1852" s="3"/>
    </row>
    <row r="1853" customFormat="false" ht="15" hidden="false" customHeight="true" outlineLevel="0" collapsed="false">
      <c r="A1853" s="16"/>
      <c r="B1853" s="16"/>
      <c r="C1853" s="15"/>
      <c r="D1853" s="19"/>
      <c r="E1853" s="20" t="b">
        <f aca="false">AND(A1853&lt;&gt;"",C1853&lt;&gt;"",D1853&lt;&gt;"",C1853&gt;='Read Me'!$B$5)</f>
        <v>0</v>
      </c>
      <c r="F1853" s="23" t="str">
        <f aca="false">IF(E1853,D1853,"")</f>
        <v/>
      </c>
      <c r="G1853" s="21" t="n">
        <f aca="false">IF(E1853,D1853^2,0)</f>
        <v>0</v>
      </c>
      <c r="H1853" s="3"/>
    </row>
    <row r="1854" customFormat="false" ht="15" hidden="false" customHeight="true" outlineLevel="0" collapsed="false">
      <c r="A1854" s="16"/>
      <c r="B1854" s="16"/>
      <c r="C1854" s="15"/>
      <c r="D1854" s="19"/>
      <c r="E1854" s="20" t="b">
        <f aca="false">AND(A1854&lt;&gt;"",C1854&lt;&gt;"",D1854&lt;&gt;"",C1854&gt;='Read Me'!$B$5)</f>
        <v>0</v>
      </c>
      <c r="F1854" s="23" t="str">
        <f aca="false">IF(E1854,D1854,"")</f>
        <v/>
      </c>
      <c r="G1854" s="21" t="n">
        <f aca="false">IF(E1854,D1854^2,0)</f>
        <v>0</v>
      </c>
      <c r="H1854" s="3"/>
    </row>
    <row r="1855" customFormat="false" ht="15" hidden="false" customHeight="true" outlineLevel="0" collapsed="false">
      <c r="A1855" s="16"/>
      <c r="B1855" s="16"/>
      <c r="C1855" s="15"/>
      <c r="D1855" s="19"/>
      <c r="E1855" s="20" t="b">
        <f aca="false">AND(A1855&lt;&gt;"",C1855&lt;&gt;"",D1855&lt;&gt;"",C1855&gt;='Read Me'!$B$5)</f>
        <v>0</v>
      </c>
      <c r="F1855" s="23" t="str">
        <f aca="false">IF(E1855,D1855,"")</f>
        <v/>
      </c>
      <c r="G1855" s="21" t="n">
        <f aca="false">IF(E1855,D1855^2,0)</f>
        <v>0</v>
      </c>
      <c r="H1855" s="3"/>
    </row>
    <row r="1856" customFormat="false" ht="15" hidden="false" customHeight="true" outlineLevel="0" collapsed="false">
      <c r="A1856" s="16"/>
      <c r="B1856" s="16"/>
      <c r="C1856" s="15"/>
      <c r="D1856" s="19"/>
      <c r="E1856" s="20" t="b">
        <f aca="false">AND(A1856&lt;&gt;"",C1856&lt;&gt;"",D1856&lt;&gt;"",C1856&gt;='Read Me'!$B$5)</f>
        <v>0</v>
      </c>
      <c r="F1856" s="23" t="str">
        <f aca="false">IF(E1856,D1856,"")</f>
        <v/>
      </c>
      <c r="G1856" s="21" t="n">
        <f aca="false">IF(E1856,D1856^2,0)</f>
        <v>0</v>
      </c>
      <c r="H1856" s="3"/>
    </row>
    <row r="1857" customFormat="false" ht="15" hidden="false" customHeight="true" outlineLevel="0" collapsed="false">
      <c r="A1857" s="16"/>
      <c r="B1857" s="16"/>
      <c r="C1857" s="15"/>
      <c r="D1857" s="19"/>
      <c r="E1857" s="20" t="b">
        <f aca="false">AND(A1857&lt;&gt;"",C1857&lt;&gt;"",D1857&lt;&gt;"",C1857&gt;='Read Me'!$B$5)</f>
        <v>0</v>
      </c>
      <c r="F1857" s="23" t="str">
        <f aca="false">IF(E1857,D1857,"")</f>
        <v/>
      </c>
      <c r="G1857" s="21" t="n">
        <f aca="false">IF(E1857,D1857^2,0)</f>
        <v>0</v>
      </c>
      <c r="H1857" s="3"/>
    </row>
    <row r="1858" customFormat="false" ht="15" hidden="false" customHeight="true" outlineLevel="0" collapsed="false">
      <c r="A1858" s="16"/>
      <c r="B1858" s="16"/>
      <c r="C1858" s="15"/>
      <c r="D1858" s="19"/>
      <c r="E1858" s="20" t="b">
        <f aca="false">AND(A1858&lt;&gt;"",C1858&lt;&gt;"",D1858&lt;&gt;"",C1858&gt;='Read Me'!$B$5)</f>
        <v>0</v>
      </c>
      <c r="F1858" s="23" t="str">
        <f aca="false">IF(E1858,D1858,"")</f>
        <v/>
      </c>
      <c r="G1858" s="21" t="n">
        <f aca="false">IF(E1858,D1858^2,0)</f>
        <v>0</v>
      </c>
      <c r="H1858" s="3"/>
    </row>
    <row r="1859" customFormat="false" ht="15" hidden="false" customHeight="true" outlineLevel="0" collapsed="false">
      <c r="A1859" s="16"/>
      <c r="B1859" s="16"/>
      <c r="C1859" s="15"/>
      <c r="D1859" s="19"/>
      <c r="E1859" s="20" t="b">
        <f aca="false">AND(A1859&lt;&gt;"",C1859&lt;&gt;"",D1859&lt;&gt;"",C1859&gt;='Read Me'!$B$5)</f>
        <v>0</v>
      </c>
      <c r="F1859" s="23" t="str">
        <f aca="false">IF(E1859,D1859,"")</f>
        <v/>
      </c>
      <c r="G1859" s="21" t="n">
        <f aca="false">IF(E1859,D1859^2,0)</f>
        <v>0</v>
      </c>
      <c r="H1859" s="3"/>
    </row>
    <row r="1860" customFormat="false" ht="15" hidden="false" customHeight="true" outlineLevel="0" collapsed="false">
      <c r="A1860" s="16"/>
      <c r="B1860" s="16"/>
      <c r="C1860" s="15"/>
      <c r="D1860" s="19"/>
      <c r="E1860" s="20" t="b">
        <f aca="false">AND(A1860&lt;&gt;"",C1860&lt;&gt;"",D1860&lt;&gt;"",C1860&gt;='Read Me'!$B$5)</f>
        <v>0</v>
      </c>
      <c r="F1860" s="23" t="str">
        <f aca="false">IF(E1860,D1860,"")</f>
        <v/>
      </c>
      <c r="G1860" s="21" t="n">
        <f aca="false">IF(E1860,D1860^2,0)</f>
        <v>0</v>
      </c>
      <c r="H1860" s="3"/>
    </row>
    <row r="1861" customFormat="false" ht="15" hidden="false" customHeight="true" outlineLevel="0" collapsed="false">
      <c r="A1861" s="16"/>
      <c r="B1861" s="16"/>
      <c r="C1861" s="15"/>
      <c r="D1861" s="19"/>
      <c r="E1861" s="20" t="b">
        <f aca="false">AND(A1861&lt;&gt;"",C1861&lt;&gt;"",D1861&lt;&gt;"",C1861&gt;='Read Me'!$B$5)</f>
        <v>0</v>
      </c>
      <c r="F1861" s="23" t="str">
        <f aca="false">IF(E1861,D1861,"")</f>
        <v/>
      </c>
      <c r="G1861" s="21" t="n">
        <f aca="false">IF(E1861,D1861^2,0)</f>
        <v>0</v>
      </c>
      <c r="H1861" s="3"/>
    </row>
    <row r="1862" customFormat="false" ht="15" hidden="false" customHeight="true" outlineLevel="0" collapsed="false">
      <c r="A1862" s="16"/>
      <c r="B1862" s="16"/>
      <c r="C1862" s="15"/>
      <c r="D1862" s="19"/>
      <c r="E1862" s="20" t="b">
        <f aca="false">AND(A1862&lt;&gt;"",C1862&lt;&gt;"",D1862&lt;&gt;"",C1862&gt;='Read Me'!$B$5)</f>
        <v>0</v>
      </c>
      <c r="F1862" s="23" t="str">
        <f aca="false">IF(E1862,D1862,"")</f>
        <v/>
      </c>
      <c r="G1862" s="21" t="n">
        <f aca="false">IF(E1862,D1862^2,0)</f>
        <v>0</v>
      </c>
      <c r="H1862" s="3"/>
    </row>
    <row r="1863" customFormat="false" ht="15" hidden="false" customHeight="true" outlineLevel="0" collapsed="false">
      <c r="A1863" s="16"/>
      <c r="B1863" s="16"/>
      <c r="C1863" s="15"/>
      <c r="D1863" s="19"/>
      <c r="E1863" s="20" t="b">
        <f aca="false">AND(A1863&lt;&gt;"",C1863&lt;&gt;"",D1863&lt;&gt;"",C1863&gt;='Read Me'!$B$5)</f>
        <v>0</v>
      </c>
      <c r="F1863" s="23" t="str">
        <f aca="false">IF(E1863,D1863,"")</f>
        <v/>
      </c>
      <c r="G1863" s="21" t="n">
        <f aca="false">IF(E1863,D1863^2,0)</f>
        <v>0</v>
      </c>
      <c r="H1863" s="3"/>
    </row>
    <row r="1864" customFormat="false" ht="15" hidden="false" customHeight="true" outlineLevel="0" collapsed="false">
      <c r="A1864" s="16"/>
      <c r="B1864" s="16"/>
      <c r="C1864" s="15"/>
      <c r="D1864" s="19"/>
      <c r="E1864" s="20" t="b">
        <f aca="false">AND(A1864&lt;&gt;"",C1864&lt;&gt;"",D1864&lt;&gt;"",C1864&gt;='Read Me'!$B$5)</f>
        <v>0</v>
      </c>
      <c r="F1864" s="23" t="str">
        <f aca="false">IF(E1864,D1864,"")</f>
        <v/>
      </c>
      <c r="G1864" s="21" t="n">
        <f aca="false">IF(E1864,D1864^2,0)</f>
        <v>0</v>
      </c>
      <c r="H1864" s="3"/>
    </row>
    <row r="1865" customFormat="false" ht="15" hidden="false" customHeight="true" outlineLevel="0" collapsed="false">
      <c r="A1865" s="16"/>
      <c r="B1865" s="16"/>
      <c r="C1865" s="15"/>
      <c r="D1865" s="19"/>
      <c r="E1865" s="20" t="b">
        <f aca="false">AND(A1865&lt;&gt;"",C1865&lt;&gt;"",D1865&lt;&gt;"",C1865&gt;='Read Me'!$B$5)</f>
        <v>0</v>
      </c>
      <c r="F1865" s="23" t="str">
        <f aca="false">IF(E1865,D1865,"")</f>
        <v/>
      </c>
      <c r="G1865" s="21" t="n">
        <f aca="false">IF(E1865,D1865^2,0)</f>
        <v>0</v>
      </c>
      <c r="H1865" s="3"/>
    </row>
    <row r="1866" customFormat="false" ht="15" hidden="false" customHeight="true" outlineLevel="0" collapsed="false">
      <c r="A1866" s="16"/>
      <c r="B1866" s="16"/>
      <c r="C1866" s="15"/>
      <c r="D1866" s="19"/>
      <c r="E1866" s="20" t="b">
        <f aca="false">AND(A1866&lt;&gt;"",C1866&lt;&gt;"",D1866&lt;&gt;"",C1866&gt;='Read Me'!$B$5)</f>
        <v>0</v>
      </c>
      <c r="F1866" s="23" t="str">
        <f aca="false">IF(E1866,D1866,"")</f>
        <v/>
      </c>
      <c r="G1866" s="21" t="n">
        <f aca="false">IF(E1866,D1866^2,0)</f>
        <v>0</v>
      </c>
      <c r="H1866" s="3"/>
    </row>
    <row r="1867" customFormat="false" ht="15" hidden="false" customHeight="true" outlineLevel="0" collapsed="false">
      <c r="A1867" s="16"/>
      <c r="B1867" s="16"/>
      <c r="C1867" s="15"/>
      <c r="D1867" s="19"/>
      <c r="E1867" s="20" t="b">
        <f aca="false">AND(A1867&lt;&gt;"",C1867&lt;&gt;"",D1867&lt;&gt;"",C1867&gt;='Read Me'!$B$5)</f>
        <v>0</v>
      </c>
      <c r="F1867" s="23" t="str">
        <f aca="false">IF(E1867,D1867,"")</f>
        <v/>
      </c>
      <c r="G1867" s="21" t="n">
        <f aca="false">IF(E1867,D1867^2,0)</f>
        <v>0</v>
      </c>
      <c r="H1867" s="3"/>
    </row>
    <row r="1868" customFormat="false" ht="15" hidden="false" customHeight="true" outlineLevel="0" collapsed="false">
      <c r="A1868" s="16"/>
      <c r="B1868" s="16"/>
      <c r="C1868" s="15"/>
      <c r="D1868" s="19"/>
      <c r="E1868" s="20" t="b">
        <f aca="false">AND(A1868&lt;&gt;"",C1868&lt;&gt;"",D1868&lt;&gt;"",C1868&gt;='Read Me'!$B$5)</f>
        <v>0</v>
      </c>
      <c r="F1868" s="23" t="str">
        <f aca="false">IF(E1868,D1868,"")</f>
        <v/>
      </c>
      <c r="G1868" s="21" t="n">
        <f aca="false">IF(E1868,D1868^2,0)</f>
        <v>0</v>
      </c>
      <c r="H1868" s="3"/>
    </row>
    <row r="1869" customFormat="false" ht="15" hidden="false" customHeight="true" outlineLevel="0" collapsed="false">
      <c r="A1869" s="16"/>
      <c r="B1869" s="16"/>
      <c r="C1869" s="15"/>
      <c r="D1869" s="19"/>
      <c r="E1869" s="20" t="b">
        <f aca="false">AND(A1869&lt;&gt;"",C1869&lt;&gt;"",D1869&lt;&gt;"",C1869&gt;='Read Me'!$B$5)</f>
        <v>0</v>
      </c>
      <c r="F1869" s="23" t="str">
        <f aca="false">IF(E1869,D1869,"")</f>
        <v/>
      </c>
      <c r="G1869" s="21" t="n">
        <f aca="false">IF(E1869,D1869^2,0)</f>
        <v>0</v>
      </c>
      <c r="H1869" s="3"/>
    </row>
    <row r="1870" customFormat="false" ht="15" hidden="false" customHeight="true" outlineLevel="0" collapsed="false">
      <c r="A1870" s="16"/>
      <c r="B1870" s="16"/>
      <c r="C1870" s="15"/>
      <c r="D1870" s="19"/>
      <c r="E1870" s="20" t="b">
        <f aca="false">AND(A1870&lt;&gt;"",C1870&lt;&gt;"",D1870&lt;&gt;"",C1870&gt;='Read Me'!$B$5)</f>
        <v>0</v>
      </c>
      <c r="F1870" s="23" t="str">
        <f aca="false">IF(E1870,D1870,"")</f>
        <v/>
      </c>
      <c r="G1870" s="21" t="n">
        <f aca="false">IF(E1870,D1870^2,0)</f>
        <v>0</v>
      </c>
      <c r="H1870" s="3"/>
    </row>
    <row r="1871" customFormat="false" ht="15" hidden="false" customHeight="true" outlineLevel="0" collapsed="false">
      <c r="A1871" s="16"/>
      <c r="B1871" s="16"/>
      <c r="C1871" s="15"/>
      <c r="D1871" s="19"/>
      <c r="E1871" s="20" t="b">
        <f aca="false">AND(A1871&lt;&gt;"",C1871&lt;&gt;"",D1871&lt;&gt;"",C1871&gt;='Read Me'!$B$5)</f>
        <v>0</v>
      </c>
      <c r="F1871" s="23" t="str">
        <f aca="false">IF(E1871,D1871,"")</f>
        <v/>
      </c>
      <c r="G1871" s="21" t="n">
        <f aca="false">IF(E1871,D1871^2,0)</f>
        <v>0</v>
      </c>
      <c r="H1871" s="3"/>
    </row>
    <row r="1872" customFormat="false" ht="15" hidden="false" customHeight="true" outlineLevel="0" collapsed="false">
      <c r="A1872" s="16"/>
      <c r="B1872" s="16"/>
      <c r="C1872" s="15"/>
      <c r="D1872" s="19"/>
      <c r="E1872" s="20" t="b">
        <f aca="false">AND(A1872&lt;&gt;"",C1872&lt;&gt;"",D1872&lt;&gt;"",C1872&gt;='Read Me'!$B$5)</f>
        <v>0</v>
      </c>
      <c r="F1872" s="23" t="str">
        <f aca="false">IF(E1872,D1872,"")</f>
        <v/>
      </c>
      <c r="G1872" s="21" t="n">
        <f aca="false">IF(E1872,D1872^2,0)</f>
        <v>0</v>
      </c>
      <c r="H1872" s="3"/>
    </row>
    <row r="1873" customFormat="false" ht="15" hidden="false" customHeight="true" outlineLevel="0" collapsed="false">
      <c r="A1873" s="16"/>
      <c r="B1873" s="16"/>
      <c r="C1873" s="15"/>
      <c r="D1873" s="19"/>
      <c r="E1873" s="20" t="b">
        <f aca="false">AND(A1873&lt;&gt;"",C1873&lt;&gt;"",D1873&lt;&gt;"",C1873&gt;='Read Me'!$B$5)</f>
        <v>0</v>
      </c>
      <c r="F1873" s="23" t="str">
        <f aca="false">IF(E1873,D1873,"")</f>
        <v/>
      </c>
      <c r="G1873" s="21" t="n">
        <f aca="false">IF(E1873,D1873^2,0)</f>
        <v>0</v>
      </c>
      <c r="H1873" s="3"/>
    </row>
    <row r="1874" customFormat="false" ht="15" hidden="false" customHeight="true" outlineLevel="0" collapsed="false">
      <c r="A1874" s="16"/>
      <c r="B1874" s="16"/>
      <c r="C1874" s="15"/>
      <c r="D1874" s="19"/>
      <c r="E1874" s="20" t="b">
        <f aca="false">AND(A1874&lt;&gt;"",C1874&lt;&gt;"",D1874&lt;&gt;"",C1874&gt;='Read Me'!$B$5)</f>
        <v>0</v>
      </c>
      <c r="F1874" s="23" t="str">
        <f aca="false">IF(E1874,D1874,"")</f>
        <v/>
      </c>
      <c r="G1874" s="21" t="n">
        <f aca="false">IF(E1874,D1874^2,0)</f>
        <v>0</v>
      </c>
      <c r="H1874" s="3"/>
    </row>
    <row r="1875" customFormat="false" ht="15" hidden="false" customHeight="true" outlineLevel="0" collapsed="false">
      <c r="A1875" s="16"/>
      <c r="B1875" s="16"/>
      <c r="C1875" s="15"/>
      <c r="D1875" s="19"/>
      <c r="E1875" s="20" t="b">
        <f aca="false">AND(A1875&lt;&gt;"",C1875&lt;&gt;"",D1875&lt;&gt;"",C1875&gt;='Read Me'!$B$5)</f>
        <v>0</v>
      </c>
      <c r="F1875" s="23" t="str">
        <f aca="false">IF(E1875,D1875,"")</f>
        <v/>
      </c>
      <c r="G1875" s="21" t="n">
        <f aca="false">IF(E1875,D1875^2,0)</f>
        <v>0</v>
      </c>
      <c r="H1875" s="3"/>
    </row>
    <row r="1876" customFormat="false" ht="15" hidden="false" customHeight="true" outlineLevel="0" collapsed="false">
      <c r="A1876" s="16"/>
      <c r="B1876" s="16"/>
      <c r="C1876" s="15"/>
      <c r="D1876" s="19"/>
      <c r="E1876" s="20" t="b">
        <f aca="false">AND(A1876&lt;&gt;"",C1876&lt;&gt;"",D1876&lt;&gt;"",C1876&gt;='Read Me'!$B$5)</f>
        <v>0</v>
      </c>
      <c r="F1876" s="23" t="str">
        <f aca="false">IF(E1876,D1876,"")</f>
        <v/>
      </c>
      <c r="G1876" s="21" t="n">
        <f aca="false">IF(E1876,D1876^2,0)</f>
        <v>0</v>
      </c>
      <c r="H1876" s="3"/>
    </row>
    <row r="1877" customFormat="false" ht="15" hidden="false" customHeight="true" outlineLevel="0" collapsed="false">
      <c r="A1877" s="16"/>
      <c r="B1877" s="16"/>
      <c r="C1877" s="15"/>
      <c r="D1877" s="19"/>
      <c r="E1877" s="20" t="b">
        <f aca="false">AND(A1877&lt;&gt;"",C1877&lt;&gt;"",D1877&lt;&gt;"",C1877&gt;='Read Me'!$B$5)</f>
        <v>0</v>
      </c>
      <c r="F1877" s="23" t="str">
        <f aca="false">IF(E1877,D1877,"")</f>
        <v/>
      </c>
      <c r="G1877" s="21" t="n">
        <f aca="false">IF(E1877,D1877^2,0)</f>
        <v>0</v>
      </c>
      <c r="H1877" s="3"/>
    </row>
    <row r="1878" customFormat="false" ht="15" hidden="false" customHeight="true" outlineLevel="0" collapsed="false">
      <c r="A1878" s="16"/>
      <c r="B1878" s="16"/>
      <c r="C1878" s="15"/>
      <c r="D1878" s="19"/>
      <c r="E1878" s="20" t="b">
        <f aca="false">AND(A1878&lt;&gt;"",C1878&lt;&gt;"",D1878&lt;&gt;"",C1878&gt;='Read Me'!$B$5)</f>
        <v>0</v>
      </c>
      <c r="F1878" s="23" t="str">
        <f aca="false">IF(E1878,D1878,"")</f>
        <v/>
      </c>
      <c r="G1878" s="21" t="n">
        <f aca="false">IF(E1878,D1878^2,0)</f>
        <v>0</v>
      </c>
      <c r="H1878" s="3"/>
    </row>
    <row r="1879" customFormat="false" ht="15" hidden="false" customHeight="true" outlineLevel="0" collapsed="false">
      <c r="A1879" s="16"/>
      <c r="B1879" s="16"/>
      <c r="C1879" s="15"/>
      <c r="D1879" s="19"/>
      <c r="E1879" s="20" t="b">
        <f aca="false">AND(A1879&lt;&gt;"",C1879&lt;&gt;"",D1879&lt;&gt;"",C1879&gt;='Read Me'!$B$5)</f>
        <v>0</v>
      </c>
      <c r="F1879" s="23" t="str">
        <f aca="false">IF(E1879,D1879,"")</f>
        <v/>
      </c>
      <c r="G1879" s="21" t="n">
        <f aca="false">IF(E1879,D1879^2,0)</f>
        <v>0</v>
      </c>
      <c r="H1879" s="3"/>
    </row>
    <row r="1880" customFormat="false" ht="15" hidden="false" customHeight="true" outlineLevel="0" collapsed="false">
      <c r="A1880" s="16"/>
      <c r="B1880" s="16"/>
      <c r="C1880" s="15"/>
      <c r="D1880" s="19"/>
      <c r="E1880" s="20" t="b">
        <f aca="false">AND(A1880&lt;&gt;"",C1880&lt;&gt;"",D1880&lt;&gt;"",C1880&gt;='Read Me'!$B$5)</f>
        <v>0</v>
      </c>
      <c r="F1880" s="23" t="str">
        <f aca="false">IF(E1880,D1880,"")</f>
        <v/>
      </c>
      <c r="G1880" s="21" t="n">
        <f aca="false">IF(E1880,D1880^2,0)</f>
        <v>0</v>
      </c>
      <c r="H1880" s="3"/>
    </row>
    <row r="1881" customFormat="false" ht="15" hidden="false" customHeight="true" outlineLevel="0" collapsed="false">
      <c r="A1881" s="16"/>
      <c r="B1881" s="16"/>
      <c r="C1881" s="15"/>
      <c r="D1881" s="19"/>
      <c r="E1881" s="20" t="b">
        <f aca="false">AND(A1881&lt;&gt;"",C1881&lt;&gt;"",D1881&lt;&gt;"",C1881&gt;='Read Me'!$B$5)</f>
        <v>0</v>
      </c>
      <c r="F1881" s="23" t="str">
        <f aca="false">IF(E1881,D1881,"")</f>
        <v/>
      </c>
      <c r="G1881" s="21" t="n">
        <f aca="false">IF(E1881,D1881^2,0)</f>
        <v>0</v>
      </c>
      <c r="H1881" s="3"/>
    </row>
    <row r="1882" customFormat="false" ht="15" hidden="false" customHeight="true" outlineLevel="0" collapsed="false">
      <c r="A1882" s="16"/>
      <c r="B1882" s="16"/>
      <c r="C1882" s="15"/>
      <c r="D1882" s="19"/>
      <c r="E1882" s="20" t="b">
        <f aca="false">AND(A1882&lt;&gt;"",C1882&lt;&gt;"",D1882&lt;&gt;"",C1882&gt;='Read Me'!$B$5)</f>
        <v>0</v>
      </c>
      <c r="F1882" s="23" t="str">
        <f aca="false">IF(E1882,D1882,"")</f>
        <v/>
      </c>
      <c r="G1882" s="21" t="n">
        <f aca="false">IF(E1882,D1882^2,0)</f>
        <v>0</v>
      </c>
      <c r="H1882" s="3"/>
    </row>
    <row r="1883" customFormat="false" ht="15" hidden="false" customHeight="true" outlineLevel="0" collapsed="false">
      <c r="A1883" s="16"/>
      <c r="B1883" s="16"/>
      <c r="C1883" s="15"/>
      <c r="D1883" s="19"/>
      <c r="E1883" s="20" t="b">
        <f aca="false">AND(A1883&lt;&gt;"",C1883&lt;&gt;"",D1883&lt;&gt;"",C1883&gt;='Read Me'!$B$5)</f>
        <v>0</v>
      </c>
      <c r="F1883" s="23" t="str">
        <f aca="false">IF(E1883,D1883,"")</f>
        <v/>
      </c>
      <c r="G1883" s="21" t="n">
        <f aca="false">IF(E1883,D1883^2,0)</f>
        <v>0</v>
      </c>
      <c r="H1883" s="3"/>
    </row>
    <row r="1884" customFormat="false" ht="15" hidden="false" customHeight="true" outlineLevel="0" collapsed="false">
      <c r="A1884" s="16"/>
      <c r="B1884" s="16"/>
      <c r="C1884" s="15"/>
      <c r="D1884" s="19"/>
      <c r="E1884" s="20" t="b">
        <f aca="false">AND(A1884&lt;&gt;"",C1884&lt;&gt;"",D1884&lt;&gt;"",C1884&gt;='Read Me'!$B$5)</f>
        <v>0</v>
      </c>
      <c r="F1884" s="23" t="str">
        <f aca="false">IF(E1884,D1884,"")</f>
        <v/>
      </c>
      <c r="G1884" s="21" t="n">
        <f aca="false">IF(E1884,D1884^2,0)</f>
        <v>0</v>
      </c>
      <c r="H1884" s="3"/>
    </row>
    <row r="1885" customFormat="false" ht="15" hidden="false" customHeight="true" outlineLevel="0" collapsed="false">
      <c r="A1885" s="16"/>
      <c r="B1885" s="16"/>
      <c r="C1885" s="15"/>
      <c r="D1885" s="19"/>
      <c r="E1885" s="20" t="b">
        <f aca="false">AND(A1885&lt;&gt;"",C1885&lt;&gt;"",D1885&lt;&gt;"",C1885&gt;='Read Me'!$B$5)</f>
        <v>0</v>
      </c>
      <c r="F1885" s="23" t="str">
        <f aca="false">IF(E1885,D1885,"")</f>
        <v/>
      </c>
      <c r="G1885" s="21" t="n">
        <f aca="false">IF(E1885,D1885^2,0)</f>
        <v>0</v>
      </c>
      <c r="H1885" s="3"/>
    </row>
    <row r="1886" customFormat="false" ht="15" hidden="false" customHeight="true" outlineLevel="0" collapsed="false">
      <c r="A1886" s="16"/>
      <c r="B1886" s="16"/>
      <c r="C1886" s="15"/>
      <c r="D1886" s="19"/>
      <c r="E1886" s="20" t="b">
        <f aca="false">AND(A1886&lt;&gt;"",C1886&lt;&gt;"",D1886&lt;&gt;"",C1886&gt;='Read Me'!$B$5)</f>
        <v>0</v>
      </c>
      <c r="F1886" s="23" t="str">
        <f aca="false">IF(E1886,D1886,"")</f>
        <v/>
      </c>
      <c r="G1886" s="21" t="n">
        <f aca="false">IF(E1886,D1886^2,0)</f>
        <v>0</v>
      </c>
      <c r="H1886" s="3"/>
    </row>
    <row r="1887" customFormat="false" ht="15" hidden="false" customHeight="true" outlineLevel="0" collapsed="false">
      <c r="A1887" s="16"/>
      <c r="B1887" s="16"/>
      <c r="C1887" s="15"/>
      <c r="D1887" s="19"/>
      <c r="E1887" s="20" t="b">
        <f aca="false">AND(A1887&lt;&gt;"",C1887&lt;&gt;"",D1887&lt;&gt;"",C1887&gt;='Read Me'!$B$5)</f>
        <v>0</v>
      </c>
      <c r="F1887" s="23" t="str">
        <f aca="false">IF(E1887,D1887,"")</f>
        <v/>
      </c>
      <c r="G1887" s="21" t="n">
        <f aca="false">IF(E1887,D1887^2,0)</f>
        <v>0</v>
      </c>
      <c r="H1887" s="3"/>
    </row>
    <row r="1888" customFormat="false" ht="15" hidden="false" customHeight="true" outlineLevel="0" collapsed="false">
      <c r="A1888" s="16"/>
      <c r="B1888" s="16"/>
      <c r="C1888" s="15"/>
      <c r="D1888" s="19"/>
      <c r="E1888" s="20" t="b">
        <f aca="false">AND(A1888&lt;&gt;"",C1888&lt;&gt;"",D1888&lt;&gt;"",C1888&gt;='Read Me'!$B$5)</f>
        <v>0</v>
      </c>
      <c r="F1888" s="23" t="str">
        <f aca="false">IF(E1888,D1888,"")</f>
        <v/>
      </c>
      <c r="G1888" s="21" t="n">
        <f aca="false">IF(E1888,D1888^2,0)</f>
        <v>0</v>
      </c>
      <c r="H1888" s="3"/>
    </row>
    <row r="1889" customFormat="false" ht="15" hidden="false" customHeight="true" outlineLevel="0" collapsed="false">
      <c r="A1889" s="16"/>
      <c r="B1889" s="16"/>
      <c r="C1889" s="15"/>
      <c r="D1889" s="19"/>
      <c r="E1889" s="20" t="b">
        <f aca="false">AND(A1889&lt;&gt;"",C1889&lt;&gt;"",D1889&lt;&gt;"",C1889&gt;='Read Me'!$B$5)</f>
        <v>0</v>
      </c>
      <c r="F1889" s="23" t="str">
        <f aca="false">IF(E1889,D1889,"")</f>
        <v/>
      </c>
      <c r="G1889" s="21" t="n">
        <f aca="false">IF(E1889,D1889^2,0)</f>
        <v>0</v>
      </c>
      <c r="H1889" s="3"/>
    </row>
    <row r="1890" customFormat="false" ht="15" hidden="false" customHeight="true" outlineLevel="0" collapsed="false">
      <c r="A1890" s="16"/>
      <c r="B1890" s="16"/>
      <c r="C1890" s="15"/>
      <c r="D1890" s="19"/>
      <c r="E1890" s="20" t="b">
        <f aca="false">AND(A1890&lt;&gt;"",C1890&lt;&gt;"",D1890&lt;&gt;"",C1890&gt;='Read Me'!$B$5)</f>
        <v>0</v>
      </c>
      <c r="F1890" s="23" t="str">
        <f aca="false">IF(E1890,D1890,"")</f>
        <v/>
      </c>
      <c r="G1890" s="21" t="n">
        <f aca="false">IF(E1890,D1890^2,0)</f>
        <v>0</v>
      </c>
      <c r="H1890" s="3"/>
    </row>
    <row r="1891" customFormat="false" ht="15" hidden="false" customHeight="true" outlineLevel="0" collapsed="false">
      <c r="A1891" s="16"/>
      <c r="B1891" s="16"/>
      <c r="C1891" s="15"/>
      <c r="D1891" s="19"/>
      <c r="E1891" s="20" t="b">
        <f aca="false">AND(A1891&lt;&gt;"",C1891&lt;&gt;"",D1891&lt;&gt;"",C1891&gt;='Read Me'!$B$5)</f>
        <v>0</v>
      </c>
      <c r="F1891" s="23" t="str">
        <f aca="false">IF(E1891,D1891,"")</f>
        <v/>
      </c>
      <c r="G1891" s="21" t="n">
        <f aca="false">IF(E1891,D1891^2,0)</f>
        <v>0</v>
      </c>
      <c r="H1891" s="3"/>
    </row>
    <row r="1892" customFormat="false" ht="15" hidden="false" customHeight="true" outlineLevel="0" collapsed="false">
      <c r="A1892" s="16"/>
      <c r="B1892" s="16"/>
      <c r="C1892" s="15"/>
      <c r="D1892" s="19"/>
      <c r="E1892" s="20" t="b">
        <f aca="false">AND(A1892&lt;&gt;"",C1892&lt;&gt;"",D1892&lt;&gt;"",C1892&gt;='Read Me'!$B$5)</f>
        <v>0</v>
      </c>
      <c r="F1892" s="23" t="str">
        <f aca="false">IF(E1892,D1892,"")</f>
        <v/>
      </c>
      <c r="G1892" s="21" t="n">
        <f aca="false">IF(E1892,D1892^2,0)</f>
        <v>0</v>
      </c>
      <c r="H1892" s="3"/>
    </row>
    <row r="1893" customFormat="false" ht="15" hidden="false" customHeight="true" outlineLevel="0" collapsed="false">
      <c r="A1893" s="16"/>
      <c r="B1893" s="16"/>
      <c r="C1893" s="15"/>
      <c r="D1893" s="19"/>
      <c r="E1893" s="20" t="b">
        <f aca="false">AND(A1893&lt;&gt;"",C1893&lt;&gt;"",D1893&lt;&gt;"",C1893&gt;='Read Me'!$B$5)</f>
        <v>0</v>
      </c>
      <c r="F1893" s="23" t="str">
        <f aca="false">IF(E1893,D1893,"")</f>
        <v/>
      </c>
      <c r="G1893" s="21" t="n">
        <f aca="false">IF(E1893,D1893^2,0)</f>
        <v>0</v>
      </c>
      <c r="H1893" s="3"/>
    </row>
    <row r="1894" customFormat="false" ht="15" hidden="false" customHeight="true" outlineLevel="0" collapsed="false">
      <c r="A1894" s="16"/>
      <c r="B1894" s="16"/>
      <c r="C1894" s="15"/>
      <c r="D1894" s="19"/>
      <c r="E1894" s="20" t="b">
        <f aca="false">AND(A1894&lt;&gt;"",C1894&lt;&gt;"",D1894&lt;&gt;"",C1894&gt;='Read Me'!$B$5)</f>
        <v>0</v>
      </c>
      <c r="F1894" s="23" t="str">
        <f aca="false">IF(E1894,D1894,"")</f>
        <v/>
      </c>
      <c r="G1894" s="21" t="n">
        <f aca="false">IF(E1894,D1894^2,0)</f>
        <v>0</v>
      </c>
      <c r="H1894" s="3"/>
    </row>
    <row r="1895" customFormat="false" ht="15" hidden="false" customHeight="true" outlineLevel="0" collapsed="false">
      <c r="A1895" s="16"/>
      <c r="B1895" s="16"/>
      <c r="C1895" s="15"/>
      <c r="D1895" s="19"/>
      <c r="E1895" s="20" t="b">
        <f aca="false">AND(A1895&lt;&gt;"",C1895&lt;&gt;"",D1895&lt;&gt;"",C1895&gt;='Read Me'!$B$5)</f>
        <v>0</v>
      </c>
      <c r="F1895" s="23" t="str">
        <f aca="false">IF(E1895,D1895,"")</f>
        <v/>
      </c>
      <c r="G1895" s="21" t="n">
        <f aca="false">IF(E1895,D1895^2,0)</f>
        <v>0</v>
      </c>
      <c r="H1895" s="3"/>
    </row>
    <row r="1896" customFormat="false" ht="15" hidden="false" customHeight="true" outlineLevel="0" collapsed="false">
      <c r="A1896" s="16"/>
      <c r="B1896" s="16"/>
      <c r="C1896" s="15"/>
      <c r="D1896" s="19"/>
      <c r="E1896" s="20" t="b">
        <f aca="false">AND(A1896&lt;&gt;"",C1896&lt;&gt;"",D1896&lt;&gt;"",C1896&gt;='Read Me'!$B$5)</f>
        <v>0</v>
      </c>
      <c r="F1896" s="23" t="str">
        <f aca="false">IF(E1896,D1896,"")</f>
        <v/>
      </c>
      <c r="G1896" s="21" t="n">
        <f aca="false">IF(E1896,D1896^2,0)</f>
        <v>0</v>
      </c>
      <c r="H1896" s="3"/>
    </row>
    <row r="1897" customFormat="false" ht="15" hidden="false" customHeight="true" outlineLevel="0" collapsed="false">
      <c r="A1897" s="16"/>
      <c r="B1897" s="16"/>
      <c r="C1897" s="15"/>
      <c r="D1897" s="19"/>
      <c r="E1897" s="20" t="b">
        <f aca="false">AND(A1897&lt;&gt;"",C1897&lt;&gt;"",D1897&lt;&gt;"",C1897&gt;='Read Me'!$B$5)</f>
        <v>0</v>
      </c>
      <c r="F1897" s="23" t="str">
        <f aca="false">IF(E1897,D1897,"")</f>
        <v/>
      </c>
      <c r="G1897" s="21" t="n">
        <f aca="false">IF(E1897,D1897^2,0)</f>
        <v>0</v>
      </c>
      <c r="H1897" s="3"/>
    </row>
    <row r="1898" customFormat="false" ht="15" hidden="false" customHeight="true" outlineLevel="0" collapsed="false">
      <c r="A1898" s="16"/>
      <c r="B1898" s="16"/>
      <c r="C1898" s="15"/>
      <c r="D1898" s="19"/>
      <c r="E1898" s="20" t="b">
        <f aca="false">AND(A1898&lt;&gt;"",C1898&lt;&gt;"",D1898&lt;&gt;"",C1898&gt;='Read Me'!$B$5)</f>
        <v>0</v>
      </c>
      <c r="F1898" s="23" t="str">
        <f aca="false">IF(E1898,D1898,"")</f>
        <v/>
      </c>
      <c r="G1898" s="21" t="n">
        <f aca="false">IF(E1898,D1898^2,0)</f>
        <v>0</v>
      </c>
      <c r="H1898" s="3"/>
    </row>
    <row r="1899" customFormat="false" ht="15" hidden="false" customHeight="true" outlineLevel="0" collapsed="false">
      <c r="A1899" s="16"/>
      <c r="B1899" s="16"/>
      <c r="C1899" s="15"/>
      <c r="D1899" s="19"/>
      <c r="E1899" s="20" t="b">
        <f aca="false">AND(A1899&lt;&gt;"",C1899&lt;&gt;"",D1899&lt;&gt;"",C1899&gt;='Read Me'!$B$5)</f>
        <v>0</v>
      </c>
      <c r="F1899" s="23" t="str">
        <f aca="false">IF(E1899,D1899,"")</f>
        <v/>
      </c>
      <c r="G1899" s="21" t="n">
        <f aca="false">IF(E1899,D1899^2,0)</f>
        <v>0</v>
      </c>
      <c r="H1899" s="3"/>
    </row>
    <row r="1900" customFormat="false" ht="15" hidden="false" customHeight="true" outlineLevel="0" collapsed="false">
      <c r="A1900" s="16"/>
      <c r="B1900" s="16"/>
      <c r="C1900" s="15"/>
      <c r="D1900" s="19"/>
      <c r="E1900" s="20" t="b">
        <f aca="false">AND(A1900&lt;&gt;"",C1900&lt;&gt;"",D1900&lt;&gt;"",C1900&gt;='Read Me'!$B$5)</f>
        <v>0</v>
      </c>
      <c r="F1900" s="23" t="str">
        <f aca="false">IF(E1900,D1900,"")</f>
        <v/>
      </c>
      <c r="G1900" s="21" t="n">
        <f aca="false">IF(E1900,D1900^2,0)</f>
        <v>0</v>
      </c>
      <c r="H1900" s="3"/>
    </row>
    <row r="1901" customFormat="false" ht="15" hidden="false" customHeight="true" outlineLevel="0" collapsed="false">
      <c r="A1901" s="16"/>
      <c r="B1901" s="16"/>
      <c r="C1901" s="15"/>
      <c r="D1901" s="19"/>
      <c r="E1901" s="20" t="b">
        <f aca="false">AND(A1901&lt;&gt;"",C1901&lt;&gt;"",D1901&lt;&gt;"",C1901&gt;='Read Me'!$B$5)</f>
        <v>0</v>
      </c>
      <c r="F1901" s="23" t="str">
        <f aca="false">IF(E1901,D1901,"")</f>
        <v/>
      </c>
      <c r="G1901" s="21" t="n">
        <f aca="false">IF(E1901,D1901^2,0)</f>
        <v>0</v>
      </c>
      <c r="H1901" s="3"/>
    </row>
    <row r="1902" customFormat="false" ht="15" hidden="false" customHeight="true" outlineLevel="0" collapsed="false">
      <c r="A1902" s="16"/>
      <c r="B1902" s="16"/>
      <c r="C1902" s="15"/>
      <c r="D1902" s="19"/>
      <c r="E1902" s="20" t="b">
        <f aca="false">AND(A1902&lt;&gt;"",C1902&lt;&gt;"",D1902&lt;&gt;"",C1902&gt;='Read Me'!$B$5)</f>
        <v>0</v>
      </c>
      <c r="F1902" s="23" t="str">
        <f aca="false">IF(E1902,D1902,"")</f>
        <v/>
      </c>
      <c r="G1902" s="21" t="n">
        <f aca="false">IF(E1902,D1902^2,0)</f>
        <v>0</v>
      </c>
      <c r="H1902" s="3"/>
    </row>
    <row r="1903" customFormat="false" ht="15" hidden="false" customHeight="true" outlineLevel="0" collapsed="false">
      <c r="A1903" s="16"/>
      <c r="B1903" s="16"/>
      <c r="C1903" s="15"/>
      <c r="D1903" s="19"/>
      <c r="E1903" s="20" t="b">
        <f aca="false">AND(A1903&lt;&gt;"",C1903&lt;&gt;"",D1903&lt;&gt;"",C1903&gt;='Read Me'!$B$5)</f>
        <v>0</v>
      </c>
      <c r="F1903" s="23" t="str">
        <f aca="false">IF(E1903,D1903,"")</f>
        <v/>
      </c>
      <c r="G1903" s="21" t="n">
        <f aca="false">IF(E1903,D1903^2,0)</f>
        <v>0</v>
      </c>
      <c r="H1903" s="3"/>
    </row>
    <row r="1904" customFormat="false" ht="15" hidden="false" customHeight="true" outlineLevel="0" collapsed="false">
      <c r="A1904" s="16"/>
      <c r="B1904" s="16"/>
      <c r="C1904" s="15"/>
      <c r="D1904" s="19"/>
      <c r="E1904" s="20" t="b">
        <f aca="false">AND(A1904&lt;&gt;"",C1904&lt;&gt;"",D1904&lt;&gt;"",C1904&gt;='Read Me'!$B$5)</f>
        <v>0</v>
      </c>
      <c r="F1904" s="23" t="str">
        <f aca="false">IF(E1904,D1904,"")</f>
        <v/>
      </c>
      <c r="G1904" s="21" t="n">
        <f aca="false">IF(E1904,D1904^2,0)</f>
        <v>0</v>
      </c>
      <c r="H1904" s="3"/>
    </row>
    <row r="1905" customFormat="false" ht="15" hidden="false" customHeight="true" outlineLevel="0" collapsed="false">
      <c r="A1905" s="16"/>
      <c r="B1905" s="16"/>
      <c r="C1905" s="15"/>
      <c r="D1905" s="19"/>
      <c r="E1905" s="20" t="b">
        <f aca="false">AND(A1905&lt;&gt;"",C1905&lt;&gt;"",D1905&lt;&gt;"",C1905&gt;='Read Me'!$B$5)</f>
        <v>0</v>
      </c>
      <c r="F1905" s="23" t="str">
        <f aca="false">IF(E1905,D1905,"")</f>
        <v/>
      </c>
      <c r="G1905" s="21" t="n">
        <f aca="false">IF(E1905,D1905^2,0)</f>
        <v>0</v>
      </c>
      <c r="H1905" s="3"/>
    </row>
    <row r="1906" customFormat="false" ht="15" hidden="false" customHeight="true" outlineLevel="0" collapsed="false">
      <c r="A1906" s="16"/>
      <c r="B1906" s="16"/>
      <c r="C1906" s="15"/>
      <c r="D1906" s="19"/>
      <c r="E1906" s="20" t="b">
        <f aca="false">AND(A1906&lt;&gt;"",C1906&lt;&gt;"",D1906&lt;&gt;"",C1906&gt;='Read Me'!$B$5)</f>
        <v>0</v>
      </c>
      <c r="F1906" s="23" t="str">
        <f aca="false">IF(E1906,D1906,"")</f>
        <v/>
      </c>
      <c r="G1906" s="21" t="n">
        <f aca="false">IF(E1906,D1906^2,0)</f>
        <v>0</v>
      </c>
      <c r="H1906" s="3"/>
    </row>
    <row r="1907" customFormat="false" ht="15" hidden="false" customHeight="true" outlineLevel="0" collapsed="false">
      <c r="A1907" s="16"/>
      <c r="B1907" s="16"/>
      <c r="C1907" s="15"/>
      <c r="D1907" s="19"/>
      <c r="E1907" s="20" t="b">
        <f aca="false">AND(A1907&lt;&gt;"",C1907&lt;&gt;"",D1907&lt;&gt;"",C1907&gt;='Read Me'!$B$5)</f>
        <v>0</v>
      </c>
      <c r="F1907" s="23" t="str">
        <f aca="false">IF(E1907,D1907,"")</f>
        <v/>
      </c>
      <c r="G1907" s="21" t="n">
        <f aca="false">IF(E1907,D1907^2,0)</f>
        <v>0</v>
      </c>
      <c r="H1907" s="3"/>
    </row>
    <row r="1908" customFormat="false" ht="15" hidden="false" customHeight="true" outlineLevel="0" collapsed="false">
      <c r="A1908" s="16"/>
      <c r="B1908" s="16"/>
      <c r="C1908" s="15"/>
      <c r="D1908" s="19"/>
      <c r="E1908" s="20" t="b">
        <f aca="false">AND(A1908&lt;&gt;"",C1908&lt;&gt;"",D1908&lt;&gt;"",C1908&gt;='Read Me'!$B$5)</f>
        <v>0</v>
      </c>
      <c r="F1908" s="23" t="str">
        <f aca="false">IF(E1908,D1908,"")</f>
        <v/>
      </c>
      <c r="G1908" s="21" t="n">
        <f aca="false">IF(E1908,D1908^2,0)</f>
        <v>0</v>
      </c>
      <c r="H1908" s="3"/>
    </row>
    <row r="1909" customFormat="false" ht="15" hidden="false" customHeight="true" outlineLevel="0" collapsed="false">
      <c r="A1909" s="16"/>
      <c r="B1909" s="16"/>
      <c r="C1909" s="15"/>
      <c r="D1909" s="19"/>
      <c r="E1909" s="20" t="b">
        <f aca="false">AND(A1909&lt;&gt;"",C1909&lt;&gt;"",D1909&lt;&gt;"",C1909&gt;='Read Me'!$B$5)</f>
        <v>0</v>
      </c>
      <c r="F1909" s="23" t="str">
        <f aca="false">IF(E1909,D1909,"")</f>
        <v/>
      </c>
      <c r="G1909" s="21" t="n">
        <f aca="false">IF(E1909,D1909^2,0)</f>
        <v>0</v>
      </c>
      <c r="H1909" s="3"/>
    </row>
    <row r="1910" customFormat="false" ht="15" hidden="false" customHeight="true" outlineLevel="0" collapsed="false">
      <c r="A1910" s="16"/>
      <c r="B1910" s="16"/>
      <c r="C1910" s="15"/>
      <c r="D1910" s="19"/>
      <c r="E1910" s="20" t="b">
        <f aca="false">AND(A1910&lt;&gt;"",C1910&lt;&gt;"",D1910&lt;&gt;"",C1910&gt;='Read Me'!$B$5)</f>
        <v>0</v>
      </c>
      <c r="F1910" s="23" t="str">
        <f aca="false">IF(E1910,D1910,"")</f>
        <v/>
      </c>
      <c r="G1910" s="21" t="n">
        <f aca="false">IF(E1910,D1910^2,0)</f>
        <v>0</v>
      </c>
      <c r="H1910" s="3"/>
    </row>
    <row r="1911" customFormat="false" ht="15" hidden="false" customHeight="true" outlineLevel="0" collapsed="false">
      <c r="A1911" s="16"/>
      <c r="B1911" s="16"/>
      <c r="C1911" s="15"/>
      <c r="D1911" s="19"/>
      <c r="E1911" s="20" t="b">
        <f aca="false">AND(A1911&lt;&gt;"",C1911&lt;&gt;"",D1911&lt;&gt;"",C1911&gt;='Read Me'!$B$5)</f>
        <v>0</v>
      </c>
      <c r="F1911" s="23" t="str">
        <f aca="false">IF(E1911,D1911,"")</f>
        <v/>
      </c>
      <c r="G1911" s="21" t="n">
        <f aca="false">IF(E1911,D1911^2,0)</f>
        <v>0</v>
      </c>
      <c r="H1911" s="3"/>
    </row>
    <row r="1912" customFormat="false" ht="15" hidden="false" customHeight="true" outlineLevel="0" collapsed="false">
      <c r="A1912" s="16"/>
      <c r="B1912" s="16"/>
      <c r="C1912" s="15"/>
      <c r="D1912" s="19"/>
      <c r="E1912" s="20" t="b">
        <f aca="false">AND(A1912&lt;&gt;"",C1912&lt;&gt;"",D1912&lt;&gt;"",C1912&gt;='Read Me'!$B$5)</f>
        <v>0</v>
      </c>
      <c r="F1912" s="23" t="str">
        <f aca="false">IF(E1912,D1912,"")</f>
        <v/>
      </c>
      <c r="G1912" s="21" t="n">
        <f aca="false">IF(E1912,D1912^2,0)</f>
        <v>0</v>
      </c>
      <c r="H1912" s="3"/>
    </row>
    <row r="1913" customFormat="false" ht="15" hidden="false" customHeight="true" outlineLevel="0" collapsed="false">
      <c r="A1913" s="16"/>
      <c r="B1913" s="16"/>
      <c r="C1913" s="15"/>
      <c r="D1913" s="19"/>
      <c r="E1913" s="20" t="b">
        <f aca="false">AND(A1913&lt;&gt;"",C1913&lt;&gt;"",D1913&lt;&gt;"",C1913&gt;='Read Me'!$B$5)</f>
        <v>0</v>
      </c>
      <c r="F1913" s="23" t="str">
        <f aca="false">IF(E1913,D1913,"")</f>
        <v/>
      </c>
      <c r="G1913" s="21" t="n">
        <f aca="false">IF(E1913,D1913^2,0)</f>
        <v>0</v>
      </c>
      <c r="H1913" s="3"/>
    </row>
    <row r="1914" customFormat="false" ht="15" hidden="false" customHeight="true" outlineLevel="0" collapsed="false">
      <c r="A1914" s="16"/>
      <c r="B1914" s="16"/>
      <c r="C1914" s="15"/>
      <c r="D1914" s="19"/>
      <c r="E1914" s="20" t="b">
        <f aca="false">AND(A1914&lt;&gt;"",C1914&lt;&gt;"",D1914&lt;&gt;"",C1914&gt;='Read Me'!$B$5)</f>
        <v>0</v>
      </c>
      <c r="F1914" s="23" t="str">
        <f aca="false">IF(E1914,D1914,"")</f>
        <v/>
      </c>
      <c r="G1914" s="21" t="n">
        <f aca="false">IF(E1914,D1914^2,0)</f>
        <v>0</v>
      </c>
      <c r="H1914" s="3"/>
    </row>
    <row r="1915" customFormat="false" ht="15" hidden="false" customHeight="true" outlineLevel="0" collapsed="false">
      <c r="A1915" s="16"/>
      <c r="B1915" s="16"/>
      <c r="C1915" s="15"/>
      <c r="D1915" s="19"/>
      <c r="E1915" s="20" t="b">
        <f aca="false">AND(A1915&lt;&gt;"",C1915&lt;&gt;"",D1915&lt;&gt;"",C1915&gt;='Read Me'!$B$5)</f>
        <v>0</v>
      </c>
      <c r="F1915" s="23" t="str">
        <f aca="false">IF(E1915,D1915,"")</f>
        <v/>
      </c>
      <c r="G1915" s="21" t="n">
        <f aca="false">IF(E1915,D1915^2,0)</f>
        <v>0</v>
      </c>
      <c r="H1915" s="3"/>
    </row>
    <row r="1916" customFormat="false" ht="15" hidden="false" customHeight="true" outlineLevel="0" collapsed="false">
      <c r="A1916" s="16"/>
      <c r="B1916" s="16"/>
      <c r="C1916" s="15"/>
      <c r="D1916" s="19"/>
      <c r="E1916" s="20" t="b">
        <f aca="false">AND(A1916&lt;&gt;"",C1916&lt;&gt;"",D1916&lt;&gt;"",C1916&gt;='Read Me'!$B$5)</f>
        <v>0</v>
      </c>
      <c r="F1916" s="23" t="str">
        <f aca="false">IF(E1916,D1916,"")</f>
        <v/>
      </c>
      <c r="G1916" s="21" t="n">
        <f aca="false">IF(E1916,D1916^2,0)</f>
        <v>0</v>
      </c>
      <c r="H1916" s="3"/>
    </row>
    <row r="1917" customFormat="false" ht="15" hidden="false" customHeight="true" outlineLevel="0" collapsed="false">
      <c r="A1917" s="16"/>
      <c r="B1917" s="16"/>
      <c r="C1917" s="15"/>
      <c r="D1917" s="19"/>
      <c r="E1917" s="20" t="b">
        <f aca="false">AND(A1917&lt;&gt;"",C1917&lt;&gt;"",D1917&lt;&gt;"",C1917&gt;='Read Me'!$B$5)</f>
        <v>0</v>
      </c>
      <c r="F1917" s="23" t="str">
        <f aca="false">IF(E1917,D1917,"")</f>
        <v/>
      </c>
      <c r="G1917" s="21" t="n">
        <f aca="false">IF(E1917,D1917^2,0)</f>
        <v>0</v>
      </c>
      <c r="H1917" s="3"/>
    </row>
    <row r="1918" customFormat="false" ht="15" hidden="false" customHeight="true" outlineLevel="0" collapsed="false">
      <c r="A1918" s="16"/>
      <c r="B1918" s="16"/>
      <c r="C1918" s="15"/>
      <c r="D1918" s="19"/>
      <c r="E1918" s="20" t="b">
        <f aca="false">AND(A1918&lt;&gt;"",C1918&lt;&gt;"",D1918&lt;&gt;"",C1918&gt;='Read Me'!$B$5)</f>
        <v>0</v>
      </c>
      <c r="F1918" s="23" t="str">
        <f aca="false">IF(E1918,D1918,"")</f>
        <v/>
      </c>
      <c r="G1918" s="21" t="n">
        <f aca="false">IF(E1918,D1918^2,0)</f>
        <v>0</v>
      </c>
      <c r="H1918" s="3"/>
    </row>
    <row r="1919" customFormat="false" ht="15" hidden="false" customHeight="true" outlineLevel="0" collapsed="false">
      <c r="A1919" s="16"/>
      <c r="B1919" s="16"/>
      <c r="C1919" s="15"/>
      <c r="D1919" s="19"/>
      <c r="E1919" s="20" t="b">
        <f aca="false">AND(A1919&lt;&gt;"",C1919&lt;&gt;"",D1919&lt;&gt;"",C1919&gt;='Read Me'!$B$5)</f>
        <v>0</v>
      </c>
      <c r="F1919" s="23" t="str">
        <f aca="false">IF(E1919,D1919,"")</f>
        <v/>
      </c>
      <c r="G1919" s="21" t="n">
        <f aca="false">IF(E1919,D1919^2,0)</f>
        <v>0</v>
      </c>
      <c r="H1919" s="3"/>
    </row>
    <row r="1920" customFormat="false" ht="15" hidden="false" customHeight="true" outlineLevel="0" collapsed="false">
      <c r="A1920" s="16"/>
      <c r="B1920" s="16"/>
      <c r="C1920" s="15"/>
      <c r="D1920" s="19"/>
      <c r="E1920" s="20" t="b">
        <f aca="false">AND(A1920&lt;&gt;"",C1920&lt;&gt;"",D1920&lt;&gt;"",C1920&gt;='Read Me'!$B$5)</f>
        <v>0</v>
      </c>
      <c r="F1920" s="23" t="str">
        <f aca="false">IF(E1920,D1920,"")</f>
        <v/>
      </c>
      <c r="G1920" s="21" t="n">
        <f aca="false">IF(E1920,D1920^2,0)</f>
        <v>0</v>
      </c>
      <c r="H1920" s="3"/>
    </row>
    <row r="1921" customFormat="false" ht="15" hidden="false" customHeight="true" outlineLevel="0" collapsed="false">
      <c r="A1921" s="16"/>
      <c r="B1921" s="16"/>
      <c r="C1921" s="15"/>
      <c r="D1921" s="19"/>
      <c r="E1921" s="20" t="b">
        <f aca="false">AND(A1921&lt;&gt;"",C1921&lt;&gt;"",D1921&lt;&gt;"",C1921&gt;='Read Me'!$B$5)</f>
        <v>0</v>
      </c>
      <c r="F1921" s="23" t="str">
        <f aca="false">IF(E1921,D1921,"")</f>
        <v/>
      </c>
      <c r="G1921" s="21" t="n">
        <f aca="false">IF(E1921,D1921^2,0)</f>
        <v>0</v>
      </c>
      <c r="H1921" s="3"/>
    </row>
    <row r="1922" customFormat="false" ht="15" hidden="false" customHeight="true" outlineLevel="0" collapsed="false">
      <c r="A1922" s="16"/>
      <c r="B1922" s="16"/>
      <c r="C1922" s="15"/>
      <c r="D1922" s="19"/>
      <c r="E1922" s="20" t="b">
        <f aca="false">AND(A1922&lt;&gt;"",C1922&lt;&gt;"",D1922&lt;&gt;"",C1922&gt;='Read Me'!$B$5)</f>
        <v>0</v>
      </c>
      <c r="F1922" s="23" t="str">
        <f aca="false">IF(E1922,D1922,"")</f>
        <v/>
      </c>
      <c r="G1922" s="21" t="n">
        <f aca="false">IF(E1922,D1922^2,0)</f>
        <v>0</v>
      </c>
      <c r="H1922" s="3"/>
    </row>
    <row r="1923" customFormat="false" ht="15" hidden="false" customHeight="true" outlineLevel="0" collapsed="false">
      <c r="A1923" s="16"/>
      <c r="B1923" s="16"/>
      <c r="C1923" s="15"/>
      <c r="D1923" s="19"/>
      <c r="E1923" s="20" t="b">
        <f aca="false">AND(A1923&lt;&gt;"",C1923&lt;&gt;"",D1923&lt;&gt;"",C1923&gt;='Read Me'!$B$5)</f>
        <v>0</v>
      </c>
      <c r="F1923" s="23" t="str">
        <f aca="false">IF(E1923,D1923,"")</f>
        <v/>
      </c>
      <c r="G1923" s="21" t="n">
        <f aca="false">IF(E1923,D1923^2,0)</f>
        <v>0</v>
      </c>
      <c r="H1923" s="3"/>
    </row>
    <row r="1924" customFormat="false" ht="15" hidden="false" customHeight="true" outlineLevel="0" collapsed="false">
      <c r="A1924" s="16"/>
      <c r="B1924" s="16"/>
      <c r="C1924" s="15"/>
      <c r="D1924" s="19"/>
      <c r="E1924" s="20" t="b">
        <f aca="false">AND(A1924&lt;&gt;"",C1924&lt;&gt;"",D1924&lt;&gt;"",C1924&gt;='Read Me'!$B$5)</f>
        <v>0</v>
      </c>
      <c r="F1924" s="23" t="str">
        <f aca="false">IF(E1924,D1924,"")</f>
        <v/>
      </c>
      <c r="G1924" s="21" t="n">
        <f aca="false">IF(E1924,D1924^2,0)</f>
        <v>0</v>
      </c>
      <c r="H1924" s="3"/>
    </row>
    <row r="1925" customFormat="false" ht="15" hidden="false" customHeight="true" outlineLevel="0" collapsed="false">
      <c r="A1925" s="16"/>
      <c r="B1925" s="16"/>
      <c r="C1925" s="15"/>
      <c r="D1925" s="19"/>
      <c r="E1925" s="20" t="b">
        <f aca="false">AND(A1925&lt;&gt;"",C1925&lt;&gt;"",D1925&lt;&gt;"",C1925&gt;='Read Me'!$B$5)</f>
        <v>0</v>
      </c>
      <c r="F1925" s="23" t="str">
        <f aca="false">IF(E1925,D1925,"")</f>
        <v/>
      </c>
      <c r="G1925" s="21" t="n">
        <f aca="false">IF(E1925,D1925^2,0)</f>
        <v>0</v>
      </c>
      <c r="H1925" s="3"/>
    </row>
    <row r="1926" customFormat="false" ht="15" hidden="false" customHeight="true" outlineLevel="0" collapsed="false">
      <c r="A1926" s="16"/>
      <c r="B1926" s="16"/>
      <c r="C1926" s="15"/>
      <c r="D1926" s="19"/>
      <c r="E1926" s="20" t="b">
        <f aca="false">AND(A1926&lt;&gt;"",C1926&lt;&gt;"",D1926&lt;&gt;"",C1926&gt;='Read Me'!$B$5)</f>
        <v>0</v>
      </c>
      <c r="F1926" s="23" t="str">
        <f aca="false">IF(E1926,D1926,"")</f>
        <v/>
      </c>
      <c r="G1926" s="21" t="n">
        <f aca="false">IF(E1926,D1926^2,0)</f>
        <v>0</v>
      </c>
      <c r="H1926" s="3"/>
    </row>
    <row r="1927" customFormat="false" ht="15" hidden="false" customHeight="true" outlineLevel="0" collapsed="false">
      <c r="A1927" s="16"/>
      <c r="B1927" s="16"/>
      <c r="C1927" s="15"/>
      <c r="D1927" s="19"/>
      <c r="E1927" s="20" t="b">
        <f aca="false">AND(A1927&lt;&gt;"",C1927&lt;&gt;"",D1927&lt;&gt;"",C1927&gt;='Read Me'!$B$5)</f>
        <v>0</v>
      </c>
      <c r="F1927" s="23" t="str">
        <f aca="false">IF(E1927,D1927,"")</f>
        <v/>
      </c>
      <c r="G1927" s="21" t="n">
        <f aca="false">IF(E1927,D1927^2,0)</f>
        <v>0</v>
      </c>
      <c r="H1927" s="3"/>
    </row>
    <row r="1928" customFormat="false" ht="15" hidden="false" customHeight="true" outlineLevel="0" collapsed="false">
      <c r="A1928" s="16"/>
      <c r="B1928" s="16"/>
      <c r="C1928" s="15"/>
      <c r="D1928" s="19"/>
      <c r="E1928" s="20" t="b">
        <f aca="false">AND(A1928&lt;&gt;"",C1928&lt;&gt;"",D1928&lt;&gt;"",C1928&gt;='Read Me'!$B$5)</f>
        <v>0</v>
      </c>
      <c r="F1928" s="23" t="str">
        <f aca="false">IF(E1928,D1928,"")</f>
        <v/>
      </c>
      <c r="G1928" s="21" t="n">
        <f aca="false">IF(E1928,D1928^2,0)</f>
        <v>0</v>
      </c>
      <c r="H1928" s="3"/>
    </row>
    <row r="1929" customFormat="false" ht="15" hidden="false" customHeight="true" outlineLevel="0" collapsed="false">
      <c r="A1929" s="16"/>
      <c r="B1929" s="16"/>
      <c r="C1929" s="15"/>
      <c r="D1929" s="19"/>
      <c r="E1929" s="20" t="b">
        <f aca="false">AND(A1929&lt;&gt;"",C1929&lt;&gt;"",D1929&lt;&gt;"",C1929&gt;='Read Me'!$B$5)</f>
        <v>0</v>
      </c>
      <c r="F1929" s="23" t="str">
        <f aca="false">IF(E1929,D1929,"")</f>
        <v/>
      </c>
      <c r="G1929" s="21" t="n">
        <f aca="false">IF(E1929,D1929^2,0)</f>
        <v>0</v>
      </c>
      <c r="H1929" s="3"/>
    </row>
    <row r="1930" customFormat="false" ht="15" hidden="false" customHeight="true" outlineLevel="0" collapsed="false">
      <c r="A1930" s="16"/>
      <c r="B1930" s="16"/>
      <c r="C1930" s="15"/>
      <c r="D1930" s="19"/>
      <c r="E1930" s="20" t="b">
        <f aca="false">AND(A1930&lt;&gt;"",C1930&lt;&gt;"",D1930&lt;&gt;"",C1930&gt;='Read Me'!$B$5)</f>
        <v>0</v>
      </c>
      <c r="F1930" s="23" t="str">
        <f aca="false">IF(E1930,D1930,"")</f>
        <v/>
      </c>
      <c r="G1930" s="21" t="n">
        <f aca="false">IF(E1930,D1930^2,0)</f>
        <v>0</v>
      </c>
      <c r="H1930" s="3"/>
    </row>
    <row r="1931" customFormat="false" ht="15" hidden="false" customHeight="true" outlineLevel="0" collapsed="false">
      <c r="A1931" s="16"/>
      <c r="B1931" s="16"/>
      <c r="C1931" s="15"/>
      <c r="D1931" s="19"/>
      <c r="E1931" s="20" t="b">
        <f aca="false">AND(A1931&lt;&gt;"",C1931&lt;&gt;"",D1931&lt;&gt;"",C1931&gt;='Read Me'!$B$5)</f>
        <v>0</v>
      </c>
      <c r="F1931" s="23" t="str">
        <f aca="false">IF(E1931,D1931,"")</f>
        <v/>
      </c>
      <c r="G1931" s="21" t="n">
        <f aca="false">IF(E1931,D1931^2,0)</f>
        <v>0</v>
      </c>
      <c r="H1931" s="3"/>
    </row>
    <row r="1932" customFormat="false" ht="15" hidden="false" customHeight="true" outlineLevel="0" collapsed="false">
      <c r="A1932" s="16"/>
      <c r="B1932" s="16"/>
      <c r="C1932" s="15"/>
      <c r="D1932" s="19"/>
      <c r="E1932" s="20" t="b">
        <f aca="false">AND(A1932&lt;&gt;"",C1932&lt;&gt;"",D1932&lt;&gt;"",C1932&gt;='Read Me'!$B$5)</f>
        <v>0</v>
      </c>
      <c r="F1932" s="23" t="str">
        <f aca="false">IF(E1932,D1932,"")</f>
        <v/>
      </c>
      <c r="G1932" s="21" t="n">
        <f aca="false">IF(E1932,D1932^2,0)</f>
        <v>0</v>
      </c>
      <c r="H1932" s="3"/>
    </row>
    <row r="1933" customFormat="false" ht="15" hidden="false" customHeight="true" outlineLevel="0" collapsed="false">
      <c r="A1933" s="16"/>
      <c r="B1933" s="16"/>
      <c r="C1933" s="15"/>
      <c r="D1933" s="19"/>
      <c r="E1933" s="20" t="b">
        <f aca="false">AND(A1933&lt;&gt;"",C1933&lt;&gt;"",D1933&lt;&gt;"",C1933&gt;='Read Me'!$B$5)</f>
        <v>0</v>
      </c>
      <c r="F1933" s="23" t="str">
        <f aca="false">IF(E1933,D1933,"")</f>
        <v/>
      </c>
      <c r="G1933" s="21" t="n">
        <f aca="false">IF(E1933,D1933^2,0)</f>
        <v>0</v>
      </c>
      <c r="H1933" s="3"/>
    </row>
    <row r="1934" customFormat="false" ht="15" hidden="false" customHeight="true" outlineLevel="0" collapsed="false">
      <c r="A1934" s="16"/>
      <c r="B1934" s="16"/>
      <c r="C1934" s="15"/>
      <c r="D1934" s="19"/>
      <c r="E1934" s="20" t="b">
        <f aca="false">AND(A1934&lt;&gt;"",C1934&lt;&gt;"",D1934&lt;&gt;"",C1934&gt;='Read Me'!$B$5)</f>
        <v>0</v>
      </c>
      <c r="F1934" s="23" t="str">
        <f aca="false">IF(E1934,D1934,"")</f>
        <v/>
      </c>
      <c r="G1934" s="21" t="n">
        <f aca="false">IF(E1934,D1934^2,0)</f>
        <v>0</v>
      </c>
      <c r="H1934" s="3"/>
    </row>
    <row r="1935" customFormat="false" ht="15" hidden="false" customHeight="true" outlineLevel="0" collapsed="false">
      <c r="A1935" s="16"/>
      <c r="B1935" s="16"/>
      <c r="C1935" s="15"/>
      <c r="D1935" s="19"/>
      <c r="E1935" s="20" t="b">
        <f aca="false">AND(A1935&lt;&gt;"",C1935&lt;&gt;"",D1935&lt;&gt;"",C1935&gt;='Read Me'!$B$5)</f>
        <v>0</v>
      </c>
      <c r="F1935" s="23" t="str">
        <f aca="false">IF(E1935,D1935,"")</f>
        <v/>
      </c>
      <c r="G1935" s="21" t="n">
        <f aca="false">IF(E1935,D1935^2,0)</f>
        <v>0</v>
      </c>
      <c r="H1935" s="3"/>
    </row>
    <row r="1936" customFormat="false" ht="15" hidden="false" customHeight="true" outlineLevel="0" collapsed="false">
      <c r="A1936" s="16"/>
      <c r="B1936" s="16"/>
      <c r="C1936" s="15"/>
      <c r="D1936" s="19"/>
      <c r="E1936" s="20" t="b">
        <f aca="false">AND(A1936&lt;&gt;"",C1936&lt;&gt;"",D1936&lt;&gt;"",C1936&gt;='Read Me'!$B$5)</f>
        <v>0</v>
      </c>
      <c r="F1936" s="23" t="str">
        <f aca="false">IF(E1936,D1936,"")</f>
        <v/>
      </c>
      <c r="G1936" s="21" t="n">
        <f aca="false">IF(E1936,D1936^2,0)</f>
        <v>0</v>
      </c>
      <c r="H1936" s="3"/>
    </row>
    <row r="1937" customFormat="false" ht="15" hidden="false" customHeight="true" outlineLevel="0" collapsed="false">
      <c r="A1937" s="16"/>
      <c r="B1937" s="16"/>
      <c r="C1937" s="15"/>
      <c r="D1937" s="19"/>
      <c r="E1937" s="20" t="b">
        <f aca="false">AND(A1937&lt;&gt;"",C1937&lt;&gt;"",D1937&lt;&gt;"",C1937&gt;='Read Me'!$B$5)</f>
        <v>0</v>
      </c>
      <c r="F1937" s="23" t="str">
        <f aca="false">IF(E1937,D1937,"")</f>
        <v/>
      </c>
      <c r="G1937" s="21" t="n">
        <f aca="false">IF(E1937,D1937^2,0)</f>
        <v>0</v>
      </c>
      <c r="H1937" s="3"/>
    </row>
    <row r="1938" customFormat="false" ht="15" hidden="false" customHeight="true" outlineLevel="0" collapsed="false">
      <c r="A1938" s="16"/>
      <c r="B1938" s="16"/>
      <c r="C1938" s="15"/>
      <c r="D1938" s="19"/>
      <c r="E1938" s="20" t="b">
        <f aca="false">AND(A1938&lt;&gt;"",C1938&lt;&gt;"",D1938&lt;&gt;"",C1938&gt;='Read Me'!$B$5)</f>
        <v>0</v>
      </c>
      <c r="F1938" s="23" t="str">
        <f aca="false">IF(E1938,D1938,"")</f>
        <v/>
      </c>
      <c r="G1938" s="21" t="n">
        <f aca="false">IF(E1938,D1938^2,0)</f>
        <v>0</v>
      </c>
      <c r="H1938" s="3"/>
    </row>
    <row r="1939" customFormat="false" ht="15" hidden="false" customHeight="true" outlineLevel="0" collapsed="false">
      <c r="A1939" s="16"/>
      <c r="B1939" s="16"/>
      <c r="C1939" s="15"/>
      <c r="D1939" s="19"/>
      <c r="E1939" s="20" t="b">
        <f aca="false">AND(A1939&lt;&gt;"",C1939&lt;&gt;"",D1939&lt;&gt;"",C1939&gt;='Read Me'!$B$5)</f>
        <v>0</v>
      </c>
      <c r="F1939" s="23" t="str">
        <f aca="false">IF(E1939,D1939,"")</f>
        <v/>
      </c>
      <c r="G1939" s="21" t="n">
        <f aca="false">IF(E1939,D1939^2,0)</f>
        <v>0</v>
      </c>
      <c r="H1939" s="3"/>
    </row>
    <row r="1940" customFormat="false" ht="15" hidden="false" customHeight="true" outlineLevel="0" collapsed="false">
      <c r="A1940" s="16"/>
      <c r="B1940" s="16"/>
      <c r="C1940" s="15"/>
      <c r="D1940" s="19"/>
      <c r="E1940" s="20" t="b">
        <f aca="false">AND(A1940&lt;&gt;"",C1940&lt;&gt;"",D1940&lt;&gt;"",C1940&gt;='Read Me'!$B$5)</f>
        <v>0</v>
      </c>
      <c r="F1940" s="23" t="str">
        <f aca="false">IF(E1940,D1940,"")</f>
        <v/>
      </c>
      <c r="G1940" s="21" t="n">
        <f aca="false">IF(E1940,D1940^2,0)</f>
        <v>0</v>
      </c>
      <c r="H1940" s="3"/>
    </row>
    <row r="1941" customFormat="false" ht="15" hidden="false" customHeight="true" outlineLevel="0" collapsed="false">
      <c r="A1941" s="16"/>
      <c r="B1941" s="16"/>
      <c r="C1941" s="15"/>
      <c r="D1941" s="19"/>
      <c r="E1941" s="20" t="b">
        <f aca="false">AND(A1941&lt;&gt;"",C1941&lt;&gt;"",D1941&lt;&gt;"",C1941&gt;='Read Me'!$B$5)</f>
        <v>0</v>
      </c>
      <c r="F1941" s="23" t="str">
        <f aca="false">IF(E1941,D1941,"")</f>
        <v/>
      </c>
      <c r="G1941" s="21" t="n">
        <f aca="false">IF(E1941,D1941^2,0)</f>
        <v>0</v>
      </c>
      <c r="H1941" s="3"/>
    </row>
    <row r="1942" customFormat="false" ht="15" hidden="false" customHeight="true" outlineLevel="0" collapsed="false">
      <c r="A1942" s="16"/>
      <c r="B1942" s="16"/>
      <c r="C1942" s="15"/>
      <c r="D1942" s="19"/>
      <c r="E1942" s="20" t="b">
        <f aca="false">AND(A1942&lt;&gt;"",C1942&lt;&gt;"",D1942&lt;&gt;"",C1942&gt;='Read Me'!$B$5)</f>
        <v>0</v>
      </c>
      <c r="F1942" s="23" t="str">
        <f aca="false">IF(E1942,D1942,"")</f>
        <v/>
      </c>
      <c r="G1942" s="21" t="n">
        <f aca="false">IF(E1942,D1942^2,0)</f>
        <v>0</v>
      </c>
      <c r="H1942" s="3"/>
    </row>
    <row r="1943" customFormat="false" ht="15" hidden="false" customHeight="true" outlineLevel="0" collapsed="false">
      <c r="A1943" s="16"/>
      <c r="B1943" s="16"/>
      <c r="C1943" s="15"/>
      <c r="D1943" s="19"/>
      <c r="E1943" s="20" t="b">
        <f aca="false">AND(A1943&lt;&gt;"",C1943&lt;&gt;"",D1943&lt;&gt;"",C1943&gt;='Read Me'!$B$5)</f>
        <v>0</v>
      </c>
      <c r="F1943" s="23" t="str">
        <f aca="false">IF(E1943,D1943,"")</f>
        <v/>
      </c>
      <c r="G1943" s="21" t="n">
        <f aca="false">IF(E1943,D1943^2,0)</f>
        <v>0</v>
      </c>
      <c r="H1943" s="3"/>
    </row>
    <row r="1944" customFormat="false" ht="15" hidden="false" customHeight="true" outlineLevel="0" collapsed="false">
      <c r="A1944" s="16"/>
      <c r="B1944" s="16"/>
      <c r="C1944" s="15"/>
      <c r="D1944" s="19"/>
      <c r="E1944" s="20" t="b">
        <f aca="false">AND(A1944&lt;&gt;"",C1944&lt;&gt;"",D1944&lt;&gt;"",C1944&gt;='Read Me'!$B$5)</f>
        <v>0</v>
      </c>
      <c r="F1944" s="23" t="str">
        <f aca="false">IF(E1944,D1944,"")</f>
        <v/>
      </c>
      <c r="G1944" s="21" t="n">
        <f aca="false">IF(E1944,D1944^2,0)</f>
        <v>0</v>
      </c>
      <c r="H1944" s="3"/>
    </row>
    <row r="1945" customFormat="false" ht="15" hidden="false" customHeight="true" outlineLevel="0" collapsed="false">
      <c r="A1945" s="16"/>
      <c r="B1945" s="16"/>
      <c r="C1945" s="15"/>
      <c r="D1945" s="19"/>
      <c r="E1945" s="20" t="b">
        <f aca="false">AND(A1945&lt;&gt;"",C1945&lt;&gt;"",D1945&lt;&gt;"",C1945&gt;='Read Me'!$B$5)</f>
        <v>0</v>
      </c>
      <c r="F1945" s="23" t="str">
        <f aca="false">IF(E1945,D1945,"")</f>
        <v/>
      </c>
      <c r="G1945" s="21" t="n">
        <f aca="false">IF(E1945,D1945^2,0)</f>
        <v>0</v>
      </c>
      <c r="H1945" s="3"/>
    </row>
    <row r="1946" customFormat="false" ht="15" hidden="false" customHeight="true" outlineLevel="0" collapsed="false">
      <c r="A1946" s="16"/>
      <c r="B1946" s="16"/>
      <c r="C1946" s="15"/>
      <c r="D1946" s="19"/>
      <c r="E1946" s="20" t="b">
        <f aca="false">AND(A1946&lt;&gt;"",C1946&lt;&gt;"",D1946&lt;&gt;"",C1946&gt;='Read Me'!$B$5)</f>
        <v>0</v>
      </c>
      <c r="F1946" s="23" t="str">
        <f aca="false">IF(E1946,D1946,"")</f>
        <v/>
      </c>
      <c r="G1946" s="21" t="n">
        <f aca="false">IF(E1946,D1946^2,0)</f>
        <v>0</v>
      </c>
      <c r="H1946" s="3"/>
    </row>
    <row r="1947" customFormat="false" ht="15" hidden="false" customHeight="true" outlineLevel="0" collapsed="false">
      <c r="A1947" s="16"/>
      <c r="B1947" s="16"/>
      <c r="C1947" s="15"/>
      <c r="D1947" s="19"/>
      <c r="E1947" s="20" t="b">
        <f aca="false">AND(A1947&lt;&gt;"",C1947&lt;&gt;"",D1947&lt;&gt;"",C1947&gt;='Read Me'!$B$5)</f>
        <v>0</v>
      </c>
      <c r="F1947" s="23" t="str">
        <f aca="false">IF(E1947,D1947,"")</f>
        <v/>
      </c>
      <c r="G1947" s="21" t="n">
        <f aca="false">IF(E1947,D1947^2,0)</f>
        <v>0</v>
      </c>
      <c r="H1947" s="3"/>
    </row>
    <row r="1948" customFormat="false" ht="15" hidden="false" customHeight="true" outlineLevel="0" collapsed="false">
      <c r="A1948" s="16"/>
      <c r="B1948" s="16"/>
      <c r="C1948" s="15"/>
      <c r="D1948" s="19"/>
      <c r="E1948" s="20" t="b">
        <f aca="false">AND(A1948&lt;&gt;"",C1948&lt;&gt;"",D1948&lt;&gt;"",C1948&gt;='Read Me'!$B$5)</f>
        <v>0</v>
      </c>
      <c r="F1948" s="23" t="str">
        <f aca="false">IF(E1948,D1948,"")</f>
        <v/>
      </c>
      <c r="G1948" s="21" t="n">
        <f aca="false">IF(E1948,D1948^2,0)</f>
        <v>0</v>
      </c>
      <c r="H1948" s="3"/>
    </row>
    <row r="1949" customFormat="false" ht="15" hidden="false" customHeight="true" outlineLevel="0" collapsed="false">
      <c r="A1949" s="16"/>
      <c r="B1949" s="16"/>
      <c r="C1949" s="15"/>
      <c r="D1949" s="19"/>
      <c r="E1949" s="20" t="b">
        <f aca="false">AND(A1949&lt;&gt;"",C1949&lt;&gt;"",D1949&lt;&gt;"",C1949&gt;='Read Me'!$B$5)</f>
        <v>0</v>
      </c>
      <c r="F1949" s="23" t="str">
        <f aca="false">IF(E1949,D1949,"")</f>
        <v/>
      </c>
      <c r="G1949" s="21" t="n">
        <f aca="false">IF(E1949,D1949^2,0)</f>
        <v>0</v>
      </c>
      <c r="H1949" s="3"/>
    </row>
    <row r="1950" customFormat="false" ht="15" hidden="false" customHeight="true" outlineLevel="0" collapsed="false">
      <c r="A1950" s="16"/>
      <c r="B1950" s="16"/>
      <c r="C1950" s="15"/>
      <c r="D1950" s="19"/>
      <c r="E1950" s="20" t="b">
        <f aca="false">AND(A1950&lt;&gt;"",C1950&lt;&gt;"",D1950&lt;&gt;"",C1950&gt;='Read Me'!$B$5)</f>
        <v>0</v>
      </c>
      <c r="F1950" s="23" t="str">
        <f aca="false">IF(E1950,D1950,"")</f>
        <v/>
      </c>
      <c r="G1950" s="21" t="n">
        <f aca="false">IF(E1950,D1950^2,0)</f>
        <v>0</v>
      </c>
      <c r="H1950" s="3"/>
    </row>
    <row r="1951" customFormat="false" ht="15" hidden="false" customHeight="true" outlineLevel="0" collapsed="false">
      <c r="A1951" s="16"/>
      <c r="B1951" s="16"/>
      <c r="C1951" s="15"/>
      <c r="D1951" s="19"/>
      <c r="E1951" s="20" t="b">
        <f aca="false">AND(A1951&lt;&gt;"",C1951&lt;&gt;"",D1951&lt;&gt;"",C1951&gt;='Read Me'!$B$5)</f>
        <v>0</v>
      </c>
      <c r="F1951" s="23" t="str">
        <f aca="false">IF(E1951,D1951,"")</f>
        <v/>
      </c>
      <c r="G1951" s="21" t="n">
        <f aca="false">IF(E1951,D1951^2,0)</f>
        <v>0</v>
      </c>
      <c r="H1951" s="3"/>
    </row>
    <row r="1952" customFormat="false" ht="15" hidden="false" customHeight="true" outlineLevel="0" collapsed="false">
      <c r="A1952" s="16"/>
      <c r="B1952" s="16"/>
      <c r="C1952" s="15"/>
      <c r="D1952" s="19"/>
      <c r="E1952" s="20" t="b">
        <f aca="false">AND(A1952&lt;&gt;"",C1952&lt;&gt;"",D1952&lt;&gt;"",C1952&gt;='Read Me'!$B$5)</f>
        <v>0</v>
      </c>
      <c r="F1952" s="23" t="str">
        <f aca="false">IF(E1952,D1952,"")</f>
        <v/>
      </c>
      <c r="G1952" s="21" t="n">
        <f aca="false">IF(E1952,D1952^2,0)</f>
        <v>0</v>
      </c>
      <c r="H1952" s="3"/>
    </row>
    <row r="1953" customFormat="false" ht="15" hidden="false" customHeight="true" outlineLevel="0" collapsed="false">
      <c r="A1953" s="16"/>
      <c r="B1953" s="16"/>
      <c r="C1953" s="15"/>
      <c r="D1953" s="19"/>
      <c r="E1953" s="20" t="b">
        <f aca="false">AND(A1953&lt;&gt;"",C1953&lt;&gt;"",D1953&lt;&gt;"",C1953&gt;='Read Me'!$B$5)</f>
        <v>0</v>
      </c>
      <c r="F1953" s="23" t="str">
        <f aca="false">IF(E1953,D1953,"")</f>
        <v/>
      </c>
      <c r="G1953" s="21" t="n">
        <f aca="false">IF(E1953,D1953^2,0)</f>
        <v>0</v>
      </c>
      <c r="H1953" s="3"/>
    </row>
    <row r="1954" customFormat="false" ht="15" hidden="false" customHeight="true" outlineLevel="0" collapsed="false">
      <c r="A1954" s="16"/>
      <c r="B1954" s="16"/>
      <c r="C1954" s="15"/>
      <c r="D1954" s="19"/>
      <c r="E1954" s="20" t="b">
        <f aca="false">AND(A1954&lt;&gt;"",C1954&lt;&gt;"",D1954&lt;&gt;"",C1954&gt;='Read Me'!$B$5)</f>
        <v>0</v>
      </c>
      <c r="F1954" s="23" t="str">
        <f aca="false">IF(E1954,D1954,"")</f>
        <v/>
      </c>
      <c r="G1954" s="21" t="n">
        <f aca="false">IF(E1954,D1954^2,0)</f>
        <v>0</v>
      </c>
      <c r="H1954" s="3"/>
    </row>
    <row r="1955" customFormat="false" ht="15" hidden="false" customHeight="true" outlineLevel="0" collapsed="false">
      <c r="A1955" s="16"/>
      <c r="B1955" s="16"/>
      <c r="C1955" s="15"/>
      <c r="D1955" s="19"/>
      <c r="E1955" s="20" t="b">
        <f aca="false">AND(A1955&lt;&gt;"",C1955&lt;&gt;"",D1955&lt;&gt;"",C1955&gt;='Read Me'!$B$5)</f>
        <v>0</v>
      </c>
      <c r="F1955" s="23" t="str">
        <f aca="false">IF(E1955,D1955,"")</f>
        <v/>
      </c>
      <c r="G1955" s="21" t="n">
        <f aca="false">IF(E1955,D1955^2,0)</f>
        <v>0</v>
      </c>
      <c r="H1955" s="3"/>
    </row>
    <row r="1956" customFormat="false" ht="15" hidden="false" customHeight="true" outlineLevel="0" collapsed="false">
      <c r="A1956" s="16"/>
      <c r="B1956" s="16"/>
      <c r="C1956" s="15"/>
      <c r="D1956" s="19"/>
      <c r="E1956" s="20" t="b">
        <f aca="false">AND(A1956&lt;&gt;"",C1956&lt;&gt;"",D1956&lt;&gt;"",C1956&gt;='Read Me'!$B$5)</f>
        <v>0</v>
      </c>
      <c r="F1956" s="23" t="str">
        <f aca="false">IF(E1956,D1956,"")</f>
        <v/>
      </c>
      <c r="G1956" s="21" t="n">
        <f aca="false">IF(E1956,D1956^2,0)</f>
        <v>0</v>
      </c>
      <c r="H1956" s="3"/>
    </row>
    <row r="1957" customFormat="false" ht="15" hidden="false" customHeight="true" outlineLevel="0" collapsed="false">
      <c r="A1957" s="16"/>
      <c r="B1957" s="16"/>
      <c r="C1957" s="15"/>
      <c r="D1957" s="19"/>
      <c r="E1957" s="20" t="b">
        <f aca="false">AND(A1957&lt;&gt;"",C1957&lt;&gt;"",D1957&lt;&gt;"",C1957&gt;='Read Me'!$B$5)</f>
        <v>0</v>
      </c>
      <c r="F1957" s="23" t="str">
        <f aca="false">IF(E1957,D1957,"")</f>
        <v/>
      </c>
      <c r="G1957" s="21" t="n">
        <f aca="false">IF(E1957,D1957^2,0)</f>
        <v>0</v>
      </c>
      <c r="H1957" s="3"/>
    </row>
    <row r="1958" customFormat="false" ht="15" hidden="false" customHeight="true" outlineLevel="0" collapsed="false">
      <c r="A1958" s="16"/>
      <c r="B1958" s="16"/>
      <c r="C1958" s="15"/>
      <c r="D1958" s="19"/>
      <c r="E1958" s="20" t="b">
        <f aca="false">AND(A1958&lt;&gt;"",C1958&lt;&gt;"",D1958&lt;&gt;"",C1958&gt;='Read Me'!$B$5)</f>
        <v>0</v>
      </c>
      <c r="F1958" s="23" t="str">
        <f aca="false">IF(E1958,D1958,"")</f>
        <v/>
      </c>
      <c r="G1958" s="21" t="n">
        <f aca="false">IF(E1958,D1958^2,0)</f>
        <v>0</v>
      </c>
      <c r="H1958" s="3"/>
    </row>
    <row r="1959" customFormat="false" ht="15" hidden="false" customHeight="true" outlineLevel="0" collapsed="false">
      <c r="A1959" s="16"/>
      <c r="B1959" s="16"/>
      <c r="C1959" s="15"/>
      <c r="D1959" s="19"/>
      <c r="E1959" s="20" t="b">
        <f aca="false">AND(A1959&lt;&gt;"",C1959&lt;&gt;"",D1959&lt;&gt;"",C1959&gt;='Read Me'!$B$5)</f>
        <v>0</v>
      </c>
      <c r="F1959" s="23" t="str">
        <f aca="false">IF(E1959,D1959,"")</f>
        <v/>
      </c>
      <c r="G1959" s="21" t="n">
        <f aca="false">IF(E1959,D1959^2,0)</f>
        <v>0</v>
      </c>
      <c r="H1959" s="3"/>
    </row>
    <row r="1960" customFormat="false" ht="15" hidden="false" customHeight="true" outlineLevel="0" collapsed="false">
      <c r="A1960" s="16"/>
      <c r="B1960" s="16"/>
      <c r="C1960" s="15"/>
      <c r="D1960" s="19"/>
      <c r="E1960" s="20" t="b">
        <f aca="false">AND(A1960&lt;&gt;"",C1960&lt;&gt;"",D1960&lt;&gt;"",C1960&gt;='Read Me'!$B$5)</f>
        <v>0</v>
      </c>
      <c r="F1960" s="23" t="str">
        <f aca="false">IF(E1960,D1960,"")</f>
        <v/>
      </c>
      <c r="G1960" s="21" t="n">
        <f aca="false">IF(E1960,D1960^2,0)</f>
        <v>0</v>
      </c>
      <c r="H1960" s="3"/>
    </row>
    <row r="1961" customFormat="false" ht="15" hidden="false" customHeight="true" outlineLevel="0" collapsed="false">
      <c r="A1961" s="16"/>
      <c r="B1961" s="16"/>
      <c r="C1961" s="15"/>
      <c r="D1961" s="19"/>
      <c r="E1961" s="20" t="b">
        <f aca="false">AND(A1961&lt;&gt;"",C1961&lt;&gt;"",D1961&lt;&gt;"",C1961&gt;='Read Me'!$B$5)</f>
        <v>0</v>
      </c>
      <c r="F1961" s="23" t="str">
        <f aca="false">IF(E1961,D1961,"")</f>
        <v/>
      </c>
      <c r="G1961" s="21" t="n">
        <f aca="false">IF(E1961,D1961^2,0)</f>
        <v>0</v>
      </c>
      <c r="H1961" s="3"/>
    </row>
    <row r="1962" customFormat="false" ht="15" hidden="false" customHeight="true" outlineLevel="0" collapsed="false">
      <c r="A1962" s="16"/>
      <c r="B1962" s="16"/>
      <c r="C1962" s="15"/>
      <c r="D1962" s="19"/>
      <c r="E1962" s="20" t="b">
        <f aca="false">AND(A1962&lt;&gt;"",C1962&lt;&gt;"",D1962&lt;&gt;"",C1962&gt;='Read Me'!$B$5)</f>
        <v>0</v>
      </c>
      <c r="F1962" s="23" t="str">
        <f aca="false">IF(E1962,D1962,"")</f>
        <v/>
      </c>
      <c r="G1962" s="21" t="n">
        <f aca="false">IF(E1962,D1962^2,0)</f>
        <v>0</v>
      </c>
      <c r="H1962" s="3"/>
    </row>
    <row r="1963" customFormat="false" ht="15" hidden="false" customHeight="true" outlineLevel="0" collapsed="false">
      <c r="A1963" s="16"/>
      <c r="B1963" s="16"/>
      <c r="C1963" s="15"/>
      <c r="D1963" s="19"/>
      <c r="E1963" s="20" t="b">
        <f aca="false">AND(A1963&lt;&gt;"",C1963&lt;&gt;"",D1963&lt;&gt;"",C1963&gt;='Read Me'!$B$5)</f>
        <v>0</v>
      </c>
      <c r="F1963" s="23" t="str">
        <f aca="false">IF(E1963,D1963,"")</f>
        <v/>
      </c>
      <c r="G1963" s="21" t="n">
        <f aca="false">IF(E1963,D1963^2,0)</f>
        <v>0</v>
      </c>
      <c r="H1963" s="3"/>
    </row>
    <row r="1964" customFormat="false" ht="15" hidden="false" customHeight="true" outlineLevel="0" collapsed="false">
      <c r="A1964" s="16"/>
      <c r="B1964" s="16"/>
      <c r="C1964" s="15"/>
      <c r="D1964" s="19"/>
      <c r="E1964" s="20" t="b">
        <f aca="false">AND(A1964&lt;&gt;"",C1964&lt;&gt;"",D1964&lt;&gt;"",C1964&gt;='Read Me'!$B$5)</f>
        <v>0</v>
      </c>
      <c r="F1964" s="23" t="str">
        <f aca="false">IF(E1964,D1964,"")</f>
        <v/>
      </c>
      <c r="G1964" s="21" t="n">
        <f aca="false">IF(E1964,D1964^2,0)</f>
        <v>0</v>
      </c>
      <c r="H1964" s="3"/>
    </row>
    <row r="1965" customFormat="false" ht="15" hidden="false" customHeight="true" outlineLevel="0" collapsed="false">
      <c r="A1965" s="16"/>
      <c r="B1965" s="16"/>
      <c r="C1965" s="15"/>
      <c r="D1965" s="19"/>
      <c r="E1965" s="20" t="b">
        <f aca="false">AND(A1965&lt;&gt;"",C1965&lt;&gt;"",D1965&lt;&gt;"",C1965&gt;='Read Me'!$B$5)</f>
        <v>0</v>
      </c>
      <c r="F1965" s="23" t="str">
        <f aca="false">IF(E1965,D1965,"")</f>
        <v/>
      </c>
      <c r="G1965" s="21" t="n">
        <f aca="false">IF(E1965,D1965^2,0)</f>
        <v>0</v>
      </c>
      <c r="H1965" s="3"/>
    </row>
    <row r="1966" customFormat="false" ht="15" hidden="false" customHeight="true" outlineLevel="0" collapsed="false">
      <c r="A1966" s="16"/>
      <c r="B1966" s="16"/>
      <c r="C1966" s="15"/>
      <c r="D1966" s="19"/>
      <c r="E1966" s="20" t="b">
        <f aca="false">AND(A1966&lt;&gt;"",C1966&lt;&gt;"",D1966&lt;&gt;"",C1966&gt;='Read Me'!$B$5)</f>
        <v>0</v>
      </c>
      <c r="F1966" s="23" t="str">
        <f aca="false">IF(E1966,D1966,"")</f>
        <v/>
      </c>
      <c r="G1966" s="21" t="n">
        <f aca="false">IF(E1966,D1966^2,0)</f>
        <v>0</v>
      </c>
      <c r="H1966" s="3"/>
    </row>
    <row r="1967" customFormat="false" ht="15" hidden="false" customHeight="true" outlineLevel="0" collapsed="false">
      <c r="A1967" s="16"/>
      <c r="B1967" s="16"/>
      <c r="C1967" s="15"/>
      <c r="D1967" s="19"/>
      <c r="E1967" s="20" t="b">
        <f aca="false">AND(A1967&lt;&gt;"",C1967&lt;&gt;"",D1967&lt;&gt;"",C1967&gt;='Read Me'!$B$5)</f>
        <v>0</v>
      </c>
      <c r="F1967" s="23" t="str">
        <f aca="false">IF(E1967,D1967,"")</f>
        <v/>
      </c>
      <c r="G1967" s="21" t="n">
        <f aca="false">IF(E1967,D1967^2,0)</f>
        <v>0</v>
      </c>
      <c r="H1967" s="3"/>
    </row>
    <row r="1968" customFormat="false" ht="15" hidden="false" customHeight="true" outlineLevel="0" collapsed="false">
      <c r="A1968" s="16"/>
      <c r="B1968" s="16"/>
      <c r="C1968" s="15"/>
      <c r="D1968" s="19"/>
      <c r="E1968" s="20" t="b">
        <f aca="false">AND(A1968&lt;&gt;"",C1968&lt;&gt;"",D1968&lt;&gt;"",C1968&gt;='Read Me'!$B$5)</f>
        <v>0</v>
      </c>
      <c r="F1968" s="23" t="str">
        <f aca="false">IF(E1968,D1968,"")</f>
        <v/>
      </c>
      <c r="G1968" s="21" t="n">
        <f aca="false">IF(E1968,D1968^2,0)</f>
        <v>0</v>
      </c>
      <c r="H1968" s="3"/>
    </row>
    <row r="1969" customFormat="false" ht="15" hidden="false" customHeight="true" outlineLevel="0" collapsed="false">
      <c r="A1969" s="16"/>
      <c r="B1969" s="16"/>
      <c r="C1969" s="15"/>
      <c r="D1969" s="19"/>
      <c r="E1969" s="20" t="b">
        <f aca="false">AND(A1969&lt;&gt;"",C1969&lt;&gt;"",D1969&lt;&gt;"",C1969&gt;='Read Me'!$B$5)</f>
        <v>0</v>
      </c>
      <c r="F1969" s="23" t="str">
        <f aca="false">IF(E1969,D1969,"")</f>
        <v/>
      </c>
      <c r="G1969" s="21" t="n">
        <f aca="false">IF(E1969,D1969^2,0)</f>
        <v>0</v>
      </c>
      <c r="H1969" s="3"/>
    </row>
    <row r="1970" customFormat="false" ht="15" hidden="false" customHeight="true" outlineLevel="0" collapsed="false">
      <c r="A1970" s="16"/>
      <c r="B1970" s="16"/>
      <c r="C1970" s="15"/>
      <c r="D1970" s="19"/>
      <c r="E1970" s="20" t="b">
        <f aca="false">AND(A1970&lt;&gt;"",C1970&lt;&gt;"",D1970&lt;&gt;"",C1970&gt;='Read Me'!$B$5)</f>
        <v>0</v>
      </c>
      <c r="F1970" s="23" t="str">
        <f aca="false">IF(E1970,D1970,"")</f>
        <v/>
      </c>
      <c r="G1970" s="21" t="n">
        <f aca="false">IF(E1970,D1970^2,0)</f>
        <v>0</v>
      </c>
      <c r="H1970" s="3"/>
    </row>
    <row r="1971" customFormat="false" ht="15" hidden="false" customHeight="true" outlineLevel="0" collapsed="false">
      <c r="A1971" s="16"/>
      <c r="B1971" s="16"/>
      <c r="C1971" s="15"/>
      <c r="D1971" s="19"/>
      <c r="E1971" s="20" t="b">
        <f aca="false">AND(A1971&lt;&gt;"",C1971&lt;&gt;"",D1971&lt;&gt;"",C1971&gt;='Read Me'!$B$5)</f>
        <v>0</v>
      </c>
      <c r="F1971" s="23" t="str">
        <f aca="false">IF(E1971,D1971,"")</f>
        <v/>
      </c>
      <c r="G1971" s="21" t="n">
        <f aca="false">IF(E1971,D1971^2,0)</f>
        <v>0</v>
      </c>
      <c r="H1971" s="3"/>
    </row>
    <row r="1972" customFormat="false" ht="15" hidden="false" customHeight="true" outlineLevel="0" collapsed="false">
      <c r="A1972" s="16"/>
      <c r="B1972" s="16"/>
      <c r="C1972" s="15"/>
      <c r="D1972" s="19"/>
      <c r="E1972" s="20" t="b">
        <f aca="false">AND(A1972&lt;&gt;"",C1972&lt;&gt;"",D1972&lt;&gt;"",C1972&gt;='Read Me'!$B$5)</f>
        <v>0</v>
      </c>
      <c r="F1972" s="23" t="str">
        <f aca="false">IF(E1972,D1972,"")</f>
        <v/>
      </c>
      <c r="G1972" s="21" t="n">
        <f aca="false">IF(E1972,D1972^2,0)</f>
        <v>0</v>
      </c>
      <c r="H1972" s="3"/>
    </row>
    <row r="1973" customFormat="false" ht="15" hidden="false" customHeight="true" outlineLevel="0" collapsed="false">
      <c r="A1973" s="16"/>
      <c r="B1973" s="16"/>
      <c r="C1973" s="15"/>
      <c r="D1973" s="19"/>
      <c r="E1973" s="20" t="b">
        <f aca="false">AND(A1973&lt;&gt;"",C1973&lt;&gt;"",D1973&lt;&gt;"",C1973&gt;='Read Me'!$B$5)</f>
        <v>0</v>
      </c>
      <c r="F1973" s="23" t="str">
        <f aca="false">IF(E1973,D1973,"")</f>
        <v/>
      </c>
      <c r="G1973" s="21" t="n">
        <f aca="false">IF(E1973,D1973^2,0)</f>
        <v>0</v>
      </c>
      <c r="H1973" s="3"/>
    </row>
    <row r="1974" customFormat="false" ht="15" hidden="false" customHeight="true" outlineLevel="0" collapsed="false">
      <c r="A1974" s="16"/>
      <c r="B1974" s="16"/>
      <c r="C1974" s="15"/>
      <c r="D1974" s="19"/>
      <c r="E1974" s="20" t="b">
        <f aca="false">AND(A1974&lt;&gt;"",C1974&lt;&gt;"",D1974&lt;&gt;"",C1974&gt;='Read Me'!$B$5)</f>
        <v>0</v>
      </c>
      <c r="F1974" s="23" t="str">
        <f aca="false">IF(E1974,D1974,"")</f>
        <v/>
      </c>
      <c r="G1974" s="21" t="n">
        <f aca="false">IF(E1974,D1974^2,0)</f>
        <v>0</v>
      </c>
      <c r="H1974" s="3"/>
    </row>
    <row r="1975" customFormat="false" ht="15" hidden="false" customHeight="true" outlineLevel="0" collapsed="false">
      <c r="A1975" s="16"/>
      <c r="B1975" s="16"/>
      <c r="C1975" s="15"/>
      <c r="D1975" s="19"/>
      <c r="E1975" s="20" t="b">
        <f aca="false">AND(A1975&lt;&gt;"",C1975&lt;&gt;"",D1975&lt;&gt;"",C1975&gt;='Read Me'!$B$5)</f>
        <v>0</v>
      </c>
      <c r="F1975" s="23" t="str">
        <f aca="false">IF(E1975,D1975,"")</f>
        <v/>
      </c>
      <c r="G1975" s="21" t="n">
        <f aca="false">IF(E1975,D1975^2,0)</f>
        <v>0</v>
      </c>
      <c r="H1975" s="3"/>
    </row>
    <row r="1976" customFormat="false" ht="15" hidden="false" customHeight="true" outlineLevel="0" collapsed="false">
      <c r="A1976" s="16"/>
      <c r="B1976" s="16"/>
      <c r="C1976" s="15"/>
      <c r="D1976" s="19"/>
      <c r="E1976" s="20" t="b">
        <f aca="false">AND(A1976&lt;&gt;"",C1976&lt;&gt;"",D1976&lt;&gt;"",C1976&gt;='Read Me'!$B$5)</f>
        <v>0</v>
      </c>
      <c r="F1976" s="23" t="str">
        <f aca="false">IF(E1976,D1976,"")</f>
        <v/>
      </c>
      <c r="G1976" s="21" t="n">
        <f aca="false">IF(E1976,D1976^2,0)</f>
        <v>0</v>
      </c>
      <c r="H1976" s="3"/>
    </row>
    <row r="1977" customFormat="false" ht="15" hidden="false" customHeight="true" outlineLevel="0" collapsed="false">
      <c r="A1977" s="16"/>
      <c r="B1977" s="16"/>
      <c r="C1977" s="15"/>
      <c r="D1977" s="19"/>
      <c r="E1977" s="20" t="b">
        <f aca="false">AND(A1977&lt;&gt;"",C1977&lt;&gt;"",D1977&lt;&gt;"",C1977&gt;='Read Me'!$B$5)</f>
        <v>0</v>
      </c>
      <c r="F1977" s="23" t="str">
        <f aca="false">IF(E1977,D1977,"")</f>
        <v/>
      </c>
      <c r="G1977" s="21" t="n">
        <f aca="false">IF(E1977,D1977^2,0)</f>
        <v>0</v>
      </c>
      <c r="H1977" s="3"/>
    </row>
    <row r="1978" customFormat="false" ht="15" hidden="false" customHeight="true" outlineLevel="0" collapsed="false">
      <c r="A1978" s="16"/>
      <c r="B1978" s="16"/>
      <c r="C1978" s="15"/>
      <c r="D1978" s="19"/>
      <c r="E1978" s="20" t="b">
        <f aca="false">AND(A1978&lt;&gt;"",C1978&lt;&gt;"",D1978&lt;&gt;"",C1978&gt;='Read Me'!$B$5)</f>
        <v>0</v>
      </c>
      <c r="F1978" s="23" t="str">
        <f aca="false">IF(E1978,D1978,"")</f>
        <v/>
      </c>
      <c r="G1978" s="21" t="n">
        <f aca="false">IF(E1978,D1978^2,0)</f>
        <v>0</v>
      </c>
      <c r="H1978" s="3"/>
    </row>
    <row r="1979" customFormat="false" ht="15" hidden="false" customHeight="true" outlineLevel="0" collapsed="false">
      <c r="A1979" s="16"/>
      <c r="B1979" s="16"/>
      <c r="C1979" s="15"/>
      <c r="D1979" s="19"/>
      <c r="E1979" s="20" t="b">
        <f aca="false">AND(A1979&lt;&gt;"",C1979&lt;&gt;"",D1979&lt;&gt;"",C1979&gt;='Read Me'!$B$5)</f>
        <v>0</v>
      </c>
      <c r="F1979" s="23" t="str">
        <f aca="false">IF(E1979,D1979,"")</f>
        <v/>
      </c>
      <c r="G1979" s="21" t="n">
        <f aca="false">IF(E1979,D1979^2,0)</f>
        <v>0</v>
      </c>
      <c r="H1979" s="3"/>
    </row>
    <row r="1980" customFormat="false" ht="15" hidden="false" customHeight="true" outlineLevel="0" collapsed="false">
      <c r="A1980" s="16"/>
      <c r="B1980" s="16"/>
      <c r="C1980" s="15"/>
      <c r="D1980" s="19"/>
      <c r="E1980" s="20" t="b">
        <f aca="false">AND(A1980&lt;&gt;"",C1980&lt;&gt;"",D1980&lt;&gt;"",C1980&gt;='Read Me'!$B$5)</f>
        <v>0</v>
      </c>
      <c r="F1980" s="23" t="str">
        <f aca="false">IF(E1980,D1980,"")</f>
        <v/>
      </c>
      <c r="G1980" s="21" t="n">
        <f aca="false">IF(E1980,D1980^2,0)</f>
        <v>0</v>
      </c>
      <c r="H1980" s="3"/>
    </row>
    <row r="1981" customFormat="false" ht="15" hidden="false" customHeight="true" outlineLevel="0" collapsed="false">
      <c r="A1981" s="16"/>
      <c r="B1981" s="16"/>
      <c r="C1981" s="15"/>
      <c r="D1981" s="19"/>
      <c r="E1981" s="20" t="b">
        <f aca="false">AND(A1981&lt;&gt;"",C1981&lt;&gt;"",D1981&lt;&gt;"",C1981&gt;='Read Me'!$B$5)</f>
        <v>0</v>
      </c>
      <c r="F1981" s="23" t="str">
        <f aca="false">IF(E1981,D1981,"")</f>
        <v/>
      </c>
      <c r="G1981" s="21" t="n">
        <f aca="false">IF(E1981,D1981^2,0)</f>
        <v>0</v>
      </c>
      <c r="H1981" s="3"/>
    </row>
    <row r="1982" customFormat="false" ht="15" hidden="false" customHeight="true" outlineLevel="0" collapsed="false">
      <c r="A1982" s="16"/>
      <c r="B1982" s="16"/>
      <c r="C1982" s="15"/>
      <c r="D1982" s="19"/>
      <c r="E1982" s="20" t="b">
        <f aca="false">AND(A1982&lt;&gt;"",C1982&lt;&gt;"",D1982&lt;&gt;"",C1982&gt;='Read Me'!$B$5)</f>
        <v>0</v>
      </c>
      <c r="F1982" s="23" t="str">
        <f aca="false">IF(E1982,D1982,"")</f>
        <v/>
      </c>
      <c r="G1982" s="21" t="n">
        <f aca="false">IF(E1982,D1982^2,0)</f>
        <v>0</v>
      </c>
      <c r="H1982" s="3"/>
    </row>
    <row r="1983" customFormat="false" ht="15" hidden="false" customHeight="true" outlineLevel="0" collapsed="false">
      <c r="A1983" s="16"/>
      <c r="B1983" s="16"/>
      <c r="C1983" s="15"/>
      <c r="D1983" s="19"/>
      <c r="E1983" s="20" t="b">
        <f aca="false">AND(A1983&lt;&gt;"",C1983&lt;&gt;"",D1983&lt;&gt;"",C1983&gt;='Read Me'!$B$5)</f>
        <v>0</v>
      </c>
      <c r="F1983" s="23" t="str">
        <f aca="false">IF(E1983,D1983,"")</f>
        <v/>
      </c>
      <c r="G1983" s="21" t="n">
        <f aca="false">IF(E1983,D1983^2,0)</f>
        <v>0</v>
      </c>
      <c r="H1983" s="3"/>
    </row>
    <row r="1984" customFormat="false" ht="15" hidden="false" customHeight="true" outlineLevel="0" collapsed="false">
      <c r="A1984" s="16"/>
      <c r="B1984" s="16"/>
      <c r="C1984" s="15"/>
      <c r="D1984" s="19"/>
      <c r="E1984" s="20" t="b">
        <f aca="false">AND(A1984&lt;&gt;"",C1984&lt;&gt;"",D1984&lt;&gt;"",C1984&gt;='Read Me'!$B$5)</f>
        <v>0</v>
      </c>
      <c r="F1984" s="23" t="str">
        <f aca="false">IF(E1984,D1984,"")</f>
        <v/>
      </c>
      <c r="G1984" s="21" t="n">
        <f aca="false">IF(E1984,D1984^2,0)</f>
        <v>0</v>
      </c>
      <c r="H1984" s="3"/>
    </row>
    <row r="1985" customFormat="false" ht="15" hidden="false" customHeight="true" outlineLevel="0" collapsed="false">
      <c r="A1985" s="16"/>
      <c r="B1985" s="16"/>
      <c r="C1985" s="15"/>
      <c r="D1985" s="19"/>
      <c r="E1985" s="20" t="b">
        <f aca="false">AND(A1985&lt;&gt;"",C1985&lt;&gt;"",D1985&lt;&gt;"",C1985&gt;='Read Me'!$B$5)</f>
        <v>0</v>
      </c>
      <c r="F1985" s="23" t="str">
        <f aca="false">IF(E1985,D1985,"")</f>
        <v/>
      </c>
      <c r="G1985" s="21" t="n">
        <f aca="false">IF(E1985,D1985^2,0)</f>
        <v>0</v>
      </c>
      <c r="H1985" s="3"/>
    </row>
    <row r="1986" customFormat="false" ht="15" hidden="false" customHeight="true" outlineLevel="0" collapsed="false">
      <c r="A1986" s="16"/>
      <c r="B1986" s="16"/>
      <c r="C1986" s="15"/>
      <c r="D1986" s="19"/>
      <c r="E1986" s="20" t="b">
        <f aca="false">AND(A1986&lt;&gt;"",C1986&lt;&gt;"",D1986&lt;&gt;"",C1986&gt;='Read Me'!$B$5)</f>
        <v>0</v>
      </c>
      <c r="F1986" s="23" t="str">
        <f aca="false">IF(E1986,D1986,"")</f>
        <v/>
      </c>
      <c r="G1986" s="21" t="n">
        <f aca="false">IF(E1986,D1986^2,0)</f>
        <v>0</v>
      </c>
      <c r="H1986" s="3"/>
    </row>
    <row r="1987" customFormat="false" ht="15" hidden="false" customHeight="true" outlineLevel="0" collapsed="false">
      <c r="A1987" s="16"/>
      <c r="B1987" s="16"/>
      <c r="C1987" s="15"/>
      <c r="D1987" s="19"/>
      <c r="E1987" s="20" t="b">
        <f aca="false">AND(A1987&lt;&gt;"",C1987&lt;&gt;"",D1987&lt;&gt;"",C1987&gt;='Read Me'!$B$5)</f>
        <v>0</v>
      </c>
      <c r="F1987" s="23" t="str">
        <f aca="false">IF(E1987,D1987,"")</f>
        <v/>
      </c>
      <c r="G1987" s="21" t="n">
        <f aca="false">IF(E1987,D1987^2,0)</f>
        <v>0</v>
      </c>
      <c r="H1987" s="3"/>
    </row>
    <row r="1988" customFormat="false" ht="15" hidden="false" customHeight="true" outlineLevel="0" collapsed="false">
      <c r="A1988" s="16"/>
      <c r="B1988" s="16"/>
      <c r="C1988" s="15"/>
      <c r="D1988" s="19"/>
      <c r="E1988" s="20" t="b">
        <f aca="false">AND(A1988&lt;&gt;"",C1988&lt;&gt;"",D1988&lt;&gt;"",C1988&gt;='Read Me'!$B$5)</f>
        <v>0</v>
      </c>
      <c r="F1988" s="23" t="str">
        <f aca="false">IF(E1988,D1988,"")</f>
        <v/>
      </c>
      <c r="G1988" s="21" t="n">
        <f aca="false">IF(E1988,D1988^2,0)</f>
        <v>0</v>
      </c>
      <c r="H1988" s="3"/>
    </row>
    <row r="1989" customFormat="false" ht="15" hidden="false" customHeight="true" outlineLevel="0" collapsed="false">
      <c r="A1989" s="16"/>
      <c r="B1989" s="16"/>
      <c r="C1989" s="15"/>
      <c r="D1989" s="19"/>
      <c r="E1989" s="20" t="b">
        <f aca="false">AND(A1989&lt;&gt;"",C1989&lt;&gt;"",D1989&lt;&gt;"",C1989&gt;='Read Me'!$B$5)</f>
        <v>0</v>
      </c>
      <c r="F1989" s="23" t="str">
        <f aca="false">IF(E1989,D1989,"")</f>
        <v/>
      </c>
      <c r="G1989" s="21" t="n">
        <f aca="false">IF(E1989,D1989^2,0)</f>
        <v>0</v>
      </c>
      <c r="H1989" s="3"/>
    </row>
    <row r="1990" customFormat="false" ht="15" hidden="false" customHeight="true" outlineLevel="0" collapsed="false">
      <c r="A1990" s="16"/>
      <c r="B1990" s="16"/>
      <c r="C1990" s="15"/>
      <c r="D1990" s="19"/>
      <c r="E1990" s="20" t="b">
        <f aca="false">AND(A1990&lt;&gt;"",C1990&lt;&gt;"",D1990&lt;&gt;"",C1990&gt;='Read Me'!$B$5)</f>
        <v>0</v>
      </c>
      <c r="F1990" s="23" t="str">
        <f aca="false">IF(E1990,D1990,"")</f>
        <v/>
      </c>
      <c r="G1990" s="21" t="n">
        <f aca="false">IF(E1990,D1990^2,0)</f>
        <v>0</v>
      </c>
      <c r="H1990" s="3"/>
    </row>
    <row r="1991" customFormat="false" ht="15" hidden="false" customHeight="true" outlineLevel="0" collapsed="false">
      <c r="A1991" s="16"/>
      <c r="B1991" s="16"/>
      <c r="C1991" s="15"/>
      <c r="D1991" s="19"/>
      <c r="E1991" s="20" t="b">
        <f aca="false">AND(A1991&lt;&gt;"",C1991&lt;&gt;"",D1991&lt;&gt;"",C1991&gt;='Read Me'!$B$5)</f>
        <v>0</v>
      </c>
      <c r="F1991" s="23" t="str">
        <f aca="false">IF(E1991,D1991,"")</f>
        <v/>
      </c>
      <c r="G1991" s="21" t="n">
        <f aca="false">IF(E1991,D1991^2,0)</f>
        <v>0</v>
      </c>
      <c r="H1991" s="3"/>
    </row>
    <row r="1992" customFormat="false" ht="15" hidden="false" customHeight="true" outlineLevel="0" collapsed="false">
      <c r="A1992" s="16"/>
      <c r="B1992" s="16"/>
      <c r="C1992" s="15"/>
      <c r="D1992" s="19"/>
      <c r="E1992" s="20" t="b">
        <f aca="false">AND(A1992&lt;&gt;"",C1992&lt;&gt;"",D1992&lt;&gt;"",C1992&gt;='Read Me'!$B$5)</f>
        <v>0</v>
      </c>
      <c r="F1992" s="23" t="str">
        <f aca="false">IF(E1992,D1992,"")</f>
        <v/>
      </c>
      <c r="G1992" s="21" t="n">
        <f aca="false">IF(E1992,D1992^2,0)</f>
        <v>0</v>
      </c>
      <c r="H1992" s="3"/>
    </row>
    <row r="1993" customFormat="false" ht="15" hidden="false" customHeight="true" outlineLevel="0" collapsed="false">
      <c r="A1993" s="16"/>
      <c r="B1993" s="16"/>
      <c r="C1993" s="15"/>
      <c r="D1993" s="19"/>
      <c r="E1993" s="20" t="b">
        <f aca="false">AND(A1993&lt;&gt;"",C1993&lt;&gt;"",D1993&lt;&gt;"",C1993&gt;='Read Me'!$B$5)</f>
        <v>0</v>
      </c>
      <c r="F1993" s="23" t="str">
        <f aca="false">IF(E1993,D1993,"")</f>
        <v/>
      </c>
      <c r="G1993" s="21" t="n">
        <f aca="false">IF(E1993,D1993^2,0)</f>
        <v>0</v>
      </c>
      <c r="H1993" s="3"/>
    </row>
    <row r="1994" customFormat="false" ht="15" hidden="false" customHeight="true" outlineLevel="0" collapsed="false">
      <c r="A1994" s="16"/>
      <c r="B1994" s="16"/>
      <c r="C1994" s="15"/>
      <c r="D1994" s="19"/>
      <c r="E1994" s="20" t="b">
        <f aca="false">AND(A1994&lt;&gt;"",C1994&lt;&gt;"",D1994&lt;&gt;"",C1994&gt;='Read Me'!$B$5)</f>
        <v>0</v>
      </c>
      <c r="F1994" s="23" t="str">
        <f aca="false">IF(E1994,D1994,"")</f>
        <v/>
      </c>
      <c r="G1994" s="21" t="n">
        <f aca="false">IF(E1994,D1994^2,0)</f>
        <v>0</v>
      </c>
      <c r="H1994" s="3"/>
    </row>
    <row r="1995" customFormat="false" ht="15" hidden="false" customHeight="true" outlineLevel="0" collapsed="false">
      <c r="A1995" s="16"/>
      <c r="B1995" s="16"/>
      <c r="C1995" s="15"/>
      <c r="D1995" s="19"/>
      <c r="E1995" s="20" t="b">
        <f aca="false">AND(A1995&lt;&gt;"",C1995&lt;&gt;"",D1995&lt;&gt;"",C1995&gt;='Read Me'!$B$5)</f>
        <v>0</v>
      </c>
      <c r="F1995" s="23" t="str">
        <f aca="false">IF(E1995,D1995,"")</f>
        <v/>
      </c>
      <c r="G1995" s="21" t="n">
        <f aca="false">IF(E1995,D1995^2,0)</f>
        <v>0</v>
      </c>
      <c r="H1995" s="3"/>
    </row>
    <row r="1996" customFormat="false" ht="15" hidden="false" customHeight="true" outlineLevel="0" collapsed="false">
      <c r="A1996" s="16"/>
      <c r="B1996" s="16"/>
      <c r="C1996" s="15"/>
      <c r="D1996" s="19"/>
      <c r="E1996" s="20" t="b">
        <f aca="false">AND(A1996&lt;&gt;"",C1996&lt;&gt;"",D1996&lt;&gt;"",C1996&gt;='Read Me'!$B$5)</f>
        <v>0</v>
      </c>
      <c r="F1996" s="23" t="str">
        <f aca="false">IF(E1996,D1996,"")</f>
        <v/>
      </c>
      <c r="G1996" s="21" t="n">
        <f aca="false">IF(E1996,D1996^2,0)</f>
        <v>0</v>
      </c>
      <c r="H1996" s="3"/>
    </row>
    <row r="1997" customFormat="false" ht="15" hidden="false" customHeight="true" outlineLevel="0" collapsed="false">
      <c r="A1997" s="16"/>
      <c r="B1997" s="16"/>
      <c r="C1997" s="15"/>
      <c r="D1997" s="19"/>
      <c r="E1997" s="20" t="b">
        <f aca="false">AND(A1997&lt;&gt;"",C1997&lt;&gt;"",D1997&lt;&gt;"",C1997&gt;='Read Me'!$B$5)</f>
        <v>0</v>
      </c>
      <c r="F1997" s="23" t="str">
        <f aca="false">IF(E1997,D1997,"")</f>
        <v/>
      </c>
      <c r="G1997" s="21" t="n">
        <f aca="false">IF(E1997,D1997^2,0)</f>
        <v>0</v>
      </c>
      <c r="H1997" s="3"/>
    </row>
    <row r="1998" customFormat="false" ht="15" hidden="false" customHeight="true" outlineLevel="0" collapsed="false">
      <c r="A1998" s="16"/>
      <c r="B1998" s="16"/>
      <c r="C1998" s="15"/>
      <c r="D1998" s="19"/>
      <c r="E1998" s="20" t="b">
        <f aca="false">AND(A1998&lt;&gt;"",C1998&lt;&gt;"",D1998&lt;&gt;"",C1998&gt;='Read Me'!$B$5)</f>
        <v>0</v>
      </c>
      <c r="F1998" s="23" t="str">
        <f aca="false">IF(E1998,D1998,"")</f>
        <v/>
      </c>
      <c r="G1998" s="21" t="n">
        <f aca="false">IF(E1998,D1998^2,0)</f>
        <v>0</v>
      </c>
      <c r="H1998" s="3"/>
    </row>
    <row r="1999" customFormat="false" ht="15" hidden="false" customHeight="true" outlineLevel="0" collapsed="false">
      <c r="A1999" s="16"/>
      <c r="B1999" s="16"/>
      <c r="C1999" s="15"/>
      <c r="D1999" s="19"/>
      <c r="E1999" s="20" t="b">
        <f aca="false">AND(A1999&lt;&gt;"",C1999&lt;&gt;"",D1999&lt;&gt;"",C1999&gt;='Read Me'!$B$5)</f>
        <v>0</v>
      </c>
      <c r="F1999" s="23" t="str">
        <f aca="false">IF(E1999,D1999,"")</f>
        <v/>
      </c>
      <c r="G1999" s="21" t="n">
        <f aca="false">IF(E1999,D1999^2,0)</f>
        <v>0</v>
      </c>
      <c r="H1999" s="3"/>
    </row>
    <row r="2000" customFormat="false" ht="15" hidden="false" customHeight="true" outlineLevel="0" collapsed="false">
      <c r="A2000" s="16"/>
      <c r="B2000" s="16"/>
      <c r="C2000" s="15"/>
      <c r="D2000" s="19"/>
      <c r="E2000" s="20" t="b">
        <f aca="false">AND(A2000&lt;&gt;"",C2000&lt;&gt;"",D2000&lt;&gt;"",C2000&gt;='Read Me'!$B$5)</f>
        <v>0</v>
      </c>
      <c r="F2000" s="23" t="str">
        <f aca="false">IF(E2000,D2000,"")</f>
        <v/>
      </c>
      <c r="G2000" s="21" t="n">
        <f aca="false">IF(E2000,D2000^2,0)</f>
        <v>0</v>
      </c>
      <c r="H2000" s="3"/>
    </row>
    <row r="2001" customFormat="false" ht="15" hidden="false" customHeight="true" outlineLevel="0" collapsed="false">
      <c r="A2001" s="16"/>
      <c r="B2001" s="16"/>
      <c r="C2001" s="15"/>
      <c r="D2001" s="19"/>
      <c r="E2001" s="20" t="b">
        <f aca="false">AND(A2001&lt;&gt;"",C2001&lt;&gt;"",D2001&lt;&gt;"",C2001&gt;='Read Me'!$B$5)</f>
        <v>0</v>
      </c>
      <c r="F2001" s="23" t="str">
        <f aca="false">IF(E2001,D2001,"")</f>
        <v/>
      </c>
      <c r="G2001" s="21" t="n">
        <f aca="false">IF(E2001,D2001^2,0)</f>
        <v>0</v>
      </c>
      <c r="H2001" s="3"/>
    </row>
  </sheetData>
  <dataValidations count="1">
    <dataValidation allowBlank="true" errorStyle="stop" operator="between" showDropDown="false" showErrorMessage="false" showInputMessage="false" sqref="A2:A2001" type="list">
      <formula1>"Treatment,Control,Challenger,H2"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  <col collapsed="false" customWidth="true" hidden="false" outlineLevel="0" max="6" min="6" style="1" width="60"/>
  </cols>
  <sheetData>
    <row r="1" customFormat="false" ht="15" hidden="false" customHeight="true" outlineLevel="0" collapsed="false">
      <c r="A1" s="30" t="s">
        <v>74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3" t="s">
        <v>75</v>
      </c>
      <c r="B2" s="31" t="n">
        <f aca="false">'Read Me'!$B$5</f>
        <v>46301</v>
      </c>
      <c r="C2" s="3"/>
      <c r="D2" s="3"/>
      <c r="E2" s="3"/>
      <c r="F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</row>
    <row r="4" customFormat="false" ht="15" hidden="false" customHeight="true" outlineLevel="0" collapsed="false">
      <c r="A4" s="5" t="s">
        <v>76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77</v>
      </c>
      <c r="B5" s="32" t="n">
        <f aca="false">COUNT('Live Log'!$R$2:$R$501)</f>
        <v>0</v>
      </c>
      <c r="C5" s="3"/>
      <c r="D5" s="3"/>
      <c r="E5" s="3"/>
      <c r="F5" s="3"/>
    </row>
    <row r="6" customFormat="false" ht="15" hidden="false" customHeight="true" outlineLevel="0" collapsed="false">
      <c r="A6" s="4" t="s">
        <v>78</v>
      </c>
      <c r="B6" s="32" t="n">
        <f aca="false">COUNTIF('Live Log'!$R$2:$R$501,"&gt;0")</f>
        <v>0</v>
      </c>
      <c r="C6" s="3"/>
      <c r="D6" s="3"/>
      <c r="E6" s="3"/>
      <c r="F6" s="3"/>
    </row>
    <row r="7" customFormat="false" ht="15" hidden="false" customHeight="true" outlineLevel="0" collapsed="false">
      <c r="A7" s="4" t="s">
        <v>79</v>
      </c>
      <c r="B7" s="33" t="str">
        <f aca="false">IF(B5=0,"",B6/B5)</f>
        <v/>
      </c>
      <c r="C7" s="3"/>
      <c r="D7" s="3"/>
      <c r="E7" s="3"/>
      <c r="F7" s="3"/>
    </row>
    <row r="8" customFormat="false" ht="15" hidden="false" customHeight="true" outlineLevel="0" collapsed="false">
      <c r="A8" s="4" t="s">
        <v>80</v>
      </c>
      <c r="B8" s="33" t="str">
        <f aca="false">IF(B5=0,"",(B7+'Read Me'!$B$9^2/(2*B5)-'Read Me'!$B$9*SQRT(B7*(1-B7)/B5+'Read Me'!$B$9^2/(4*B5^2)))/(1+'Read Me'!$B$9^2/B5))</f>
        <v/>
      </c>
      <c r="C8" s="3"/>
      <c r="D8" s="3"/>
      <c r="E8" s="3"/>
      <c r="F8" s="3"/>
    </row>
    <row r="9" customFormat="false" ht="15" hidden="false" customHeight="true" outlineLevel="0" collapsed="false">
      <c r="A9" s="4" t="s">
        <v>81</v>
      </c>
      <c r="B9" s="33" t="str">
        <f aca="false">IF(B5=0,"",(B7+'Read Me'!$B$9^2/(2*B5)+'Read Me'!$B$9*SQRT(B7*(1-B7)/B5+'Read Me'!$B$9^2/(4*B5^2)))/(1+'Read Me'!$B$9^2/B5))</f>
        <v/>
      </c>
      <c r="C9" s="3"/>
      <c r="D9" s="3"/>
      <c r="E9" s="3"/>
      <c r="F9" s="3"/>
    </row>
    <row r="10" customFormat="false" ht="15" hidden="false" customHeight="true" outlineLevel="0" collapsed="false">
      <c r="A10" s="4" t="s">
        <v>82</v>
      </c>
      <c r="B10" s="34" t="str">
        <f aca="false">IF(B5=0,"",AVERAGE('Live Log'!$R$2:$R$501))</f>
        <v/>
      </c>
      <c r="C10" s="3"/>
      <c r="D10" s="3"/>
      <c r="E10" s="3"/>
      <c r="F10" s="3"/>
    </row>
    <row r="11" customFormat="false" ht="15" hidden="false" customHeight="true" outlineLevel="0" collapsed="false">
      <c r="A11" s="4" t="s">
        <v>83</v>
      </c>
      <c r="B11" s="34" t="str">
        <f aca="false">IF(B5&lt;2,"",STDEV('Live Log'!$R$2:$R$501))</f>
        <v/>
      </c>
      <c r="C11" s="3"/>
      <c r="D11" s="3"/>
      <c r="E11" s="3"/>
      <c r="F11" s="3"/>
    </row>
    <row r="12" customFormat="false" ht="15" hidden="false" customHeight="true" outlineLevel="0" collapsed="false">
      <c r="A12" s="4" t="s">
        <v>84</v>
      </c>
      <c r="B12" s="34" t="str">
        <f aca="false">IF(B5&lt;2,"",B10-TINV('Read Me'!$B$8,B5-1)*B11/SQRT(B5))</f>
        <v/>
      </c>
      <c r="C12" s="3"/>
      <c r="D12" s="3"/>
      <c r="E12" s="3"/>
      <c r="F12" s="3"/>
    </row>
    <row r="13" customFormat="false" ht="15" hidden="false" customHeight="true" outlineLevel="0" collapsed="false">
      <c r="A13" s="4" t="s">
        <v>85</v>
      </c>
      <c r="B13" s="34" t="str">
        <f aca="false">IF(B5&lt;2,"",B10+TINV('Read Me'!$B$8,B5-1)*B11/SQRT(B5))</f>
        <v/>
      </c>
      <c r="C13" s="3"/>
      <c r="D13" s="3"/>
      <c r="E13" s="3"/>
      <c r="F13" s="3"/>
    </row>
    <row r="14" customFormat="false" ht="15" hidden="false" customHeight="true" outlineLevel="0" collapsed="false">
      <c r="A14" s="4" t="s">
        <v>86</v>
      </c>
      <c r="B14" s="35" t="n">
        <f aca="false">SUM('Live Log'!$R$2:$R$501)</f>
        <v>0</v>
      </c>
      <c r="C14" s="3"/>
      <c r="D14" s="3"/>
      <c r="E14" s="3"/>
      <c r="F14" s="3"/>
    </row>
    <row r="15" customFormat="false" ht="15" hidden="false" customHeight="true" outlineLevel="0" collapsed="false">
      <c r="A15" s="4" t="s">
        <v>87</v>
      </c>
      <c r="B15" s="35" t="str">
        <f aca="false">IF(SUMIF('Live Log'!$R$2:$R$501,"&lt;0")=0,"",SUMIF('Live Log'!$R$2:$R$501,"&gt;0")/-SUMIF('Live Log'!$R$2:$R$501,"&lt;0"))</f>
        <v/>
      </c>
      <c r="C15" s="3"/>
      <c r="D15" s="3"/>
      <c r="E15" s="3"/>
      <c r="F15" s="3"/>
    </row>
    <row r="16" customFormat="false" ht="15" hidden="false" customHeight="true" outlineLevel="0" collapsed="false">
      <c r="A16" s="4" t="s">
        <v>88</v>
      </c>
      <c r="B16" s="35" t="n">
        <f aca="false">MAX('Live Log'!$U$2:$U$501)</f>
        <v>0</v>
      </c>
      <c r="C16" s="3"/>
      <c r="D16" s="3"/>
      <c r="E16" s="3"/>
      <c r="F16" s="3"/>
    </row>
    <row r="17" customFormat="false" ht="15" hidden="false" customHeight="true" outlineLevel="0" collapsed="false">
      <c r="A17" s="4" t="s">
        <v>89</v>
      </c>
      <c r="B17" s="36" t="n">
        <f aca="false">SUMIFS('Live Log'!$P$2:$P$501,'Live Log'!$M$2:$M$501,TRUE())</f>
        <v>0</v>
      </c>
      <c r="C17" s="3"/>
      <c r="D17" s="3"/>
      <c r="E17" s="3"/>
      <c r="F17" s="3"/>
    </row>
    <row r="18" customFormat="false" ht="15" hidden="false" customHeight="true" outlineLevel="0" collapsed="false">
      <c r="A18" s="4" t="s">
        <v>90</v>
      </c>
      <c r="B18" s="33" t="str">
        <f aca="false">IF(COUNTIFS('Live Log'!$M$2:$M$501,TRUE(),'Live Log'!$G$2:$G$501,"&lt;&gt;")=0,"",AVERAGEIFS('Live Log'!$G$2:$G$501,'Live Log'!$M$2:$M$501,TRUE()))</f>
        <v/>
      </c>
      <c r="C18" s="3"/>
      <c r="D18" s="3"/>
      <c r="E18" s="3"/>
      <c r="F18" s="3"/>
    </row>
    <row r="19" customFormat="false" ht="15" hidden="false" customHeight="true" outlineLevel="0" collapsed="false">
      <c r="A19" s="4" t="s">
        <v>91</v>
      </c>
      <c r="B19" s="33" t="str">
        <f aca="false">IF(COUNTIFS('Live Log'!$M$2:$M$501,TRUE(),'Live Log'!$J$2:$J$501,"&lt;&gt;")=0,"",COUNTIFS('Live Log'!$M$2:$M$501,TRUE(),'Live Log'!$J$2:$J$501,"Y")/COUNTIFS('Live Log'!$M$2:$M$501,TRUE(),'Live Log'!$J$2:$J$501,"&lt;&gt;"))</f>
        <v/>
      </c>
      <c r="C19" s="3"/>
      <c r="D19" s="3"/>
      <c r="E19" s="3"/>
      <c r="F19" s="3"/>
    </row>
    <row r="20" customFormat="false" ht="15" hidden="false" customHeight="true" outlineLevel="0" collapsed="false">
      <c r="A20" s="4" t="s">
        <v>92</v>
      </c>
      <c r="B20" s="37" t="str">
        <f aca="false">IF(OR(B18="",B19=""),"",B19-B18)</f>
        <v/>
      </c>
      <c r="C20" s="3"/>
      <c r="D20" s="3"/>
      <c r="E20" s="3"/>
      <c r="F20" s="7" t="s">
        <v>93</v>
      </c>
    </row>
    <row r="21" customFormat="false" ht="15" hidden="false" customHeight="true" outlineLevel="0" collapsed="false">
      <c r="A21" s="5" t="s">
        <v>94</v>
      </c>
      <c r="B21" s="38" t="str">
        <f aca="false">IF(B5&lt;'Read Me'!$B$6,"COLLECTING "&amp;B5&amp;"/"&amp;'Read Me'!$B$6,IF(AND(B12&gt;0,B15&gt;='Read Me'!$B$7),"EDGE SHOWN","NOT SHOWN"))</f>
        <v>COLLECTING 0/50</v>
      </c>
      <c r="C21" s="3"/>
      <c r="D21" s="3"/>
      <c r="E21" s="3"/>
      <c r="F21" s="7" t="s">
        <v>95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</row>
    <row r="24" customFormat="false" ht="15" hidden="false" customHeight="true" outlineLevel="0" collapsed="false">
      <c r="A24" s="5" t="s">
        <v>96</v>
      </c>
      <c r="B24" s="3"/>
      <c r="C24" s="3"/>
      <c r="D24" s="3"/>
      <c r="E24" s="3"/>
      <c r="F24" s="3"/>
    </row>
    <row r="25" customFormat="false" ht="15" hidden="false" customHeight="true" outlineLevel="0" collapsed="false">
      <c r="A25" s="3"/>
      <c r="B25" s="39" t="s">
        <v>63</v>
      </c>
      <c r="C25" s="39" t="s">
        <v>97</v>
      </c>
      <c r="D25" s="39" t="s">
        <v>98</v>
      </c>
      <c r="E25" s="40" t="s">
        <v>99</v>
      </c>
      <c r="F25" s="3"/>
    </row>
    <row r="26" customFormat="false" ht="15" hidden="false" customHeight="true" outlineLevel="0" collapsed="false">
      <c r="A26" s="4" t="s">
        <v>77</v>
      </c>
      <c r="B26" s="32" t="n">
        <f aca="false">COUNTIFS('Arm Trades'!$A$2:$A$2001,B$25,'Arm Trades'!$E$2:$E$2001,TRUE())</f>
        <v>0</v>
      </c>
      <c r="C26" s="32" t="n">
        <f aca="false">COUNTIFS('Arm Trades'!$A$2:$A$2001,C$25,'Arm Trades'!$E$2:$E$2001,TRUE())</f>
        <v>0</v>
      </c>
      <c r="D26" s="32" t="n">
        <f aca="false">COUNTIFS('Arm Trades'!$A$2:$A$2001,D$25,'Arm Trades'!$E$2:$E$2001,TRUE())</f>
        <v>0</v>
      </c>
      <c r="E26" s="41" t="n">
        <f aca="false">COUNTIFS('Arm Trades'!$A$2:$A$2001,E$25,'Arm Trades'!$E$2:$E$2001,TRUE())</f>
        <v>0</v>
      </c>
      <c r="F26" s="7" t="s">
        <v>100</v>
      </c>
    </row>
    <row r="27" customFormat="false" ht="15" hidden="false" customHeight="true" outlineLevel="0" collapsed="false">
      <c r="A27" s="4" t="s">
        <v>79</v>
      </c>
      <c r="B27" s="33" t="str">
        <f aca="false">IF(B26=0,"",COUNTIFS('Arm Trades'!$A$2:$A$2001,B$25,'Arm Trades'!$E$2:$E$2001,TRUE(),'Arm Trades'!$D$2:$D$2001,"&gt;0")/B26)</f>
        <v/>
      </c>
      <c r="C27" s="33" t="str">
        <f aca="false">IF(C26=0,"",COUNTIFS('Arm Trades'!$A$2:$A$2001,C$25,'Arm Trades'!$E$2:$E$2001,TRUE(),'Arm Trades'!$D$2:$D$2001,"&gt;0")/C26)</f>
        <v/>
      </c>
      <c r="D27" s="33" t="str">
        <f aca="false">IF(D26=0,"",COUNTIFS('Arm Trades'!$A$2:$A$2001,D$25,'Arm Trades'!$E$2:$E$2001,TRUE(),'Arm Trades'!$D$2:$D$2001,"&gt;0")/D26)</f>
        <v/>
      </c>
      <c r="E27" s="42" t="str">
        <f aca="false">IF(E26=0,"",COUNTIFS('Arm Trades'!$A$2:$A$2001,E$25,'Arm Trades'!$E$2:$E$2001,TRUE(),'Arm Trades'!$D$2:$D$2001,"&gt;0")/E26)</f>
        <v/>
      </c>
      <c r="F27" s="3"/>
    </row>
    <row r="28" customFormat="false" ht="15" hidden="false" customHeight="true" outlineLevel="0" collapsed="false">
      <c r="A28" s="4" t="s">
        <v>101</v>
      </c>
      <c r="B28" s="36" t="str">
        <f aca="false">IF(B26=0,"",SUMIFS('Arm Trades'!$D$2:$D$2001,'Arm Trades'!$A$2:$A$2001,B$25,'Arm Trades'!$E$2:$E$2001,TRUE())/B26)</f>
        <v/>
      </c>
      <c r="C28" s="36" t="str">
        <f aca="false">IF(C26=0,"",SUMIFS('Arm Trades'!$D$2:$D$2001,'Arm Trades'!$A$2:$A$2001,C$25,'Arm Trades'!$E$2:$E$2001,TRUE())/C26)</f>
        <v/>
      </c>
      <c r="D28" s="36" t="str">
        <f aca="false">IF(D26=0,"",SUMIFS('Arm Trades'!$D$2:$D$2001,'Arm Trades'!$A$2:$A$2001,D$25,'Arm Trades'!$E$2:$E$2001,TRUE())/D26)</f>
        <v/>
      </c>
      <c r="E28" s="43" t="str">
        <f aca="false">IF(E26=0,"",SUMIFS('Arm Trades'!$D$2:$D$2001,'Arm Trades'!$A$2:$A$2001,E$25,'Arm Trades'!$E$2:$E$2001,TRUE())/E26)</f>
        <v/>
      </c>
      <c r="F28" s="3"/>
    </row>
    <row r="29" customFormat="false" ht="15" hidden="false" customHeight="true" outlineLevel="0" collapsed="false">
      <c r="A29" s="4" t="s">
        <v>102</v>
      </c>
      <c r="B29" s="44" t="str">
        <f aca="false">IF(B26&lt;2,"",SQRT(MAX(0,(SUMIFS('Arm Trades'!$G$2:$G$2001,'Arm Trades'!$A$2:$A$2001,B$25,'Arm Trades'!$E$2:$E$2001,TRUE())-B26*B28^2)/(B26-1))))</f>
        <v/>
      </c>
      <c r="C29" s="44" t="str">
        <f aca="false">IF(C26&lt;2,"",SQRT(MAX(0,(SUMIFS('Arm Trades'!$G$2:$G$2001,'Arm Trades'!$A$2:$A$2001,C$25,'Arm Trades'!$E$2:$E$2001,TRUE())-C26*C28^2)/(C26-1))))</f>
        <v/>
      </c>
      <c r="D29" s="44" t="str">
        <f aca="false">IF(D26&lt;2,"",SQRT(MAX(0,(SUMIFS('Arm Trades'!$G$2:$G$2001,'Arm Trades'!$A$2:$A$2001,D$25,'Arm Trades'!$E$2:$E$2001,TRUE())-D26*D28^2)/(D26-1))))</f>
        <v/>
      </c>
      <c r="E29" s="45" t="str">
        <f aca="false">IF(E26&lt;2,"",SQRT(MAX(0,(SUMIFS('Arm Trades'!$G$2:$G$2001,'Arm Trades'!$A$2:$A$2001,E$25,'Arm Trades'!$E$2:$E$2001,TRUE())-E26*E28^2)/(E26-1))))</f>
        <v/>
      </c>
      <c r="F29" s="3"/>
    </row>
    <row r="30" customFormat="false" ht="15" hidden="false" customHeight="true" outlineLevel="0" collapsed="false">
      <c r="A30" s="4" t="s">
        <v>103</v>
      </c>
      <c r="B30" s="36" t="str">
        <f aca="false">IF(B26&lt;2,"",B28-TINV('Read Me'!$B$8,B26-1)*B29/SQRT(B26))</f>
        <v/>
      </c>
      <c r="C30" s="36" t="str">
        <f aca="false">IF(C26&lt;2,"",C28-TINV('Read Me'!$B$8,C26-1)*C29/SQRT(C26))</f>
        <v/>
      </c>
      <c r="D30" s="36" t="str">
        <f aca="false">IF(D26&lt;2,"",D28-TINV('Read Me'!$B$8,D26-1)*D29/SQRT(D26))</f>
        <v/>
      </c>
      <c r="E30" s="43" t="str">
        <f aca="false">IF(E26&lt;2,"",E28-TINV('Read Me'!$B$8,E26-1)*E29/SQRT(E26))</f>
        <v/>
      </c>
      <c r="F30" s="3"/>
    </row>
    <row r="31" customFormat="false" ht="15" hidden="false" customHeight="true" outlineLevel="0" collapsed="false">
      <c r="A31" s="4" t="s">
        <v>104</v>
      </c>
      <c r="B31" s="36" t="str">
        <f aca="false">IF(B26&lt;2,"",B28+TINV('Read Me'!$B$8,B26-1)*B29/SQRT(B26))</f>
        <v/>
      </c>
      <c r="C31" s="36" t="str">
        <f aca="false">IF(C26&lt;2,"",C28+TINV('Read Me'!$B$8,C26-1)*C29/SQRT(C26))</f>
        <v/>
      </c>
      <c r="D31" s="36" t="str">
        <f aca="false">IF(D26&lt;2,"",D28+TINV('Read Me'!$B$8,D26-1)*D29/SQRT(D26))</f>
        <v/>
      </c>
      <c r="E31" s="43" t="str">
        <f aca="false">IF(E26&lt;2,"",E28+TINV('Read Me'!$B$8,E26-1)*E29/SQRT(E26))</f>
        <v/>
      </c>
      <c r="F31" s="3"/>
    </row>
    <row r="32" customFormat="false" ht="15" hidden="false" customHeight="true" outlineLevel="0" collapsed="false">
      <c r="A32" s="4" t="s">
        <v>105</v>
      </c>
      <c r="B32" s="36" t="n">
        <f aca="false">SUMIFS('Arm Trades'!$D$2:$D$2001,'Arm Trades'!$A$2:$A$2001,B$25,'Arm Trades'!$E$2:$E$2001,TRUE())</f>
        <v>0</v>
      </c>
      <c r="C32" s="36" t="n">
        <f aca="false">SUMIFS('Arm Trades'!$D$2:$D$2001,'Arm Trades'!$A$2:$A$2001,C$25,'Arm Trades'!$E$2:$E$2001,TRUE())</f>
        <v>0</v>
      </c>
      <c r="D32" s="36" t="n">
        <f aca="false">SUMIFS('Arm Trades'!$D$2:$D$2001,'Arm Trades'!$A$2:$A$2001,D$25,'Arm Trades'!$E$2:$E$2001,TRUE())</f>
        <v>0</v>
      </c>
      <c r="E32" s="43" t="n">
        <f aca="false">SUMIFS('Arm Trades'!$D$2:$D$2001,'Arm Trades'!$A$2:$A$2001,E$25,'Arm Trades'!$E$2:$E$2001,TRUE())</f>
        <v>0</v>
      </c>
      <c r="F32" s="3"/>
    </row>
    <row r="33" customFormat="false" ht="15" hidden="false" customHeight="true" outlineLevel="0" collapsed="false">
      <c r="A33" s="4" t="s">
        <v>59</v>
      </c>
      <c r="B33" s="35" t="str">
        <f aca="false">IF(SUMIFS('Arm Trades'!$D$2:$D$2001,'Arm Trades'!$A$2:$A$2001,B$25,'Arm Trades'!$E$2:$E$2001,TRUE(),'Arm Trades'!$D$2:$D$2001,"&lt;0")=0,"",SUMIFS('Arm Trades'!$D$2:$D$2001,'Arm Trades'!$A$2:$A$2001,B$25,'Arm Trades'!$E$2:$E$2001,TRUE(),'Arm Trades'!$D$2:$D$2001,"&gt;0")/-SUMIFS('Arm Trades'!$D$2:$D$2001,'Arm Trades'!$A$2:$A$2001,B$25,'Arm Trades'!$E$2:$E$2001,TRUE(),'Arm Trades'!$D$2:$D$2001,"&lt;0"))</f>
        <v/>
      </c>
      <c r="C33" s="35" t="str">
        <f aca="false">IF(SUMIFS('Arm Trades'!$D$2:$D$2001,'Arm Trades'!$A$2:$A$2001,C$25,'Arm Trades'!$E$2:$E$2001,TRUE(),'Arm Trades'!$D$2:$D$2001,"&lt;0")=0,"",SUMIFS('Arm Trades'!$D$2:$D$2001,'Arm Trades'!$A$2:$A$2001,C$25,'Arm Trades'!$E$2:$E$2001,TRUE(),'Arm Trades'!$D$2:$D$2001,"&gt;0")/-SUMIFS('Arm Trades'!$D$2:$D$2001,'Arm Trades'!$A$2:$A$2001,C$25,'Arm Trades'!$E$2:$E$2001,TRUE(),'Arm Trades'!$D$2:$D$2001,"&lt;0"))</f>
        <v/>
      </c>
      <c r="D33" s="35" t="str">
        <f aca="false">IF(SUMIFS('Arm Trades'!$D$2:$D$2001,'Arm Trades'!$A$2:$A$2001,D$25,'Arm Trades'!$E$2:$E$2001,TRUE(),'Arm Trades'!$D$2:$D$2001,"&lt;0")=0,"",SUMIFS('Arm Trades'!$D$2:$D$2001,'Arm Trades'!$A$2:$A$2001,D$25,'Arm Trades'!$E$2:$E$2001,TRUE(),'Arm Trades'!$D$2:$D$2001,"&gt;0")/-SUMIFS('Arm Trades'!$D$2:$D$2001,'Arm Trades'!$A$2:$A$2001,D$25,'Arm Trades'!$E$2:$E$2001,TRUE(),'Arm Trades'!$D$2:$D$2001,"&lt;0"))</f>
        <v/>
      </c>
      <c r="E33" s="46" t="str">
        <f aca="false">IF(SUMIFS('Arm Trades'!$D$2:$D$2001,'Arm Trades'!$A$2:$A$2001,E$25,'Arm Trades'!$E$2:$E$2001,TRUE(),'Arm Trades'!$D$2:$D$2001,"&lt;0")=0,"",SUMIFS('Arm Trades'!$D$2:$D$2001,'Arm Trades'!$A$2:$A$2001,E$25,'Arm Trades'!$E$2:$E$2001,TRUE(),'Arm Trades'!$D$2:$D$2001,"&gt;0")/-SUMIFS('Arm Trades'!$D$2:$D$2001,'Arm Trades'!$A$2:$A$2001,E$25,'Arm Trades'!$E$2:$E$2001,TRUE(),'Arm Trades'!$D$2:$D$2001,"&lt;0"))</f>
        <v/>
      </c>
      <c r="F33" s="3"/>
    </row>
    <row r="34" customFormat="false" ht="15" hidden="false" customHeight="true" outlineLevel="0" collapsed="false">
      <c r="A34" s="5" t="s">
        <v>94</v>
      </c>
      <c r="B34" s="38" t="str">
        <f aca="false">IF(B26&lt;'Read Me'!$B$6,"COLLECTING "&amp;B26&amp;"/"&amp;'Read Me'!$B$6,IF(AND(B30&gt;0,B33&gt;='Read Me'!$B$7),"EDGE SHOWN","NOT SHOWN"))</f>
        <v>COLLECTING 0/50</v>
      </c>
      <c r="C34" s="38" t="str">
        <f aca="false">IF(C26&lt;'Read Me'!$B$6,"COLLECTING "&amp;C26&amp;"/"&amp;'Read Me'!$B$6,IF(AND(C30&gt;0,C33&gt;='Read Me'!$B$7),"EDGE SHOWN","NOT SHOWN"))</f>
        <v>COLLECTING 0/50</v>
      </c>
      <c r="D34" s="38" t="str">
        <f aca="false">IF(D26&lt;'Read Me'!$B$6,"COLLECTING "&amp;D26&amp;"/"&amp;'Read Me'!$B$6,IF(AND(D30&gt;0,D33&gt;='Read Me'!$B$7),"EDGE SHOWN","NOT SHOWN"))</f>
        <v>COLLECTING 0/50</v>
      </c>
      <c r="E34" s="47" t="str">
        <f aca="false">IF(E26&lt;'Read Me'!$B$6,"COLLECTING "&amp;E26&amp;"/"&amp;'Read Me'!$B$6,IF(AND(E30&gt;0,E33&gt;='Read Me'!$B$7),"EDGE SHOWN","NOT SHOWN"))</f>
        <v>COLLECTING 0/50</v>
      </c>
      <c r="F34" s="3"/>
    </row>
    <row r="35" customFormat="false" ht="15" hidden="false" customHeight="true" outlineLevel="0" collapsed="false">
      <c r="A35" s="10" t="s">
        <v>106</v>
      </c>
      <c r="B35" s="3"/>
      <c r="C35" s="3"/>
      <c r="D35" s="43" t="str">
        <f aca="false">IF(D26&lt;2,"",D28-TINV('Read Me'!$B$11,D26-1)*D29/SQRT(D26))</f>
        <v/>
      </c>
      <c r="E35" s="43" t="str">
        <f aca="false">IF(E26&lt;2,"",E28-TINV('Read Me'!$B$11,E26-1)*E29/SQRT(E26))</f>
        <v/>
      </c>
      <c r="F35" s="3"/>
    </row>
    <row r="36" customFormat="false" ht="15" hidden="false" customHeight="true" outlineLevel="0" collapsed="false">
      <c r="A36" s="5" t="s">
        <v>107</v>
      </c>
      <c r="B36" s="48" t="str">
        <f aca="false">IF(OR(B26&lt;'Read Me'!$B$6,D26&lt;'Read Me'!$B$6),"WAIT: both arms need "&amp;'Read Me'!$B$6&amp;" positions",IF(AND(D35&gt;0,OR(D33="",D33&gt;='Read Me'!$B$7),D28&gt;B28),"ADOPT H1 — move the fast trend gate to the Master","KEEP TREATMENT — H1 not shown better"))</f>
        <v>WAIT: both arms need 50 positions</v>
      </c>
      <c r="C36" s="3"/>
      <c r="D36" s="3"/>
      <c r="E36" s="3"/>
      <c r="F36" s="12" t="s">
        <v>108</v>
      </c>
    </row>
    <row r="37" customFormat="false" ht="15" hidden="false" customHeight="true" outlineLevel="0" collapsed="false">
      <c r="A37" s="13" t="s">
        <v>109</v>
      </c>
      <c r="B37" s="49" t="str">
        <f aca="false">IF(OR(B26&lt;'Read Me'!$B$6,E26&lt;'Read Me'!$B$6),"WAIT: both arms need "&amp;'Read Me'!$B$6&amp;" positions",IF(AND(E35&gt;0,OR(E33="",E33&gt;='Read Me'!$B$7),E28&gt;B28),"ADOPT H2 — H2 shown better than the Treatment","KEEP TREATMENT — H2 not shown better"))</f>
        <v>WAIT: both arms need 50 positions</v>
      </c>
      <c r="F37" s="1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2026-09-27T09:06:17Z</dcterms:created>
  <dc:creator>openpyxl</dc:creator>
  <dc:description/>
  <dc:language>en-US</dc:language>
  <cp:lastModifiedBy/>
  <dcterms:modified xsi:type="dcterms:W3CDTF">2026-10-05T09:26:06Z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